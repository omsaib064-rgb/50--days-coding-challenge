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Data" sheetId="1" state="visible" r:id="rId3"/>
    <sheet name="Pivot Table_Cleaned_Data_4" sheetId="2" state="visible" r:id="rId4"/>
    <sheet name="Pivot Table_Cleaned_Data_3" sheetId="3" state="visible" r:id="rId5"/>
    <sheet name="Pivot Table_Cleaned_Data_2" sheetId="4" state="visible" r:id="rId6"/>
    <sheet name="Pivot Table_Cleaned_Data_1" sheetId="5" state="visible" r:id="rId7"/>
  </sheet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<sst xmlns="http://schemas.openxmlformats.org/spreadsheetml/2006/main" count="630" uniqueCount="50">
  <si>
    <t xml:space="preserve">Constituency</t>
  </si>
  <si>
    <t xml:space="preserve">State</t>
  </si>
  <si>
    <t xml:space="preserve">Party</t>
  </si>
  <si>
    <t xml:space="preserve">Candidate</t>
  </si>
  <si>
    <t xml:space="preserve">Total_Votes</t>
  </si>
  <si>
    <t xml:space="preserve">Gender</t>
  </si>
  <si>
    <t xml:space="preserve">Age</t>
  </si>
  <si>
    <t xml:space="preserve">Validation </t>
  </si>
  <si>
    <t xml:space="preserve">Vote %</t>
  </si>
  <si>
    <t xml:space="preserve">Winner </t>
  </si>
  <si>
    <t xml:space="preserve">Bangalore South</t>
  </si>
  <si>
    <t xml:space="preserve">Karnataka</t>
  </si>
  <si>
    <t xml:space="preserve">XYZ</t>
  </si>
  <si>
    <t xml:space="preserve">Amit Shah</t>
  </si>
  <si>
    <t xml:space="preserve">Male</t>
  </si>
  <si>
    <t xml:space="preserve">Belgaum</t>
  </si>
  <si>
    <t xml:space="preserve">Nisha Kulkarni</t>
  </si>
  <si>
    <t xml:space="preserve">Female</t>
  </si>
  <si>
    <t xml:space="preserve">Mangalore</t>
  </si>
  <si>
    <t xml:space="preserve">ABC</t>
  </si>
  <si>
    <t xml:space="preserve">PQR</t>
  </si>
  <si>
    <t xml:space="preserve">Asha Patil</t>
  </si>
  <si>
    <t xml:space="preserve">Shimoga</t>
  </si>
  <si>
    <t xml:space="preserve">Bellary</t>
  </si>
  <si>
    <t xml:space="preserve">Rahul Verma</t>
  </si>
  <si>
    <t xml:space="preserve">Anita Desai</t>
  </si>
  <si>
    <t xml:space="preserve">LMN</t>
  </si>
  <si>
    <t xml:space="preserve">Rajeev Nair</t>
  </si>
  <si>
    <t xml:space="preserve">Tumkur</t>
  </si>
  <si>
    <t xml:space="preserve">Manoj Singh</t>
  </si>
  <si>
    <t xml:space="preserve">Sneha Reddy</t>
  </si>
  <si>
    <t xml:space="preserve">Priya Menon</t>
  </si>
  <si>
    <t xml:space="preserve">Prakash Patil</t>
  </si>
  <si>
    <t xml:space="preserve">Bijapur</t>
  </si>
  <si>
    <t xml:space="preserve">Neha Joshi</t>
  </si>
  <si>
    <t xml:space="preserve">Ravi Kumar</t>
  </si>
  <si>
    <t xml:space="preserve">Hubli</t>
  </si>
  <si>
    <t xml:space="preserve">Suresh Naik</t>
  </si>
  <si>
    <t xml:space="preserve">Davanagere</t>
  </si>
  <si>
    <t xml:space="preserve">Kavya Rao</t>
  </si>
  <si>
    <t xml:space="preserve">Pooja Verma</t>
  </si>
  <si>
    <t xml:space="preserve">Mysore</t>
  </si>
  <si>
    <t xml:space="preserve">Vikram Joshi</t>
  </si>
  <si>
    <t xml:space="preserve">Arjun Rao</t>
  </si>
  <si>
    <t xml:space="preserve">Kiran Gowda</t>
  </si>
  <si>
    <t xml:space="preserve">Meera Iyer</t>
  </si>
  <si>
    <t xml:space="preserve">Divya Sharma</t>
  </si>
  <si>
    <t xml:space="preserve">(empty)</t>
  </si>
  <si>
    <t xml:space="preserve">Total Result</t>
  </si>
  <si>
    <t xml:space="preserve">Highest votes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</si>
</sst>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sz val="10"/>
      <color rgb="FF000000"/>
      <name val="Arial"/>
      <family val="2"/>
    </font>
    <font>
      <sz val="10"/>
      <name val="Arial"/>
      <family val="2"/>
    </font>
    <font>
      <sz val="13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4" applyFont="false" applyBorder="true" applyAlignment="fals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84D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0"/>
      <c:rotY val="25"/>
      <c:rAngAx val="0"/>
      <c:perspective val="4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bar3DChart>
        <c:barDir val="bar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Cleaned_Data!$A$1:$D$101</c:f>
              <c:multiLvlStrCache>
                <c:ptCount val="101"/>
                <c:lvl>
                  <c:pt idx="0">
                    <c:v>Candidate</c:v>
                  </c:pt>
                  <c:pt idx="1">
                    <c:v>Amit Shah</c:v>
                  </c:pt>
                  <c:pt idx="2">
                    <c:v>Nisha Kulkarni</c:v>
                  </c:pt>
                  <c:pt idx="3">
                    <c:v>Amit Shah</c:v>
                  </c:pt>
                  <c:pt idx="4">
                    <c:v>Asha Patil</c:v>
                  </c:pt>
                  <c:pt idx="5">
                    <c:v>Nisha Kulkarni</c:v>
                  </c:pt>
                  <c:pt idx="6">
                    <c:v>Rahul Verma</c:v>
                  </c:pt>
                  <c:pt idx="7">
                    <c:v>Anita Desai</c:v>
                  </c:pt>
                  <c:pt idx="8">
                    <c:v>Rajeev Nair</c:v>
                  </c:pt>
                  <c:pt idx="9">
                    <c:v>Manoj Singh</c:v>
                  </c:pt>
                  <c:pt idx="10">
                    <c:v>Sneha Reddy</c:v>
                  </c:pt>
                  <c:pt idx="11">
                    <c:v>Priya Menon</c:v>
                  </c:pt>
                  <c:pt idx="12">
                    <c:v>Prakash Patil</c:v>
                  </c:pt>
                  <c:pt idx="13">
                    <c:v>Neha Joshi</c:v>
                  </c:pt>
                  <c:pt idx="14">
                    <c:v>Ravi Kumar</c:v>
                  </c:pt>
                  <c:pt idx="15">
                    <c:v>Rahul Verma</c:v>
                  </c:pt>
                  <c:pt idx="16">
                    <c:v>Neha Joshi</c:v>
                  </c:pt>
                  <c:pt idx="17">
                    <c:v>Suresh Naik</c:v>
                  </c:pt>
                  <c:pt idx="18">
                    <c:v>Nisha Kulkarni</c:v>
                  </c:pt>
                  <c:pt idx="19">
                    <c:v>Nisha Kulkarni</c:v>
                  </c:pt>
                  <c:pt idx="20">
                    <c:v>Neha Joshi</c:v>
                  </c:pt>
                  <c:pt idx="21">
                    <c:v>Manoj Singh</c:v>
                  </c:pt>
                  <c:pt idx="22">
                    <c:v>Manoj Singh</c:v>
                  </c:pt>
                  <c:pt idx="23">
                    <c:v>Kavya Rao</c:v>
                  </c:pt>
                  <c:pt idx="24">
                    <c:v>Pooja Verma</c:v>
                  </c:pt>
                  <c:pt idx="25">
                    <c:v>Manoj Singh</c:v>
                  </c:pt>
                  <c:pt idx="26">
                    <c:v>Priya Menon</c:v>
                  </c:pt>
                  <c:pt idx="27">
                    <c:v>Priya Menon</c:v>
                  </c:pt>
                  <c:pt idx="28">
                    <c:v>Ravi Kumar</c:v>
                  </c:pt>
                  <c:pt idx="29">
                    <c:v>Rahul Verma</c:v>
                  </c:pt>
                  <c:pt idx="30">
                    <c:v>Asha Patil</c:v>
                  </c:pt>
                  <c:pt idx="31">
                    <c:v>Amit Shah</c:v>
                  </c:pt>
                  <c:pt idx="32">
                    <c:v>Rahul Verma</c:v>
                  </c:pt>
                  <c:pt idx="33">
                    <c:v>Anita Desai</c:v>
                  </c:pt>
                  <c:pt idx="34">
                    <c:v>Asha Patil</c:v>
                  </c:pt>
                  <c:pt idx="35">
                    <c:v>Amit Shah</c:v>
                  </c:pt>
                  <c:pt idx="36">
                    <c:v>Rajeev Nair</c:v>
                  </c:pt>
                  <c:pt idx="37">
                    <c:v>Vikram Joshi</c:v>
                  </c:pt>
                  <c:pt idx="38">
                    <c:v>Manoj Singh</c:v>
                  </c:pt>
                  <c:pt idx="39">
                    <c:v>Arjun Rao</c:v>
                  </c:pt>
                  <c:pt idx="40">
                    <c:v>Arjun Rao</c:v>
                  </c:pt>
                  <c:pt idx="41">
                    <c:v>Rahul Verma</c:v>
                  </c:pt>
                  <c:pt idx="42">
                    <c:v>Kiran Gowda</c:v>
                  </c:pt>
                  <c:pt idx="43">
                    <c:v>Neha Joshi</c:v>
                  </c:pt>
                  <c:pt idx="44">
                    <c:v>Asha Patil</c:v>
                  </c:pt>
                  <c:pt idx="45">
                    <c:v>Sneha Reddy</c:v>
                  </c:pt>
                  <c:pt idx="46">
                    <c:v>Meera Iyer</c:v>
                  </c:pt>
                  <c:pt idx="47">
                    <c:v>Kiran Gowda</c:v>
                  </c:pt>
                  <c:pt idx="48">
                    <c:v>Amit Shah</c:v>
                  </c:pt>
                  <c:pt idx="49">
                    <c:v>Suresh Naik</c:v>
                  </c:pt>
                  <c:pt idx="50">
                    <c:v>Manoj Singh</c:v>
                  </c:pt>
                  <c:pt idx="51">
                    <c:v>Priya Menon</c:v>
                  </c:pt>
                  <c:pt idx="52">
                    <c:v>Sneha Reddy</c:v>
                  </c:pt>
                  <c:pt idx="53">
                    <c:v>Pooja Verma</c:v>
                  </c:pt>
                  <c:pt idx="54">
                    <c:v>Suresh Naik</c:v>
                  </c:pt>
                  <c:pt idx="55">
                    <c:v>Neha Joshi</c:v>
                  </c:pt>
                  <c:pt idx="56">
                    <c:v>Anita Desai</c:v>
                  </c:pt>
                  <c:pt idx="57">
                    <c:v>Prakash Patil</c:v>
                  </c:pt>
                  <c:pt idx="58">
                    <c:v>Ravi Kumar</c:v>
                  </c:pt>
                  <c:pt idx="59">
                    <c:v>Amit Shah</c:v>
                  </c:pt>
                  <c:pt idx="60">
                    <c:v>Rahul Verma</c:v>
                  </c:pt>
                  <c:pt idx="61">
                    <c:v>Vikram Joshi</c:v>
                  </c:pt>
                  <c:pt idx="62">
                    <c:v>Pooja Verma</c:v>
                  </c:pt>
                  <c:pt idx="63">
                    <c:v>Anita Desai</c:v>
                  </c:pt>
                  <c:pt idx="64">
                    <c:v>Rajeev Nair</c:v>
                  </c:pt>
                  <c:pt idx="65">
                    <c:v>Nisha Kulkarni</c:v>
                  </c:pt>
                  <c:pt idx="66">
                    <c:v>Nisha Kulkarni</c:v>
                  </c:pt>
                  <c:pt idx="67">
                    <c:v>Priya Menon</c:v>
                  </c:pt>
                  <c:pt idx="68">
                    <c:v>Vikram Joshi</c:v>
                  </c:pt>
                  <c:pt idx="69">
                    <c:v>Rajeev Nair</c:v>
                  </c:pt>
                  <c:pt idx="70">
                    <c:v>Manoj Singh</c:v>
                  </c:pt>
                  <c:pt idx="71">
                    <c:v>Kavya Rao</c:v>
                  </c:pt>
                  <c:pt idx="72">
                    <c:v>Manoj Singh</c:v>
                  </c:pt>
                  <c:pt idx="73">
                    <c:v>Pooja Verma</c:v>
                  </c:pt>
                  <c:pt idx="74">
                    <c:v>Amit Shah</c:v>
                  </c:pt>
                  <c:pt idx="75">
                    <c:v>Kiran Gowda</c:v>
                  </c:pt>
                  <c:pt idx="76">
                    <c:v>Nisha Kulkarni</c:v>
                  </c:pt>
                  <c:pt idx="77">
                    <c:v>Rahul Verma</c:v>
                  </c:pt>
                  <c:pt idx="78">
                    <c:v>Arjun Rao</c:v>
                  </c:pt>
                  <c:pt idx="79">
                    <c:v>Prakash Patil</c:v>
                  </c:pt>
                  <c:pt idx="80">
                    <c:v>Sneha Reddy</c:v>
                  </c:pt>
                  <c:pt idx="81">
                    <c:v>Kiran Gowda</c:v>
                  </c:pt>
                  <c:pt idx="82">
                    <c:v>Manoj Singh</c:v>
                  </c:pt>
                  <c:pt idx="83">
                    <c:v>Manoj Singh</c:v>
                  </c:pt>
                  <c:pt idx="84">
                    <c:v>Sneha Reddy</c:v>
                  </c:pt>
                  <c:pt idx="85">
                    <c:v>Ravi Kumar</c:v>
                  </c:pt>
                  <c:pt idx="86">
                    <c:v>Kavya Rao</c:v>
                  </c:pt>
                  <c:pt idx="87">
                    <c:v>Rajeev Nair</c:v>
                  </c:pt>
                  <c:pt idx="88">
                    <c:v>Ravi Kumar</c:v>
                  </c:pt>
                  <c:pt idx="89">
                    <c:v>Suresh Naik</c:v>
                  </c:pt>
                  <c:pt idx="90">
                    <c:v>Asha Patil</c:v>
                  </c:pt>
                  <c:pt idx="91">
                    <c:v>Sneha Reddy</c:v>
                  </c:pt>
                  <c:pt idx="92">
                    <c:v>Kavya Rao</c:v>
                  </c:pt>
                  <c:pt idx="93">
                    <c:v>Anita Desai</c:v>
                  </c:pt>
                  <c:pt idx="94">
                    <c:v>Neha Joshi</c:v>
                  </c:pt>
                  <c:pt idx="95">
                    <c:v>Nisha Kulkarni</c:v>
                  </c:pt>
                  <c:pt idx="96">
                    <c:v>Divya Sharma</c:v>
                  </c:pt>
                  <c:pt idx="97">
                    <c:v>Rajeev Nair</c:v>
                  </c:pt>
                  <c:pt idx="98">
                    <c:v>Rajeev Nair</c:v>
                  </c:pt>
                  <c:pt idx="99">
                    <c:v>Divya Sharma</c:v>
                  </c:pt>
                  <c:pt idx="100">
                    <c:v>Kiran Gowda</c:v>
                  </c:pt>
                </c:lvl>
                <c:lvl>
                  <c:pt idx="0">
                    <c:v>Party</c:v>
                  </c:pt>
                  <c:pt idx="1">
                    <c:v>XYZ</c:v>
                  </c:pt>
                  <c:pt idx="2">
                    <c:v>XYZ</c:v>
                  </c:pt>
                  <c:pt idx="3">
                    <c:v>ABC</c:v>
                  </c:pt>
                  <c:pt idx="4">
                    <c:v>PQR</c:v>
                  </c:pt>
                  <c:pt idx="5">
                    <c:v>ABC</c:v>
                  </c:pt>
                  <c:pt idx="6">
                    <c:v>ABC</c:v>
                  </c:pt>
                  <c:pt idx="7">
                    <c:v>XYZ</c:v>
                  </c:pt>
                  <c:pt idx="8">
                    <c:v>LMN</c:v>
                  </c:pt>
                  <c:pt idx="9">
                    <c:v>PQR</c:v>
                  </c:pt>
                  <c:pt idx="10">
                    <c:v>ABC</c:v>
                  </c:pt>
                  <c:pt idx="11">
                    <c:v>LMN</c:v>
                  </c:pt>
                  <c:pt idx="12">
                    <c:v>ABC</c:v>
                  </c:pt>
                  <c:pt idx="13">
                    <c:v>LMN</c:v>
                  </c:pt>
                  <c:pt idx="14">
                    <c:v>XYZ</c:v>
                  </c:pt>
                  <c:pt idx="15">
                    <c:v>PQR</c:v>
                  </c:pt>
                  <c:pt idx="16">
                    <c:v>XYZ</c:v>
                  </c:pt>
                  <c:pt idx="17">
                    <c:v>XYZ</c:v>
                  </c:pt>
                  <c:pt idx="18">
                    <c:v>XYZ</c:v>
                  </c:pt>
                  <c:pt idx="19">
                    <c:v>ABC</c:v>
                  </c:pt>
                  <c:pt idx="20">
                    <c:v>ABC</c:v>
                  </c:pt>
                  <c:pt idx="21">
                    <c:v>PQR</c:v>
                  </c:pt>
                  <c:pt idx="22">
                    <c:v>ABC</c:v>
                  </c:pt>
                  <c:pt idx="23">
                    <c:v>ABC</c:v>
                  </c:pt>
                  <c:pt idx="24">
                    <c:v>PQR</c:v>
                  </c:pt>
                  <c:pt idx="25">
                    <c:v>XYZ</c:v>
                  </c:pt>
                  <c:pt idx="26">
                    <c:v>LMN</c:v>
                  </c:pt>
                  <c:pt idx="27">
                    <c:v>PQR</c:v>
                  </c:pt>
                  <c:pt idx="28">
                    <c:v>XYZ</c:v>
                  </c:pt>
                  <c:pt idx="29">
                    <c:v>ABC</c:v>
                  </c:pt>
                  <c:pt idx="30">
                    <c:v>ABC</c:v>
                  </c:pt>
                  <c:pt idx="31">
                    <c:v>ABC</c:v>
                  </c:pt>
                  <c:pt idx="32">
                    <c:v>ABC</c:v>
                  </c:pt>
                  <c:pt idx="33">
                    <c:v>XYZ</c:v>
                  </c:pt>
                  <c:pt idx="34">
                    <c:v>XYZ</c:v>
                  </c:pt>
                  <c:pt idx="35">
                    <c:v>XYZ</c:v>
                  </c:pt>
                  <c:pt idx="36">
                    <c:v>LMN</c:v>
                  </c:pt>
                  <c:pt idx="37">
                    <c:v>ABC</c:v>
                  </c:pt>
                  <c:pt idx="38">
                    <c:v>LMN</c:v>
                  </c:pt>
                  <c:pt idx="39">
                    <c:v>PQR</c:v>
                  </c:pt>
                  <c:pt idx="40">
                    <c:v>ABC</c:v>
                  </c:pt>
                  <c:pt idx="41">
                    <c:v>LMN</c:v>
                  </c:pt>
                  <c:pt idx="42">
                    <c:v>LMN</c:v>
                  </c:pt>
                  <c:pt idx="43">
                    <c:v>XYZ</c:v>
                  </c:pt>
                  <c:pt idx="44">
                    <c:v>LMN</c:v>
                  </c:pt>
                  <c:pt idx="45">
                    <c:v>LMN</c:v>
                  </c:pt>
                  <c:pt idx="46">
                    <c:v>PQR</c:v>
                  </c:pt>
                  <c:pt idx="47">
                    <c:v>LMN</c:v>
                  </c:pt>
                  <c:pt idx="48">
                    <c:v>PQR</c:v>
                  </c:pt>
                  <c:pt idx="49">
                    <c:v>XYZ</c:v>
                  </c:pt>
                  <c:pt idx="50">
                    <c:v>LMN</c:v>
                  </c:pt>
                  <c:pt idx="51">
                    <c:v>PQR</c:v>
                  </c:pt>
                  <c:pt idx="52">
                    <c:v>XYZ</c:v>
                  </c:pt>
                  <c:pt idx="53">
                    <c:v>ABC</c:v>
                  </c:pt>
                  <c:pt idx="54">
                    <c:v>XYZ</c:v>
                  </c:pt>
                  <c:pt idx="55">
                    <c:v>XYZ</c:v>
                  </c:pt>
                  <c:pt idx="56">
                    <c:v>XYZ</c:v>
                  </c:pt>
                  <c:pt idx="57">
                    <c:v>XYZ</c:v>
                  </c:pt>
                  <c:pt idx="58">
                    <c:v>XYZ</c:v>
                  </c:pt>
                  <c:pt idx="59">
                    <c:v>ABC</c:v>
                  </c:pt>
                  <c:pt idx="60">
                    <c:v>XYZ</c:v>
                  </c:pt>
                  <c:pt idx="61">
                    <c:v>XYZ</c:v>
                  </c:pt>
                  <c:pt idx="62">
                    <c:v>XYZ</c:v>
                  </c:pt>
                  <c:pt idx="63">
                    <c:v>XYZ</c:v>
                  </c:pt>
                  <c:pt idx="64">
                    <c:v>ABC</c:v>
                  </c:pt>
                  <c:pt idx="65">
                    <c:v>LMN</c:v>
                  </c:pt>
                  <c:pt idx="66">
                    <c:v>PQR</c:v>
                  </c:pt>
                  <c:pt idx="67">
                    <c:v>LMN</c:v>
                  </c:pt>
                  <c:pt idx="68">
                    <c:v>PQR</c:v>
                  </c:pt>
                  <c:pt idx="69">
                    <c:v>LMN</c:v>
                  </c:pt>
                  <c:pt idx="70">
                    <c:v>XYZ</c:v>
                  </c:pt>
                  <c:pt idx="71">
                    <c:v>XYZ</c:v>
                  </c:pt>
                  <c:pt idx="72">
                    <c:v>PQR</c:v>
                  </c:pt>
                  <c:pt idx="73">
                    <c:v>LMN</c:v>
                  </c:pt>
                  <c:pt idx="74">
                    <c:v>XYZ</c:v>
                  </c:pt>
                  <c:pt idx="75">
                    <c:v>PQR</c:v>
                  </c:pt>
                  <c:pt idx="76">
                    <c:v>ABC</c:v>
                  </c:pt>
                  <c:pt idx="77">
                    <c:v>PQR</c:v>
                  </c:pt>
                  <c:pt idx="78">
                    <c:v>XYZ</c:v>
                  </c:pt>
                  <c:pt idx="79">
                    <c:v>PQR</c:v>
                  </c:pt>
                  <c:pt idx="80">
                    <c:v>XYZ</c:v>
                  </c:pt>
                  <c:pt idx="81">
                    <c:v>ABC</c:v>
                  </c:pt>
                  <c:pt idx="82">
                    <c:v>LMN</c:v>
                  </c:pt>
                  <c:pt idx="83">
                    <c:v>PQR</c:v>
                  </c:pt>
                  <c:pt idx="84">
                    <c:v>LMN</c:v>
                  </c:pt>
                  <c:pt idx="85">
                    <c:v>XYZ</c:v>
                  </c:pt>
                  <c:pt idx="86">
                    <c:v>LMN</c:v>
                  </c:pt>
                  <c:pt idx="87">
                    <c:v>LMN</c:v>
                  </c:pt>
                  <c:pt idx="88">
                    <c:v>PQR</c:v>
                  </c:pt>
                  <c:pt idx="89">
                    <c:v>ABC</c:v>
                  </c:pt>
                  <c:pt idx="90">
                    <c:v>PQR</c:v>
                  </c:pt>
                  <c:pt idx="91">
                    <c:v>LMN</c:v>
                  </c:pt>
                  <c:pt idx="92">
                    <c:v>XYZ</c:v>
                  </c:pt>
                  <c:pt idx="93">
                    <c:v>PQR</c:v>
                  </c:pt>
                  <c:pt idx="94">
                    <c:v>XYZ</c:v>
                  </c:pt>
                  <c:pt idx="95">
                    <c:v>XYZ</c:v>
                  </c:pt>
                  <c:pt idx="96">
                    <c:v>XYZ</c:v>
                  </c:pt>
                  <c:pt idx="97">
                    <c:v>LMN</c:v>
                  </c:pt>
                  <c:pt idx="98">
                    <c:v>PQR</c:v>
                  </c:pt>
                  <c:pt idx="99">
                    <c:v>ABC</c:v>
                  </c:pt>
                  <c:pt idx="100">
                    <c:v>XYZ</c:v>
                  </c:pt>
                </c:lvl>
                <c:lvl>
                  <c:pt idx="0">
                    <c:v>State</c:v>
                  </c:pt>
                  <c:pt idx="1">
                    <c:v>Karnataka</c:v>
                  </c:pt>
                  <c:pt idx="2">
                    <c:v>Karnataka</c:v>
                  </c:pt>
                  <c:pt idx="3">
                    <c:v>Karnataka</c:v>
                  </c:pt>
                  <c:pt idx="4">
                    <c:v>Karnataka</c:v>
                  </c:pt>
                  <c:pt idx="5">
                    <c:v>Karnataka</c:v>
                  </c:pt>
                  <c:pt idx="6">
                    <c:v>Karnataka</c:v>
                  </c:pt>
                  <c:pt idx="7">
                    <c:v>Karnataka</c:v>
                  </c:pt>
                  <c:pt idx="8">
                    <c:v>Karnataka</c:v>
                  </c:pt>
                  <c:pt idx="9">
                    <c:v>Karnataka</c:v>
                  </c:pt>
                  <c:pt idx="10">
                    <c:v>Karnataka</c:v>
                  </c:pt>
                  <c:pt idx="11">
                    <c:v>Karnataka</c:v>
                  </c:pt>
                  <c:pt idx="12">
                    <c:v>Karnataka</c:v>
                  </c:pt>
                  <c:pt idx="13">
                    <c:v>Karnataka</c:v>
                  </c:pt>
                  <c:pt idx="14">
                    <c:v>Karnataka</c:v>
                  </c:pt>
                  <c:pt idx="15">
                    <c:v>Karnataka</c:v>
                  </c:pt>
                  <c:pt idx="16">
                    <c:v>Karnataka</c:v>
                  </c:pt>
                  <c:pt idx="17">
                    <c:v>Karnataka</c:v>
                  </c:pt>
                  <c:pt idx="18">
                    <c:v>Karnataka</c:v>
                  </c:pt>
                  <c:pt idx="19">
                    <c:v>Karnataka</c:v>
                  </c:pt>
                  <c:pt idx="20">
                    <c:v>Karnataka</c:v>
                  </c:pt>
                  <c:pt idx="21">
                    <c:v>Karnataka</c:v>
                  </c:pt>
                  <c:pt idx="22">
                    <c:v>Karnataka</c:v>
                  </c:pt>
                  <c:pt idx="23">
                    <c:v>Karnataka</c:v>
                  </c:pt>
                  <c:pt idx="24">
                    <c:v>Karnataka</c:v>
                  </c:pt>
                  <c:pt idx="25">
                    <c:v>Karnataka</c:v>
                  </c:pt>
                  <c:pt idx="26">
                    <c:v>Karnataka</c:v>
                  </c:pt>
                  <c:pt idx="27">
                    <c:v>Karnataka</c:v>
                  </c:pt>
                  <c:pt idx="28">
                    <c:v>Karnataka</c:v>
                  </c:pt>
                  <c:pt idx="29">
                    <c:v>Karnataka</c:v>
                  </c:pt>
                  <c:pt idx="30">
                    <c:v>Karnataka</c:v>
                  </c:pt>
                  <c:pt idx="31">
                    <c:v>Karnataka</c:v>
                  </c:pt>
                  <c:pt idx="32">
                    <c:v>Karnataka</c:v>
                  </c:pt>
                  <c:pt idx="33">
                    <c:v>Karnataka</c:v>
                  </c:pt>
                  <c:pt idx="34">
                    <c:v>Karnataka</c:v>
                  </c:pt>
                  <c:pt idx="35">
                    <c:v>Karnataka</c:v>
                  </c:pt>
                  <c:pt idx="36">
                    <c:v>Karnataka</c:v>
                  </c:pt>
                  <c:pt idx="37">
                    <c:v>Karnataka</c:v>
                  </c:pt>
                  <c:pt idx="38">
                    <c:v>Karnataka</c:v>
                  </c:pt>
                  <c:pt idx="39">
                    <c:v>Karnataka</c:v>
                  </c:pt>
                  <c:pt idx="40">
                    <c:v>Karnataka</c:v>
                  </c:pt>
                  <c:pt idx="41">
                    <c:v>Karnataka</c:v>
                  </c:pt>
                  <c:pt idx="42">
                    <c:v>Karnataka</c:v>
                  </c:pt>
                  <c:pt idx="43">
                    <c:v>Karnataka</c:v>
                  </c:pt>
                  <c:pt idx="44">
                    <c:v>Karnataka</c:v>
                  </c:pt>
                  <c:pt idx="45">
                    <c:v>Karnataka</c:v>
                  </c:pt>
                  <c:pt idx="46">
                    <c:v>Karnataka</c:v>
                  </c:pt>
                  <c:pt idx="47">
                    <c:v>Karnataka</c:v>
                  </c:pt>
                  <c:pt idx="48">
                    <c:v>Karnataka</c:v>
                  </c:pt>
                  <c:pt idx="49">
                    <c:v>Karnataka</c:v>
                  </c:pt>
                  <c:pt idx="50">
                    <c:v>Karnataka</c:v>
                  </c:pt>
                  <c:pt idx="51">
                    <c:v>Karnataka</c:v>
                  </c:pt>
                  <c:pt idx="52">
                    <c:v>Karnataka</c:v>
                  </c:pt>
                  <c:pt idx="53">
                    <c:v>Karnataka</c:v>
                  </c:pt>
                  <c:pt idx="54">
                    <c:v>Karnataka</c:v>
                  </c:pt>
                  <c:pt idx="55">
                    <c:v>Karnataka</c:v>
                  </c:pt>
                  <c:pt idx="56">
                    <c:v>Karnataka</c:v>
                  </c:pt>
                  <c:pt idx="57">
                    <c:v>Karnataka</c:v>
                  </c:pt>
                  <c:pt idx="58">
                    <c:v>Karnataka</c:v>
                  </c:pt>
                  <c:pt idx="59">
                    <c:v>Karnataka</c:v>
                  </c:pt>
                  <c:pt idx="60">
                    <c:v>Karnataka</c:v>
                  </c:pt>
                  <c:pt idx="61">
                    <c:v>Karnataka</c:v>
                  </c:pt>
                  <c:pt idx="62">
                    <c:v>Karnataka</c:v>
                  </c:pt>
                  <c:pt idx="63">
                    <c:v>Karnataka</c:v>
                  </c:pt>
                  <c:pt idx="64">
                    <c:v>Karnataka</c:v>
                  </c:pt>
                  <c:pt idx="65">
                    <c:v>Karnataka</c:v>
                  </c:pt>
                  <c:pt idx="66">
                    <c:v>Karnataka</c:v>
                  </c:pt>
                  <c:pt idx="67">
                    <c:v>Karnataka</c:v>
                  </c:pt>
                  <c:pt idx="68">
                    <c:v>Karnataka</c:v>
                  </c:pt>
                  <c:pt idx="69">
                    <c:v>Karnataka</c:v>
                  </c:pt>
                  <c:pt idx="70">
                    <c:v>Karnataka</c:v>
                  </c:pt>
                  <c:pt idx="71">
                    <c:v>Karnataka</c:v>
                  </c:pt>
                  <c:pt idx="72">
                    <c:v>Karnataka</c:v>
                  </c:pt>
                  <c:pt idx="73">
                    <c:v>Karnataka</c:v>
                  </c:pt>
                  <c:pt idx="74">
                    <c:v>Karnataka</c:v>
                  </c:pt>
                  <c:pt idx="75">
                    <c:v>Karnataka</c:v>
                  </c:pt>
                  <c:pt idx="76">
                    <c:v>Karnataka</c:v>
                  </c:pt>
                  <c:pt idx="77">
                    <c:v>Karnataka</c:v>
                  </c:pt>
                  <c:pt idx="78">
                    <c:v>Karnataka</c:v>
                  </c:pt>
                  <c:pt idx="79">
                    <c:v>Karnataka</c:v>
                  </c:pt>
                  <c:pt idx="80">
                    <c:v>Karnataka</c:v>
                  </c:pt>
                  <c:pt idx="81">
                    <c:v>Karnataka</c:v>
                  </c:pt>
                  <c:pt idx="82">
                    <c:v>Karnataka</c:v>
                  </c:pt>
                  <c:pt idx="83">
                    <c:v>Karnataka</c:v>
                  </c:pt>
                  <c:pt idx="84">
                    <c:v>Karnataka</c:v>
                  </c:pt>
                  <c:pt idx="85">
                    <c:v>Karnataka</c:v>
                  </c:pt>
                  <c:pt idx="86">
                    <c:v>Karnataka</c:v>
                  </c:pt>
                  <c:pt idx="87">
                    <c:v>Karnataka</c:v>
                  </c:pt>
                  <c:pt idx="88">
                    <c:v>Karnataka</c:v>
                  </c:pt>
                  <c:pt idx="89">
                    <c:v>Karnataka</c:v>
                  </c:pt>
                  <c:pt idx="90">
                    <c:v>Karnataka</c:v>
                  </c:pt>
                  <c:pt idx="91">
                    <c:v>Karnataka</c:v>
                  </c:pt>
                  <c:pt idx="92">
                    <c:v>Karnataka</c:v>
                  </c:pt>
                  <c:pt idx="93">
                    <c:v>Karnataka</c:v>
                  </c:pt>
                  <c:pt idx="94">
                    <c:v>Karnataka</c:v>
                  </c:pt>
                  <c:pt idx="95">
                    <c:v>Karnataka</c:v>
                  </c:pt>
                  <c:pt idx="96">
                    <c:v>Karnataka</c:v>
                  </c:pt>
                  <c:pt idx="97">
                    <c:v>Karnataka</c:v>
                  </c:pt>
                  <c:pt idx="98">
                    <c:v>Karnataka</c:v>
                  </c:pt>
                  <c:pt idx="99">
                    <c:v>Karnataka</c:v>
                  </c:pt>
                  <c:pt idx="100">
                    <c:v>Karnataka</c:v>
                  </c:pt>
                </c:lvl>
                <c:lvl>
                  <c:pt idx="0">
                    <c:v>Constituency</c:v>
                  </c:pt>
                  <c:pt idx="1">
                    <c:v>Bangalore South</c:v>
                  </c:pt>
                  <c:pt idx="2">
                    <c:v>Belgaum</c:v>
                  </c:pt>
                  <c:pt idx="3">
                    <c:v>Mangalore</c:v>
                  </c:pt>
                  <c:pt idx="4">
                    <c:v>Belgaum</c:v>
                  </c:pt>
                  <c:pt idx="5">
                    <c:v>Shimoga</c:v>
                  </c:pt>
                  <c:pt idx="6">
                    <c:v>Bellary</c:v>
                  </c:pt>
                  <c:pt idx="7">
                    <c:v>Belgaum</c:v>
                  </c:pt>
                  <c:pt idx="8">
                    <c:v>Mangalore</c:v>
                  </c:pt>
                  <c:pt idx="9">
                    <c:v>Tumkur</c:v>
                  </c:pt>
                  <c:pt idx="10">
                    <c:v>Shimoga</c:v>
                  </c:pt>
                  <c:pt idx="11">
                    <c:v>Bangalore South</c:v>
                  </c:pt>
                  <c:pt idx="12">
                    <c:v>Mangalore</c:v>
                  </c:pt>
                  <c:pt idx="13">
                    <c:v>Bijapur</c:v>
                  </c:pt>
                  <c:pt idx="14">
                    <c:v>Belgaum</c:v>
                  </c:pt>
                  <c:pt idx="15">
                    <c:v>Hubli</c:v>
                  </c:pt>
                  <c:pt idx="16">
                    <c:v>Bellary</c:v>
                  </c:pt>
                  <c:pt idx="17">
                    <c:v>Bangalore South</c:v>
                  </c:pt>
                  <c:pt idx="18">
                    <c:v>Mangalore</c:v>
                  </c:pt>
                  <c:pt idx="19">
                    <c:v>Shimoga</c:v>
                  </c:pt>
                  <c:pt idx="20">
                    <c:v>Shimoga</c:v>
                  </c:pt>
                  <c:pt idx="21">
                    <c:v>Bangalore South</c:v>
                  </c:pt>
                  <c:pt idx="22">
                    <c:v>Davanagere</c:v>
                  </c:pt>
                  <c:pt idx="23">
                    <c:v>Belgaum</c:v>
                  </c:pt>
                  <c:pt idx="24">
                    <c:v>Bellary</c:v>
                  </c:pt>
                  <c:pt idx="25">
                    <c:v>Davanagere</c:v>
                  </c:pt>
                  <c:pt idx="26">
                    <c:v>Bellary</c:v>
                  </c:pt>
                  <c:pt idx="27">
                    <c:v>Mysore</c:v>
                  </c:pt>
                  <c:pt idx="28">
                    <c:v>Hubli</c:v>
                  </c:pt>
                  <c:pt idx="29">
                    <c:v>Bangalore South</c:v>
                  </c:pt>
                  <c:pt idx="30">
                    <c:v>Hubli</c:v>
                  </c:pt>
                  <c:pt idx="31">
                    <c:v>Tumkur</c:v>
                  </c:pt>
                  <c:pt idx="32">
                    <c:v>Belgaum</c:v>
                  </c:pt>
                  <c:pt idx="33">
                    <c:v>Bijapur</c:v>
                  </c:pt>
                  <c:pt idx="34">
                    <c:v>Bijapur</c:v>
                  </c:pt>
                  <c:pt idx="35">
                    <c:v>Belgaum</c:v>
                  </c:pt>
                  <c:pt idx="36">
                    <c:v>Belgaum</c:v>
                  </c:pt>
                  <c:pt idx="37">
                    <c:v>Bangalore South</c:v>
                  </c:pt>
                  <c:pt idx="38">
                    <c:v>Bellary</c:v>
                  </c:pt>
                  <c:pt idx="39">
                    <c:v>Mangalore</c:v>
                  </c:pt>
                  <c:pt idx="40">
                    <c:v>Belgaum</c:v>
                  </c:pt>
                  <c:pt idx="41">
                    <c:v>Davanagere</c:v>
                  </c:pt>
                  <c:pt idx="42">
                    <c:v>Mysore</c:v>
                  </c:pt>
                  <c:pt idx="43">
                    <c:v>Tumkur</c:v>
                  </c:pt>
                  <c:pt idx="44">
                    <c:v>Mysore</c:v>
                  </c:pt>
                  <c:pt idx="45">
                    <c:v>Tumkur</c:v>
                  </c:pt>
                  <c:pt idx="46">
                    <c:v>Tumkur</c:v>
                  </c:pt>
                  <c:pt idx="47">
                    <c:v>Hubli</c:v>
                  </c:pt>
                  <c:pt idx="48">
                    <c:v>Bijapur</c:v>
                  </c:pt>
                  <c:pt idx="49">
                    <c:v>Davanagere</c:v>
                  </c:pt>
                  <c:pt idx="50">
                    <c:v>Davanagere</c:v>
                  </c:pt>
                  <c:pt idx="51">
                    <c:v>Davanagere</c:v>
                  </c:pt>
                  <c:pt idx="52">
                    <c:v>Bangalore South</c:v>
                  </c:pt>
                  <c:pt idx="53">
                    <c:v>Bangalore South</c:v>
                  </c:pt>
                  <c:pt idx="54">
                    <c:v>Davanagere</c:v>
                  </c:pt>
                  <c:pt idx="55">
                    <c:v>Mysore</c:v>
                  </c:pt>
                  <c:pt idx="56">
                    <c:v>Mysore</c:v>
                  </c:pt>
                  <c:pt idx="57">
                    <c:v>Hubli</c:v>
                  </c:pt>
                  <c:pt idx="58">
                    <c:v>Bangalore South</c:v>
                  </c:pt>
                  <c:pt idx="59">
                    <c:v>Shimoga</c:v>
                  </c:pt>
                  <c:pt idx="60">
                    <c:v>Davanagere</c:v>
                  </c:pt>
                  <c:pt idx="61">
                    <c:v>Bijapur</c:v>
                  </c:pt>
                  <c:pt idx="62">
                    <c:v>Bangalore South</c:v>
                  </c:pt>
                  <c:pt idx="63">
                    <c:v>Bangalore South</c:v>
                  </c:pt>
                  <c:pt idx="64">
                    <c:v>Tumkur</c:v>
                  </c:pt>
                  <c:pt idx="65">
                    <c:v>Shimoga</c:v>
                  </c:pt>
                  <c:pt idx="66">
                    <c:v>Mysore</c:v>
                  </c:pt>
                  <c:pt idx="67">
                    <c:v>Mangalore</c:v>
                  </c:pt>
                  <c:pt idx="68">
                    <c:v>Tumkur</c:v>
                  </c:pt>
                  <c:pt idx="69">
                    <c:v>Hubli</c:v>
                  </c:pt>
                  <c:pt idx="70">
                    <c:v>Hubli</c:v>
                  </c:pt>
                  <c:pt idx="71">
                    <c:v>Mangalore</c:v>
                  </c:pt>
                  <c:pt idx="72">
                    <c:v>Mysore</c:v>
                  </c:pt>
                  <c:pt idx="73">
                    <c:v>Bijapur</c:v>
                  </c:pt>
                  <c:pt idx="74">
                    <c:v>Belgaum</c:v>
                  </c:pt>
                  <c:pt idx="75">
                    <c:v>Shimoga</c:v>
                  </c:pt>
                  <c:pt idx="76">
                    <c:v>Davanagere</c:v>
                  </c:pt>
                  <c:pt idx="77">
                    <c:v>Bangalore South</c:v>
                  </c:pt>
                  <c:pt idx="78">
                    <c:v>Hubli</c:v>
                  </c:pt>
                  <c:pt idx="79">
                    <c:v>Tumkur</c:v>
                  </c:pt>
                  <c:pt idx="80">
                    <c:v>Mysore</c:v>
                  </c:pt>
                  <c:pt idx="81">
                    <c:v>Bangalore South</c:v>
                  </c:pt>
                  <c:pt idx="82">
                    <c:v>Shimoga</c:v>
                  </c:pt>
                  <c:pt idx="83">
                    <c:v>Davanagere</c:v>
                  </c:pt>
                  <c:pt idx="84">
                    <c:v>Mysore</c:v>
                  </c:pt>
                  <c:pt idx="85">
                    <c:v>Shimoga</c:v>
                  </c:pt>
                  <c:pt idx="86">
                    <c:v>Mangalore</c:v>
                  </c:pt>
                  <c:pt idx="87">
                    <c:v>Belgaum</c:v>
                  </c:pt>
                  <c:pt idx="88">
                    <c:v>Bijapur</c:v>
                  </c:pt>
                  <c:pt idx="89">
                    <c:v>Mysore</c:v>
                  </c:pt>
                  <c:pt idx="90">
                    <c:v>Bangalore South</c:v>
                  </c:pt>
                  <c:pt idx="91">
                    <c:v>Davanagere</c:v>
                  </c:pt>
                  <c:pt idx="92">
                    <c:v>Bellary</c:v>
                  </c:pt>
                  <c:pt idx="93">
                    <c:v>Hubli</c:v>
                  </c:pt>
                  <c:pt idx="94">
                    <c:v>Mysore</c:v>
                  </c:pt>
                  <c:pt idx="95">
                    <c:v>Bangalore South</c:v>
                  </c:pt>
                  <c:pt idx="96">
                    <c:v>Bangalore South</c:v>
                  </c:pt>
                  <c:pt idx="97">
                    <c:v>Shimoga</c:v>
                  </c:pt>
                  <c:pt idx="98">
                    <c:v>Mangalore</c:v>
                  </c:pt>
                  <c:pt idx="99">
                    <c:v>Bijapur</c:v>
                  </c:pt>
                  <c:pt idx="100">
                    <c:v>Davanagere</c:v>
                  </c:pt>
                </c:lvl>
              </c:multiLvlStrCache>
            </c:multiLvlStrRef>
          </c:cat>
          <c:val>
            <c:numRef>
              <c:f>Cleaned_Data!$E$1:$E$101</c:f>
              <c:numCache>
                <c:formatCode>General</c:formatCode>
                <c:ptCount val="101"/>
                <c:pt idx="0">
                  <c:v>-120000</c:v>
                </c:pt>
                <c:pt idx="2">
                  <c:v>46375</c:v>
                </c:pt>
                <c:pt idx="3">
                  <c:v>79722</c:v>
                </c:pt>
                <c:pt idx="4">
                  <c:v>68797</c:v>
                </c:pt>
                <c:pt idx="5">
                  <c:v>70248</c:v>
                </c:pt>
                <c:pt idx="6">
                  <c:v>50587</c:v>
                </c:pt>
                <c:pt idx="7">
                  <c:v>70727</c:v>
                </c:pt>
                <c:pt idx="8">
                  <c:v>55420</c:v>
                </c:pt>
                <c:pt idx="9">
                  <c:v>50504</c:v>
                </c:pt>
                <c:pt idx="10">
                  <c:v>19249</c:v>
                </c:pt>
                <c:pt idx="11">
                  <c:v>76608</c:v>
                </c:pt>
                <c:pt idx="12">
                  <c:v>70647</c:v>
                </c:pt>
                <c:pt idx="13">
                  <c:v>33998</c:v>
                </c:pt>
                <c:pt idx="14">
                  <c:v>54842</c:v>
                </c:pt>
                <c:pt idx="15">
                  <c:v>32097</c:v>
                </c:pt>
                <c:pt idx="16">
                  <c:v>68944</c:v>
                </c:pt>
                <c:pt idx="17">
                  <c:v>61711</c:v>
                </c:pt>
                <c:pt idx="18">
                  <c:v>73871</c:v>
                </c:pt>
                <c:pt idx="19">
                  <c:v>78508</c:v>
                </c:pt>
                <c:pt idx="20">
                  <c:v>49467</c:v>
                </c:pt>
                <c:pt idx="21">
                  <c:v>36753</c:v>
                </c:pt>
                <c:pt idx="22">
                  <c:v>15823</c:v>
                </c:pt>
                <c:pt idx="23">
                  <c:v>27605</c:v>
                </c:pt>
                <c:pt idx="24">
                  <c:v>25902</c:v>
                </c:pt>
                <c:pt idx="25">
                  <c:v>26889</c:v>
                </c:pt>
                <c:pt idx="26">
                  <c:v>76432</c:v>
                </c:pt>
                <c:pt idx="27">
                  <c:v>35634</c:v>
                </c:pt>
                <c:pt idx="28">
                  <c:v>51711</c:v>
                </c:pt>
                <c:pt idx="29">
                  <c:v>64450</c:v>
                </c:pt>
                <c:pt idx="30">
                  <c:v>60999</c:v>
                </c:pt>
                <c:pt idx="31">
                  <c:v>61375</c:v>
                </c:pt>
                <c:pt idx="32">
                  <c:v>43347</c:v>
                </c:pt>
                <c:pt idx="33">
                  <c:v>57780</c:v>
                </c:pt>
                <c:pt idx="34">
                  <c:v>37004</c:v>
                </c:pt>
                <c:pt idx="35">
                  <c:v>15297</c:v>
                </c:pt>
                <c:pt idx="36">
                  <c:v>42367</c:v>
                </c:pt>
                <c:pt idx="37">
                  <c:v>36160</c:v>
                </c:pt>
                <c:pt idx="38">
                  <c:v>39532</c:v>
                </c:pt>
                <c:pt idx="39">
                  <c:v>49695</c:v>
                </c:pt>
                <c:pt idx="40">
                  <c:v>33656</c:v>
                </c:pt>
                <c:pt idx="41">
                  <c:v>63495</c:v>
                </c:pt>
                <c:pt idx="42">
                  <c:v>66304</c:v>
                </c:pt>
                <c:pt idx="43">
                  <c:v>74026</c:v>
                </c:pt>
                <c:pt idx="44">
                  <c:v>24729</c:v>
                </c:pt>
                <c:pt idx="45">
                  <c:v>20437</c:v>
                </c:pt>
                <c:pt idx="46">
                  <c:v>17801</c:v>
                </c:pt>
                <c:pt idx="47">
                  <c:v>67639</c:v>
                </c:pt>
                <c:pt idx="48">
                  <c:v>74681</c:v>
                </c:pt>
                <c:pt idx="49">
                  <c:v>55036</c:v>
                </c:pt>
                <c:pt idx="50">
                  <c:v>22692</c:v>
                </c:pt>
                <c:pt idx="51">
                  <c:v>74518</c:v>
                </c:pt>
                <c:pt idx="52">
                  <c:v>67835</c:v>
                </c:pt>
                <c:pt idx="53">
                  <c:v>44981</c:v>
                </c:pt>
                <c:pt idx="54">
                  <c:v>37651</c:v>
                </c:pt>
                <c:pt idx="55">
                  <c:v>56457</c:v>
                </c:pt>
                <c:pt idx="56">
                  <c:v>45318</c:v>
                </c:pt>
                <c:pt idx="57">
                  <c:v>47898</c:v>
                </c:pt>
                <c:pt idx="58">
                  <c:v>46327</c:v>
                </c:pt>
                <c:pt idx="59">
                  <c:v>35537</c:v>
                </c:pt>
                <c:pt idx="60">
                  <c:v>18433</c:v>
                </c:pt>
                <c:pt idx="61">
                  <c:v>15309</c:v>
                </c:pt>
                <c:pt idx="62">
                  <c:v>76918</c:v>
                </c:pt>
                <c:pt idx="63">
                  <c:v>23352</c:v>
                </c:pt>
                <c:pt idx="64">
                  <c:v>53781</c:v>
                </c:pt>
                <c:pt idx="65">
                  <c:v>36385</c:v>
                </c:pt>
                <c:pt idx="66">
                  <c:v>63898</c:v>
                </c:pt>
                <c:pt idx="67">
                  <c:v>35004</c:v>
                </c:pt>
                <c:pt idx="68">
                  <c:v>18809</c:v>
                </c:pt>
                <c:pt idx="69">
                  <c:v>35123</c:v>
                </c:pt>
                <c:pt idx="70">
                  <c:v>55919</c:v>
                </c:pt>
                <c:pt idx="71">
                  <c:v>68667</c:v>
                </c:pt>
                <c:pt idx="72">
                  <c:v>27489</c:v>
                </c:pt>
                <c:pt idx="73">
                  <c:v>44876</c:v>
                </c:pt>
                <c:pt idx="74">
                  <c:v>45634</c:v>
                </c:pt>
                <c:pt idx="75">
                  <c:v>40513</c:v>
                </c:pt>
                <c:pt idx="76">
                  <c:v>75871</c:v>
                </c:pt>
                <c:pt idx="77">
                  <c:v>20624</c:v>
                </c:pt>
                <c:pt idx="78">
                  <c:v>42144</c:v>
                </c:pt>
                <c:pt idx="79">
                  <c:v>65434</c:v>
                </c:pt>
                <c:pt idx="80">
                  <c:v>39832</c:v>
                </c:pt>
                <c:pt idx="81">
                  <c:v>24935</c:v>
                </c:pt>
                <c:pt idx="82">
                  <c:v>72994</c:v>
                </c:pt>
                <c:pt idx="83">
                  <c:v>21180</c:v>
                </c:pt>
                <c:pt idx="84">
                  <c:v>25649</c:v>
                </c:pt>
                <c:pt idx="85">
                  <c:v>22558</c:v>
                </c:pt>
                <c:pt idx="86">
                  <c:v>21976</c:v>
                </c:pt>
                <c:pt idx="87">
                  <c:v>61672</c:v>
                </c:pt>
                <c:pt idx="88">
                  <c:v>17557</c:v>
                </c:pt>
                <c:pt idx="89">
                  <c:v>32280</c:v>
                </c:pt>
                <c:pt idx="90">
                  <c:v>35598</c:v>
                </c:pt>
                <c:pt idx="91">
                  <c:v>73832</c:v>
                </c:pt>
                <c:pt idx="92">
                  <c:v>76880</c:v>
                </c:pt>
                <c:pt idx="93">
                  <c:v>65178</c:v>
                </c:pt>
                <c:pt idx="94">
                  <c:v>51532</c:v>
                </c:pt>
                <c:pt idx="95">
                  <c:v>15743</c:v>
                </c:pt>
                <c:pt idx="96">
                  <c:v>62084</c:v>
                </c:pt>
                <c:pt idx="97">
                  <c:v>16226</c:v>
                </c:pt>
                <c:pt idx="98">
                  <c:v>74633</c:v>
                </c:pt>
                <c:pt idx="99">
                  <c:v>20357</c:v>
                </c:pt>
                <c:pt idx="100">
                  <c:v>19371</c:v>
                </c:pt>
              </c:numCache>
            </c:numRef>
          </c:val>
        </c:ser>
        <c:ser>
          <c:idx val="1"/>
          <c:order val="1"/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Cleaned_Data!$A$1:$D$101</c:f>
              <c:multiLvlStrCache>
                <c:ptCount val="101"/>
                <c:lvl>
                  <c:pt idx="0">
                    <c:v>Candidate</c:v>
                  </c:pt>
                  <c:pt idx="1">
                    <c:v>Amit Shah</c:v>
                  </c:pt>
                  <c:pt idx="2">
                    <c:v>Nisha Kulkarni</c:v>
                  </c:pt>
                  <c:pt idx="3">
                    <c:v>Amit Shah</c:v>
                  </c:pt>
                  <c:pt idx="4">
                    <c:v>Asha Patil</c:v>
                  </c:pt>
                  <c:pt idx="5">
                    <c:v>Nisha Kulkarni</c:v>
                  </c:pt>
                  <c:pt idx="6">
                    <c:v>Rahul Verma</c:v>
                  </c:pt>
                  <c:pt idx="7">
                    <c:v>Anita Desai</c:v>
                  </c:pt>
                  <c:pt idx="8">
                    <c:v>Rajeev Nair</c:v>
                  </c:pt>
                  <c:pt idx="9">
                    <c:v>Manoj Singh</c:v>
                  </c:pt>
                  <c:pt idx="10">
                    <c:v>Sneha Reddy</c:v>
                  </c:pt>
                  <c:pt idx="11">
                    <c:v>Priya Menon</c:v>
                  </c:pt>
                  <c:pt idx="12">
                    <c:v>Prakash Patil</c:v>
                  </c:pt>
                  <c:pt idx="13">
                    <c:v>Neha Joshi</c:v>
                  </c:pt>
                  <c:pt idx="14">
                    <c:v>Ravi Kumar</c:v>
                  </c:pt>
                  <c:pt idx="15">
                    <c:v>Rahul Verma</c:v>
                  </c:pt>
                  <c:pt idx="16">
                    <c:v>Neha Joshi</c:v>
                  </c:pt>
                  <c:pt idx="17">
                    <c:v>Suresh Naik</c:v>
                  </c:pt>
                  <c:pt idx="18">
                    <c:v>Nisha Kulkarni</c:v>
                  </c:pt>
                  <c:pt idx="19">
                    <c:v>Nisha Kulkarni</c:v>
                  </c:pt>
                  <c:pt idx="20">
                    <c:v>Neha Joshi</c:v>
                  </c:pt>
                  <c:pt idx="21">
                    <c:v>Manoj Singh</c:v>
                  </c:pt>
                  <c:pt idx="22">
                    <c:v>Manoj Singh</c:v>
                  </c:pt>
                  <c:pt idx="23">
                    <c:v>Kavya Rao</c:v>
                  </c:pt>
                  <c:pt idx="24">
                    <c:v>Pooja Verma</c:v>
                  </c:pt>
                  <c:pt idx="25">
                    <c:v>Manoj Singh</c:v>
                  </c:pt>
                  <c:pt idx="26">
                    <c:v>Priya Menon</c:v>
                  </c:pt>
                  <c:pt idx="27">
                    <c:v>Priya Menon</c:v>
                  </c:pt>
                  <c:pt idx="28">
                    <c:v>Ravi Kumar</c:v>
                  </c:pt>
                  <c:pt idx="29">
                    <c:v>Rahul Verma</c:v>
                  </c:pt>
                  <c:pt idx="30">
                    <c:v>Asha Patil</c:v>
                  </c:pt>
                  <c:pt idx="31">
                    <c:v>Amit Shah</c:v>
                  </c:pt>
                  <c:pt idx="32">
                    <c:v>Rahul Verma</c:v>
                  </c:pt>
                  <c:pt idx="33">
                    <c:v>Anita Desai</c:v>
                  </c:pt>
                  <c:pt idx="34">
                    <c:v>Asha Patil</c:v>
                  </c:pt>
                  <c:pt idx="35">
                    <c:v>Amit Shah</c:v>
                  </c:pt>
                  <c:pt idx="36">
                    <c:v>Rajeev Nair</c:v>
                  </c:pt>
                  <c:pt idx="37">
                    <c:v>Vikram Joshi</c:v>
                  </c:pt>
                  <c:pt idx="38">
                    <c:v>Manoj Singh</c:v>
                  </c:pt>
                  <c:pt idx="39">
                    <c:v>Arjun Rao</c:v>
                  </c:pt>
                  <c:pt idx="40">
                    <c:v>Arjun Rao</c:v>
                  </c:pt>
                  <c:pt idx="41">
                    <c:v>Rahul Verma</c:v>
                  </c:pt>
                  <c:pt idx="42">
                    <c:v>Kiran Gowda</c:v>
                  </c:pt>
                  <c:pt idx="43">
                    <c:v>Neha Joshi</c:v>
                  </c:pt>
                  <c:pt idx="44">
                    <c:v>Asha Patil</c:v>
                  </c:pt>
                  <c:pt idx="45">
                    <c:v>Sneha Reddy</c:v>
                  </c:pt>
                  <c:pt idx="46">
                    <c:v>Meera Iyer</c:v>
                  </c:pt>
                  <c:pt idx="47">
                    <c:v>Kiran Gowda</c:v>
                  </c:pt>
                  <c:pt idx="48">
                    <c:v>Amit Shah</c:v>
                  </c:pt>
                  <c:pt idx="49">
                    <c:v>Suresh Naik</c:v>
                  </c:pt>
                  <c:pt idx="50">
                    <c:v>Manoj Singh</c:v>
                  </c:pt>
                  <c:pt idx="51">
                    <c:v>Priya Menon</c:v>
                  </c:pt>
                  <c:pt idx="52">
                    <c:v>Sneha Reddy</c:v>
                  </c:pt>
                  <c:pt idx="53">
                    <c:v>Pooja Verma</c:v>
                  </c:pt>
                  <c:pt idx="54">
                    <c:v>Suresh Naik</c:v>
                  </c:pt>
                  <c:pt idx="55">
                    <c:v>Neha Joshi</c:v>
                  </c:pt>
                  <c:pt idx="56">
                    <c:v>Anita Desai</c:v>
                  </c:pt>
                  <c:pt idx="57">
                    <c:v>Prakash Patil</c:v>
                  </c:pt>
                  <c:pt idx="58">
                    <c:v>Ravi Kumar</c:v>
                  </c:pt>
                  <c:pt idx="59">
                    <c:v>Amit Shah</c:v>
                  </c:pt>
                  <c:pt idx="60">
                    <c:v>Rahul Verma</c:v>
                  </c:pt>
                  <c:pt idx="61">
                    <c:v>Vikram Joshi</c:v>
                  </c:pt>
                  <c:pt idx="62">
                    <c:v>Pooja Verma</c:v>
                  </c:pt>
                  <c:pt idx="63">
                    <c:v>Anita Desai</c:v>
                  </c:pt>
                  <c:pt idx="64">
                    <c:v>Rajeev Nair</c:v>
                  </c:pt>
                  <c:pt idx="65">
                    <c:v>Nisha Kulkarni</c:v>
                  </c:pt>
                  <c:pt idx="66">
                    <c:v>Nisha Kulkarni</c:v>
                  </c:pt>
                  <c:pt idx="67">
                    <c:v>Priya Menon</c:v>
                  </c:pt>
                  <c:pt idx="68">
                    <c:v>Vikram Joshi</c:v>
                  </c:pt>
                  <c:pt idx="69">
                    <c:v>Rajeev Nair</c:v>
                  </c:pt>
                  <c:pt idx="70">
                    <c:v>Manoj Singh</c:v>
                  </c:pt>
                  <c:pt idx="71">
                    <c:v>Kavya Rao</c:v>
                  </c:pt>
                  <c:pt idx="72">
                    <c:v>Manoj Singh</c:v>
                  </c:pt>
                  <c:pt idx="73">
                    <c:v>Pooja Verma</c:v>
                  </c:pt>
                  <c:pt idx="74">
                    <c:v>Amit Shah</c:v>
                  </c:pt>
                  <c:pt idx="75">
                    <c:v>Kiran Gowda</c:v>
                  </c:pt>
                  <c:pt idx="76">
                    <c:v>Nisha Kulkarni</c:v>
                  </c:pt>
                  <c:pt idx="77">
                    <c:v>Rahul Verma</c:v>
                  </c:pt>
                  <c:pt idx="78">
                    <c:v>Arjun Rao</c:v>
                  </c:pt>
                  <c:pt idx="79">
                    <c:v>Prakash Patil</c:v>
                  </c:pt>
                  <c:pt idx="80">
                    <c:v>Sneha Reddy</c:v>
                  </c:pt>
                  <c:pt idx="81">
                    <c:v>Kiran Gowda</c:v>
                  </c:pt>
                  <c:pt idx="82">
                    <c:v>Manoj Singh</c:v>
                  </c:pt>
                  <c:pt idx="83">
                    <c:v>Manoj Singh</c:v>
                  </c:pt>
                  <c:pt idx="84">
                    <c:v>Sneha Reddy</c:v>
                  </c:pt>
                  <c:pt idx="85">
                    <c:v>Ravi Kumar</c:v>
                  </c:pt>
                  <c:pt idx="86">
                    <c:v>Kavya Rao</c:v>
                  </c:pt>
                  <c:pt idx="87">
                    <c:v>Rajeev Nair</c:v>
                  </c:pt>
                  <c:pt idx="88">
                    <c:v>Ravi Kumar</c:v>
                  </c:pt>
                  <c:pt idx="89">
                    <c:v>Suresh Naik</c:v>
                  </c:pt>
                  <c:pt idx="90">
                    <c:v>Asha Patil</c:v>
                  </c:pt>
                  <c:pt idx="91">
                    <c:v>Sneha Reddy</c:v>
                  </c:pt>
                  <c:pt idx="92">
                    <c:v>Kavya Rao</c:v>
                  </c:pt>
                  <c:pt idx="93">
                    <c:v>Anita Desai</c:v>
                  </c:pt>
                  <c:pt idx="94">
                    <c:v>Neha Joshi</c:v>
                  </c:pt>
                  <c:pt idx="95">
                    <c:v>Nisha Kulkarni</c:v>
                  </c:pt>
                  <c:pt idx="96">
                    <c:v>Divya Sharma</c:v>
                  </c:pt>
                  <c:pt idx="97">
                    <c:v>Rajeev Nair</c:v>
                  </c:pt>
                  <c:pt idx="98">
                    <c:v>Rajeev Nair</c:v>
                  </c:pt>
                  <c:pt idx="99">
                    <c:v>Divya Sharma</c:v>
                  </c:pt>
                  <c:pt idx="100">
                    <c:v>Kiran Gowda</c:v>
                  </c:pt>
                </c:lvl>
                <c:lvl>
                  <c:pt idx="0">
                    <c:v>Party</c:v>
                  </c:pt>
                  <c:pt idx="1">
                    <c:v>XYZ</c:v>
                  </c:pt>
                  <c:pt idx="2">
                    <c:v>XYZ</c:v>
                  </c:pt>
                  <c:pt idx="3">
                    <c:v>ABC</c:v>
                  </c:pt>
                  <c:pt idx="4">
                    <c:v>PQR</c:v>
                  </c:pt>
                  <c:pt idx="5">
                    <c:v>ABC</c:v>
                  </c:pt>
                  <c:pt idx="6">
                    <c:v>ABC</c:v>
                  </c:pt>
                  <c:pt idx="7">
                    <c:v>XYZ</c:v>
                  </c:pt>
                  <c:pt idx="8">
                    <c:v>LMN</c:v>
                  </c:pt>
                  <c:pt idx="9">
                    <c:v>PQR</c:v>
                  </c:pt>
                  <c:pt idx="10">
                    <c:v>ABC</c:v>
                  </c:pt>
                  <c:pt idx="11">
                    <c:v>LMN</c:v>
                  </c:pt>
                  <c:pt idx="12">
                    <c:v>ABC</c:v>
                  </c:pt>
                  <c:pt idx="13">
                    <c:v>LMN</c:v>
                  </c:pt>
                  <c:pt idx="14">
                    <c:v>XYZ</c:v>
                  </c:pt>
                  <c:pt idx="15">
                    <c:v>PQR</c:v>
                  </c:pt>
                  <c:pt idx="16">
                    <c:v>XYZ</c:v>
                  </c:pt>
                  <c:pt idx="17">
                    <c:v>XYZ</c:v>
                  </c:pt>
                  <c:pt idx="18">
                    <c:v>XYZ</c:v>
                  </c:pt>
                  <c:pt idx="19">
                    <c:v>ABC</c:v>
                  </c:pt>
                  <c:pt idx="20">
                    <c:v>ABC</c:v>
                  </c:pt>
                  <c:pt idx="21">
                    <c:v>PQR</c:v>
                  </c:pt>
                  <c:pt idx="22">
                    <c:v>ABC</c:v>
                  </c:pt>
                  <c:pt idx="23">
                    <c:v>ABC</c:v>
                  </c:pt>
                  <c:pt idx="24">
                    <c:v>PQR</c:v>
                  </c:pt>
                  <c:pt idx="25">
                    <c:v>XYZ</c:v>
                  </c:pt>
                  <c:pt idx="26">
                    <c:v>LMN</c:v>
                  </c:pt>
                  <c:pt idx="27">
                    <c:v>PQR</c:v>
                  </c:pt>
                  <c:pt idx="28">
                    <c:v>XYZ</c:v>
                  </c:pt>
                  <c:pt idx="29">
                    <c:v>ABC</c:v>
                  </c:pt>
                  <c:pt idx="30">
                    <c:v>ABC</c:v>
                  </c:pt>
                  <c:pt idx="31">
                    <c:v>ABC</c:v>
                  </c:pt>
                  <c:pt idx="32">
                    <c:v>ABC</c:v>
                  </c:pt>
                  <c:pt idx="33">
                    <c:v>XYZ</c:v>
                  </c:pt>
                  <c:pt idx="34">
                    <c:v>XYZ</c:v>
                  </c:pt>
                  <c:pt idx="35">
                    <c:v>XYZ</c:v>
                  </c:pt>
                  <c:pt idx="36">
                    <c:v>LMN</c:v>
                  </c:pt>
                  <c:pt idx="37">
                    <c:v>ABC</c:v>
                  </c:pt>
                  <c:pt idx="38">
                    <c:v>LMN</c:v>
                  </c:pt>
                  <c:pt idx="39">
                    <c:v>PQR</c:v>
                  </c:pt>
                  <c:pt idx="40">
                    <c:v>ABC</c:v>
                  </c:pt>
                  <c:pt idx="41">
                    <c:v>LMN</c:v>
                  </c:pt>
                  <c:pt idx="42">
                    <c:v>LMN</c:v>
                  </c:pt>
                  <c:pt idx="43">
                    <c:v>XYZ</c:v>
                  </c:pt>
                  <c:pt idx="44">
                    <c:v>LMN</c:v>
                  </c:pt>
                  <c:pt idx="45">
                    <c:v>LMN</c:v>
                  </c:pt>
                  <c:pt idx="46">
                    <c:v>PQR</c:v>
                  </c:pt>
                  <c:pt idx="47">
                    <c:v>LMN</c:v>
                  </c:pt>
                  <c:pt idx="48">
                    <c:v>PQR</c:v>
                  </c:pt>
                  <c:pt idx="49">
                    <c:v>XYZ</c:v>
                  </c:pt>
                  <c:pt idx="50">
                    <c:v>LMN</c:v>
                  </c:pt>
                  <c:pt idx="51">
                    <c:v>PQR</c:v>
                  </c:pt>
                  <c:pt idx="52">
                    <c:v>XYZ</c:v>
                  </c:pt>
                  <c:pt idx="53">
                    <c:v>ABC</c:v>
                  </c:pt>
                  <c:pt idx="54">
                    <c:v>XYZ</c:v>
                  </c:pt>
                  <c:pt idx="55">
                    <c:v>XYZ</c:v>
                  </c:pt>
                  <c:pt idx="56">
                    <c:v>XYZ</c:v>
                  </c:pt>
                  <c:pt idx="57">
                    <c:v>XYZ</c:v>
                  </c:pt>
                  <c:pt idx="58">
                    <c:v>XYZ</c:v>
                  </c:pt>
                  <c:pt idx="59">
                    <c:v>ABC</c:v>
                  </c:pt>
                  <c:pt idx="60">
                    <c:v>XYZ</c:v>
                  </c:pt>
                  <c:pt idx="61">
                    <c:v>XYZ</c:v>
                  </c:pt>
                  <c:pt idx="62">
                    <c:v>XYZ</c:v>
                  </c:pt>
                  <c:pt idx="63">
                    <c:v>XYZ</c:v>
                  </c:pt>
                  <c:pt idx="64">
                    <c:v>ABC</c:v>
                  </c:pt>
                  <c:pt idx="65">
                    <c:v>LMN</c:v>
                  </c:pt>
                  <c:pt idx="66">
                    <c:v>PQR</c:v>
                  </c:pt>
                  <c:pt idx="67">
                    <c:v>LMN</c:v>
                  </c:pt>
                  <c:pt idx="68">
                    <c:v>PQR</c:v>
                  </c:pt>
                  <c:pt idx="69">
                    <c:v>LMN</c:v>
                  </c:pt>
                  <c:pt idx="70">
                    <c:v>XYZ</c:v>
                  </c:pt>
                  <c:pt idx="71">
                    <c:v>XYZ</c:v>
                  </c:pt>
                  <c:pt idx="72">
                    <c:v>PQR</c:v>
                  </c:pt>
                  <c:pt idx="73">
                    <c:v>LMN</c:v>
                  </c:pt>
                  <c:pt idx="74">
                    <c:v>XYZ</c:v>
                  </c:pt>
                  <c:pt idx="75">
                    <c:v>PQR</c:v>
                  </c:pt>
                  <c:pt idx="76">
                    <c:v>ABC</c:v>
                  </c:pt>
                  <c:pt idx="77">
                    <c:v>PQR</c:v>
                  </c:pt>
                  <c:pt idx="78">
                    <c:v>XYZ</c:v>
                  </c:pt>
                  <c:pt idx="79">
                    <c:v>PQR</c:v>
                  </c:pt>
                  <c:pt idx="80">
                    <c:v>XYZ</c:v>
                  </c:pt>
                  <c:pt idx="81">
                    <c:v>ABC</c:v>
                  </c:pt>
                  <c:pt idx="82">
                    <c:v>LMN</c:v>
                  </c:pt>
                  <c:pt idx="83">
                    <c:v>PQR</c:v>
                  </c:pt>
                  <c:pt idx="84">
                    <c:v>LMN</c:v>
                  </c:pt>
                  <c:pt idx="85">
                    <c:v>XYZ</c:v>
                  </c:pt>
                  <c:pt idx="86">
                    <c:v>LMN</c:v>
                  </c:pt>
                  <c:pt idx="87">
                    <c:v>LMN</c:v>
                  </c:pt>
                  <c:pt idx="88">
                    <c:v>PQR</c:v>
                  </c:pt>
                  <c:pt idx="89">
                    <c:v>ABC</c:v>
                  </c:pt>
                  <c:pt idx="90">
                    <c:v>PQR</c:v>
                  </c:pt>
                  <c:pt idx="91">
                    <c:v>LMN</c:v>
                  </c:pt>
                  <c:pt idx="92">
                    <c:v>XYZ</c:v>
                  </c:pt>
                  <c:pt idx="93">
                    <c:v>PQR</c:v>
                  </c:pt>
                  <c:pt idx="94">
                    <c:v>XYZ</c:v>
                  </c:pt>
                  <c:pt idx="95">
                    <c:v>XYZ</c:v>
                  </c:pt>
                  <c:pt idx="96">
                    <c:v>XYZ</c:v>
                  </c:pt>
                  <c:pt idx="97">
                    <c:v>LMN</c:v>
                  </c:pt>
                  <c:pt idx="98">
                    <c:v>PQR</c:v>
                  </c:pt>
                  <c:pt idx="99">
                    <c:v>ABC</c:v>
                  </c:pt>
                  <c:pt idx="100">
                    <c:v>XYZ</c:v>
                  </c:pt>
                </c:lvl>
                <c:lvl>
                  <c:pt idx="0">
                    <c:v>State</c:v>
                  </c:pt>
                  <c:pt idx="1">
                    <c:v>Karnataka</c:v>
                  </c:pt>
                  <c:pt idx="2">
                    <c:v>Karnataka</c:v>
                  </c:pt>
                  <c:pt idx="3">
                    <c:v>Karnataka</c:v>
                  </c:pt>
                  <c:pt idx="4">
                    <c:v>Karnataka</c:v>
                  </c:pt>
                  <c:pt idx="5">
                    <c:v>Karnataka</c:v>
                  </c:pt>
                  <c:pt idx="6">
                    <c:v>Karnataka</c:v>
                  </c:pt>
                  <c:pt idx="7">
                    <c:v>Karnataka</c:v>
                  </c:pt>
                  <c:pt idx="8">
                    <c:v>Karnataka</c:v>
                  </c:pt>
                  <c:pt idx="9">
                    <c:v>Karnataka</c:v>
                  </c:pt>
                  <c:pt idx="10">
                    <c:v>Karnataka</c:v>
                  </c:pt>
                  <c:pt idx="11">
                    <c:v>Karnataka</c:v>
                  </c:pt>
                  <c:pt idx="12">
                    <c:v>Karnataka</c:v>
                  </c:pt>
                  <c:pt idx="13">
                    <c:v>Karnataka</c:v>
                  </c:pt>
                  <c:pt idx="14">
                    <c:v>Karnataka</c:v>
                  </c:pt>
                  <c:pt idx="15">
                    <c:v>Karnataka</c:v>
                  </c:pt>
                  <c:pt idx="16">
                    <c:v>Karnataka</c:v>
                  </c:pt>
                  <c:pt idx="17">
                    <c:v>Karnataka</c:v>
                  </c:pt>
                  <c:pt idx="18">
                    <c:v>Karnataka</c:v>
                  </c:pt>
                  <c:pt idx="19">
                    <c:v>Karnataka</c:v>
                  </c:pt>
                  <c:pt idx="20">
                    <c:v>Karnataka</c:v>
                  </c:pt>
                  <c:pt idx="21">
                    <c:v>Karnataka</c:v>
                  </c:pt>
                  <c:pt idx="22">
                    <c:v>Karnataka</c:v>
                  </c:pt>
                  <c:pt idx="23">
                    <c:v>Karnataka</c:v>
                  </c:pt>
                  <c:pt idx="24">
                    <c:v>Karnataka</c:v>
                  </c:pt>
                  <c:pt idx="25">
                    <c:v>Karnataka</c:v>
                  </c:pt>
                  <c:pt idx="26">
                    <c:v>Karnataka</c:v>
                  </c:pt>
                  <c:pt idx="27">
                    <c:v>Karnataka</c:v>
                  </c:pt>
                  <c:pt idx="28">
                    <c:v>Karnataka</c:v>
                  </c:pt>
                  <c:pt idx="29">
                    <c:v>Karnataka</c:v>
                  </c:pt>
                  <c:pt idx="30">
                    <c:v>Karnataka</c:v>
                  </c:pt>
                  <c:pt idx="31">
                    <c:v>Karnataka</c:v>
                  </c:pt>
                  <c:pt idx="32">
                    <c:v>Karnataka</c:v>
                  </c:pt>
                  <c:pt idx="33">
                    <c:v>Karnataka</c:v>
                  </c:pt>
                  <c:pt idx="34">
                    <c:v>Karnataka</c:v>
                  </c:pt>
                  <c:pt idx="35">
                    <c:v>Karnataka</c:v>
                  </c:pt>
                  <c:pt idx="36">
                    <c:v>Karnataka</c:v>
                  </c:pt>
                  <c:pt idx="37">
                    <c:v>Karnataka</c:v>
                  </c:pt>
                  <c:pt idx="38">
                    <c:v>Karnataka</c:v>
                  </c:pt>
                  <c:pt idx="39">
                    <c:v>Karnataka</c:v>
                  </c:pt>
                  <c:pt idx="40">
                    <c:v>Karnataka</c:v>
                  </c:pt>
                  <c:pt idx="41">
                    <c:v>Karnataka</c:v>
                  </c:pt>
                  <c:pt idx="42">
                    <c:v>Karnataka</c:v>
                  </c:pt>
                  <c:pt idx="43">
                    <c:v>Karnataka</c:v>
                  </c:pt>
                  <c:pt idx="44">
                    <c:v>Karnataka</c:v>
                  </c:pt>
                  <c:pt idx="45">
                    <c:v>Karnataka</c:v>
                  </c:pt>
                  <c:pt idx="46">
                    <c:v>Karnataka</c:v>
                  </c:pt>
                  <c:pt idx="47">
                    <c:v>Karnataka</c:v>
                  </c:pt>
                  <c:pt idx="48">
                    <c:v>Karnataka</c:v>
                  </c:pt>
                  <c:pt idx="49">
                    <c:v>Karnataka</c:v>
                  </c:pt>
                  <c:pt idx="50">
                    <c:v>Karnataka</c:v>
                  </c:pt>
                  <c:pt idx="51">
                    <c:v>Karnataka</c:v>
                  </c:pt>
                  <c:pt idx="52">
                    <c:v>Karnataka</c:v>
                  </c:pt>
                  <c:pt idx="53">
                    <c:v>Karnataka</c:v>
                  </c:pt>
                  <c:pt idx="54">
                    <c:v>Karnataka</c:v>
                  </c:pt>
                  <c:pt idx="55">
                    <c:v>Karnataka</c:v>
                  </c:pt>
                  <c:pt idx="56">
                    <c:v>Karnataka</c:v>
                  </c:pt>
                  <c:pt idx="57">
                    <c:v>Karnataka</c:v>
                  </c:pt>
                  <c:pt idx="58">
                    <c:v>Karnataka</c:v>
                  </c:pt>
                  <c:pt idx="59">
                    <c:v>Karnataka</c:v>
                  </c:pt>
                  <c:pt idx="60">
                    <c:v>Karnataka</c:v>
                  </c:pt>
                  <c:pt idx="61">
                    <c:v>Karnataka</c:v>
                  </c:pt>
                  <c:pt idx="62">
                    <c:v>Karnataka</c:v>
                  </c:pt>
                  <c:pt idx="63">
                    <c:v>Karnataka</c:v>
                  </c:pt>
                  <c:pt idx="64">
                    <c:v>Karnataka</c:v>
                  </c:pt>
                  <c:pt idx="65">
                    <c:v>Karnataka</c:v>
                  </c:pt>
                  <c:pt idx="66">
                    <c:v>Karnataka</c:v>
                  </c:pt>
                  <c:pt idx="67">
                    <c:v>Karnataka</c:v>
                  </c:pt>
                  <c:pt idx="68">
                    <c:v>Karnataka</c:v>
                  </c:pt>
                  <c:pt idx="69">
                    <c:v>Karnataka</c:v>
                  </c:pt>
                  <c:pt idx="70">
                    <c:v>Karnataka</c:v>
                  </c:pt>
                  <c:pt idx="71">
                    <c:v>Karnataka</c:v>
                  </c:pt>
                  <c:pt idx="72">
                    <c:v>Karnataka</c:v>
                  </c:pt>
                  <c:pt idx="73">
                    <c:v>Karnataka</c:v>
                  </c:pt>
                  <c:pt idx="74">
                    <c:v>Karnataka</c:v>
                  </c:pt>
                  <c:pt idx="75">
                    <c:v>Karnataka</c:v>
                  </c:pt>
                  <c:pt idx="76">
                    <c:v>Karnataka</c:v>
                  </c:pt>
                  <c:pt idx="77">
                    <c:v>Karnataka</c:v>
                  </c:pt>
                  <c:pt idx="78">
                    <c:v>Karnataka</c:v>
                  </c:pt>
                  <c:pt idx="79">
                    <c:v>Karnataka</c:v>
                  </c:pt>
                  <c:pt idx="80">
                    <c:v>Karnataka</c:v>
                  </c:pt>
                  <c:pt idx="81">
                    <c:v>Karnataka</c:v>
                  </c:pt>
                  <c:pt idx="82">
                    <c:v>Karnataka</c:v>
                  </c:pt>
                  <c:pt idx="83">
                    <c:v>Karnataka</c:v>
                  </c:pt>
                  <c:pt idx="84">
                    <c:v>Karnataka</c:v>
                  </c:pt>
                  <c:pt idx="85">
                    <c:v>Karnataka</c:v>
                  </c:pt>
                  <c:pt idx="86">
                    <c:v>Karnataka</c:v>
                  </c:pt>
                  <c:pt idx="87">
                    <c:v>Karnataka</c:v>
                  </c:pt>
                  <c:pt idx="88">
                    <c:v>Karnataka</c:v>
                  </c:pt>
                  <c:pt idx="89">
                    <c:v>Karnataka</c:v>
                  </c:pt>
                  <c:pt idx="90">
                    <c:v>Karnataka</c:v>
                  </c:pt>
                  <c:pt idx="91">
                    <c:v>Karnataka</c:v>
                  </c:pt>
                  <c:pt idx="92">
                    <c:v>Karnataka</c:v>
                  </c:pt>
                  <c:pt idx="93">
                    <c:v>Karnataka</c:v>
                  </c:pt>
                  <c:pt idx="94">
                    <c:v>Karnataka</c:v>
                  </c:pt>
                  <c:pt idx="95">
                    <c:v>Karnataka</c:v>
                  </c:pt>
                  <c:pt idx="96">
                    <c:v>Karnataka</c:v>
                  </c:pt>
                  <c:pt idx="97">
                    <c:v>Karnataka</c:v>
                  </c:pt>
                  <c:pt idx="98">
                    <c:v>Karnataka</c:v>
                  </c:pt>
                  <c:pt idx="99">
                    <c:v>Karnataka</c:v>
                  </c:pt>
                  <c:pt idx="100">
                    <c:v>Karnataka</c:v>
                  </c:pt>
                </c:lvl>
                <c:lvl>
                  <c:pt idx="0">
                    <c:v>Constituency</c:v>
                  </c:pt>
                  <c:pt idx="1">
                    <c:v>Bangalore South</c:v>
                  </c:pt>
                  <c:pt idx="2">
                    <c:v>Belgaum</c:v>
                  </c:pt>
                  <c:pt idx="3">
                    <c:v>Mangalore</c:v>
                  </c:pt>
                  <c:pt idx="4">
                    <c:v>Belgaum</c:v>
                  </c:pt>
                  <c:pt idx="5">
                    <c:v>Shimoga</c:v>
                  </c:pt>
                  <c:pt idx="6">
                    <c:v>Bellary</c:v>
                  </c:pt>
                  <c:pt idx="7">
                    <c:v>Belgaum</c:v>
                  </c:pt>
                  <c:pt idx="8">
                    <c:v>Mangalore</c:v>
                  </c:pt>
                  <c:pt idx="9">
                    <c:v>Tumkur</c:v>
                  </c:pt>
                  <c:pt idx="10">
                    <c:v>Shimoga</c:v>
                  </c:pt>
                  <c:pt idx="11">
                    <c:v>Bangalore South</c:v>
                  </c:pt>
                  <c:pt idx="12">
                    <c:v>Mangalore</c:v>
                  </c:pt>
                  <c:pt idx="13">
                    <c:v>Bijapur</c:v>
                  </c:pt>
                  <c:pt idx="14">
                    <c:v>Belgaum</c:v>
                  </c:pt>
                  <c:pt idx="15">
                    <c:v>Hubli</c:v>
                  </c:pt>
                  <c:pt idx="16">
                    <c:v>Bellary</c:v>
                  </c:pt>
                  <c:pt idx="17">
                    <c:v>Bangalore South</c:v>
                  </c:pt>
                  <c:pt idx="18">
                    <c:v>Mangalore</c:v>
                  </c:pt>
                  <c:pt idx="19">
                    <c:v>Shimoga</c:v>
                  </c:pt>
                  <c:pt idx="20">
                    <c:v>Shimoga</c:v>
                  </c:pt>
                  <c:pt idx="21">
                    <c:v>Bangalore South</c:v>
                  </c:pt>
                  <c:pt idx="22">
                    <c:v>Davanagere</c:v>
                  </c:pt>
                  <c:pt idx="23">
                    <c:v>Belgaum</c:v>
                  </c:pt>
                  <c:pt idx="24">
                    <c:v>Bellary</c:v>
                  </c:pt>
                  <c:pt idx="25">
                    <c:v>Davanagere</c:v>
                  </c:pt>
                  <c:pt idx="26">
                    <c:v>Bellary</c:v>
                  </c:pt>
                  <c:pt idx="27">
                    <c:v>Mysore</c:v>
                  </c:pt>
                  <c:pt idx="28">
                    <c:v>Hubli</c:v>
                  </c:pt>
                  <c:pt idx="29">
                    <c:v>Bangalore South</c:v>
                  </c:pt>
                  <c:pt idx="30">
                    <c:v>Hubli</c:v>
                  </c:pt>
                  <c:pt idx="31">
                    <c:v>Tumkur</c:v>
                  </c:pt>
                  <c:pt idx="32">
                    <c:v>Belgaum</c:v>
                  </c:pt>
                  <c:pt idx="33">
                    <c:v>Bijapur</c:v>
                  </c:pt>
                  <c:pt idx="34">
                    <c:v>Bijapur</c:v>
                  </c:pt>
                  <c:pt idx="35">
                    <c:v>Belgaum</c:v>
                  </c:pt>
                  <c:pt idx="36">
                    <c:v>Belgaum</c:v>
                  </c:pt>
                  <c:pt idx="37">
                    <c:v>Bangalore South</c:v>
                  </c:pt>
                  <c:pt idx="38">
                    <c:v>Bellary</c:v>
                  </c:pt>
                  <c:pt idx="39">
                    <c:v>Mangalore</c:v>
                  </c:pt>
                  <c:pt idx="40">
                    <c:v>Belgaum</c:v>
                  </c:pt>
                  <c:pt idx="41">
                    <c:v>Davanagere</c:v>
                  </c:pt>
                  <c:pt idx="42">
                    <c:v>Mysore</c:v>
                  </c:pt>
                  <c:pt idx="43">
                    <c:v>Tumkur</c:v>
                  </c:pt>
                  <c:pt idx="44">
                    <c:v>Mysore</c:v>
                  </c:pt>
                  <c:pt idx="45">
                    <c:v>Tumkur</c:v>
                  </c:pt>
                  <c:pt idx="46">
                    <c:v>Tumkur</c:v>
                  </c:pt>
                  <c:pt idx="47">
                    <c:v>Hubli</c:v>
                  </c:pt>
                  <c:pt idx="48">
                    <c:v>Bijapur</c:v>
                  </c:pt>
                  <c:pt idx="49">
                    <c:v>Davanagere</c:v>
                  </c:pt>
                  <c:pt idx="50">
                    <c:v>Davanagere</c:v>
                  </c:pt>
                  <c:pt idx="51">
                    <c:v>Davanagere</c:v>
                  </c:pt>
                  <c:pt idx="52">
                    <c:v>Bangalore South</c:v>
                  </c:pt>
                  <c:pt idx="53">
                    <c:v>Bangalore South</c:v>
                  </c:pt>
                  <c:pt idx="54">
                    <c:v>Davanagere</c:v>
                  </c:pt>
                  <c:pt idx="55">
                    <c:v>Mysore</c:v>
                  </c:pt>
                  <c:pt idx="56">
                    <c:v>Mysore</c:v>
                  </c:pt>
                  <c:pt idx="57">
                    <c:v>Hubli</c:v>
                  </c:pt>
                  <c:pt idx="58">
                    <c:v>Bangalore South</c:v>
                  </c:pt>
                  <c:pt idx="59">
                    <c:v>Shimoga</c:v>
                  </c:pt>
                  <c:pt idx="60">
                    <c:v>Davanagere</c:v>
                  </c:pt>
                  <c:pt idx="61">
                    <c:v>Bijapur</c:v>
                  </c:pt>
                  <c:pt idx="62">
                    <c:v>Bangalore South</c:v>
                  </c:pt>
                  <c:pt idx="63">
                    <c:v>Bangalore South</c:v>
                  </c:pt>
                  <c:pt idx="64">
                    <c:v>Tumkur</c:v>
                  </c:pt>
                  <c:pt idx="65">
                    <c:v>Shimoga</c:v>
                  </c:pt>
                  <c:pt idx="66">
                    <c:v>Mysore</c:v>
                  </c:pt>
                  <c:pt idx="67">
                    <c:v>Mangalore</c:v>
                  </c:pt>
                  <c:pt idx="68">
                    <c:v>Tumkur</c:v>
                  </c:pt>
                  <c:pt idx="69">
                    <c:v>Hubli</c:v>
                  </c:pt>
                  <c:pt idx="70">
                    <c:v>Hubli</c:v>
                  </c:pt>
                  <c:pt idx="71">
                    <c:v>Mangalore</c:v>
                  </c:pt>
                  <c:pt idx="72">
                    <c:v>Mysore</c:v>
                  </c:pt>
                  <c:pt idx="73">
                    <c:v>Bijapur</c:v>
                  </c:pt>
                  <c:pt idx="74">
                    <c:v>Belgaum</c:v>
                  </c:pt>
                  <c:pt idx="75">
                    <c:v>Shimoga</c:v>
                  </c:pt>
                  <c:pt idx="76">
                    <c:v>Davanagere</c:v>
                  </c:pt>
                  <c:pt idx="77">
                    <c:v>Bangalore South</c:v>
                  </c:pt>
                  <c:pt idx="78">
                    <c:v>Hubli</c:v>
                  </c:pt>
                  <c:pt idx="79">
                    <c:v>Tumkur</c:v>
                  </c:pt>
                  <c:pt idx="80">
                    <c:v>Mysore</c:v>
                  </c:pt>
                  <c:pt idx="81">
                    <c:v>Bangalore South</c:v>
                  </c:pt>
                  <c:pt idx="82">
                    <c:v>Shimoga</c:v>
                  </c:pt>
                  <c:pt idx="83">
                    <c:v>Davanagere</c:v>
                  </c:pt>
                  <c:pt idx="84">
                    <c:v>Mysore</c:v>
                  </c:pt>
                  <c:pt idx="85">
                    <c:v>Shimoga</c:v>
                  </c:pt>
                  <c:pt idx="86">
                    <c:v>Mangalore</c:v>
                  </c:pt>
                  <c:pt idx="87">
                    <c:v>Belgaum</c:v>
                  </c:pt>
                  <c:pt idx="88">
                    <c:v>Bijapur</c:v>
                  </c:pt>
                  <c:pt idx="89">
                    <c:v>Mysore</c:v>
                  </c:pt>
                  <c:pt idx="90">
                    <c:v>Bangalore South</c:v>
                  </c:pt>
                  <c:pt idx="91">
                    <c:v>Davanagere</c:v>
                  </c:pt>
                  <c:pt idx="92">
                    <c:v>Bellary</c:v>
                  </c:pt>
                  <c:pt idx="93">
                    <c:v>Hubli</c:v>
                  </c:pt>
                  <c:pt idx="94">
                    <c:v>Mysore</c:v>
                  </c:pt>
                  <c:pt idx="95">
                    <c:v>Bangalore South</c:v>
                  </c:pt>
                  <c:pt idx="96">
                    <c:v>Bangalore South</c:v>
                  </c:pt>
                  <c:pt idx="97">
                    <c:v>Shimoga</c:v>
                  </c:pt>
                  <c:pt idx="98">
                    <c:v>Mangalore</c:v>
                  </c:pt>
                  <c:pt idx="99">
                    <c:v>Bijapur</c:v>
                  </c:pt>
                  <c:pt idx="100">
                    <c:v>Davanagere</c:v>
                  </c:pt>
                </c:lvl>
              </c:multiLvlStrCache>
            </c:multiLvlStrRef>
          </c:cat>
          <c:val>
            <c:numRef>
              <c:f>Cleaned_Data!$G$1:$G$101</c:f>
              <c:numCache>
                <c:formatCode>General</c:formatCode>
                <c:ptCount val="101"/>
              </c:numCache>
            </c:numRef>
          </c:val>
        </c:ser>
        <c:ser>
          <c:idx val="2"/>
          <c:order val="2"/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Cleaned_Data!$A$1:$D$101</c:f>
              <c:multiLvlStrCache>
                <c:ptCount val="101"/>
                <c:lvl>
                  <c:pt idx="0">
                    <c:v>Candidate</c:v>
                  </c:pt>
                  <c:pt idx="1">
                    <c:v>Amit Shah</c:v>
                  </c:pt>
                  <c:pt idx="2">
                    <c:v>Nisha Kulkarni</c:v>
                  </c:pt>
                  <c:pt idx="3">
                    <c:v>Amit Shah</c:v>
                  </c:pt>
                  <c:pt idx="4">
                    <c:v>Asha Patil</c:v>
                  </c:pt>
                  <c:pt idx="5">
                    <c:v>Nisha Kulkarni</c:v>
                  </c:pt>
                  <c:pt idx="6">
                    <c:v>Rahul Verma</c:v>
                  </c:pt>
                  <c:pt idx="7">
                    <c:v>Anita Desai</c:v>
                  </c:pt>
                  <c:pt idx="8">
                    <c:v>Rajeev Nair</c:v>
                  </c:pt>
                  <c:pt idx="9">
                    <c:v>Manoj Singh</c:v>
                  </c:pt>
                  <c:pt idx="10">
                    <c:v>Sneha Reddy</c:v>
                  </c:pt>
                  <c:pt idx="11">
                    <c:v>Priya Menon</c:v>
                  </c:pt>
                  <c:pt idx="12">
                    <c:v>Prakash Patil</c:v>
                  </c:pt>
                  <c:pt idx="13">
                    <c:v>Neha Joshi</c:v>
                  </c:pt>
                  <c:pt idx="14">
                    <c:v>Ravi Kumar</c:v>
                  </c:pt>
                  <c:pt idx="15">
                    <c:v>Rahul Verma</c:v>
                  </c:pt>
                  <c:pt idx="16">
                    <c:v>Neha Joshi</c:v>
                  </c:pt>
                  <c:pt idx="17">
                    <c:v>Suresh Naik</c:v>
                  </c:pt>
                  <c:pt idx="18">
                    <c:v>Nisha Kulkarni</c:v>
                  </c:pt>
                  <c:pt idx="19">
                    <c:v>Nisha Kulkarni</c:v>
                  </c:pt>
                  <c:pt idx="20">
                    <c:v>Neha Joshi</c:v>
                  </c:pt>
                  <c:pt idx="21">
                    <c:v>Manoj Singh</c:v>
                  </c:pt>
                  <c:pt idx="22">
                    <c:v>Manoj Singh</c:v>
                  </c:pt>
                  <c:pt idx="23">
                    <c:v>Kavya Rao</c:v>
                  </c:pt>
                  <c:pt idx="24">
                    <c:v>Pooja Verma</c:v>
                  </c:pt>
                  <c:pt idx="25">
                    <c:v>Manoj Singh</c:v>
                  </c:pt>
                  <c:pt idx="26">
                    <c:v>Priya Menon</c:v>
                  </c:pt>
                  <c:pt idx="27">
                    <c:v>Priya Menon</c:v>
                  </c:pt>
                  <c:pt idx="28">
                    <c:v>Ravi Kumar</c:v>
                  </c:pt>
                  <c:pt idx="29">
                    <c:v>Rahul Verma</c:v>
                  </c:pt>
                  <c:pt idx="30">
                    <c:v>Asha Patil</c:v>
                  </c:pt>
                  <c:pt idx="31">
                    <c:v>Amit Shah</c:v>
                  </c:pt>
                  <c:pt idx="32">
                    <c:v>Rahul Verma</c:v>
                  </c:pt>
                  <c:pt idx="33">
                    <c:v>Anita Desai</c:v>
                  </c:pt>
                  <c:pt idx="34">
                    <c:v>Asha Patil</c:v>
                  </c:pt>
                  <c:pt idx="35">
                    <c:v>Amit Shah</c:v>
                  </c:pt>
                  <c:pt idx="36">
                    <c:v>Rajeev Nair</c:v>
                  </c:pt>
                  <c:pt idx="37">
                    <c:v>Vikram Joshi</c:v>
                  </c:pt>
                  <c:pt idx="38">
                    <c:v>Manoj Singh</c:v>
                  </c:pt>
                  <c:pt idx="39">
                    <c:v>Arjun Rao</c:v>
                  </c:pt>
                  <c:pt idx="40">
                    <c:v>Arjun Rao</c:v>
                  </c:pt>
                  <c:pt idx="41">
                    <c:v>Rahul Verma</c:v>
                  </c:pt>
                  <c:pt idx="42">
                    <c:v>Kiran Gowda</c:v>
                  </c:pt>
                  <c:pt idx="43">
                    <c:v>Neha Joshi</c:v>
                  </c:pt>
                  <c:pt idx="44">
                    <c:v>Asha Patil</c:v>
                  </c:pt>
                  <c:pt idx="45">
                    <c:v>Sneha Reddy</c:v>
                  </c:pt>
                  <c:pt idx="46">
                    <c:v>Meera Iyer</c:v>
                  </c:pt>
                  <c:pt idx="47">
                    <c:v>Kiran Gowda</c:v>
                  </c:pt>
                  <c:pt idx="48">
                    <c:v>Amit Shah</c:v>
                  </c:pt>
                  <c:pt idx="49">
                    <c:v>Suresh Naik</c:v>
                  </c:pt>
                  <c:pt idx="50">
                    <c:v>Manoj Singh</c:v>
                  </c:pt>
                  <c:pt idx="51">
                    <c:v>Priya Menon</c:v>
                  </c:pt>
                  <c:pt idx="52">
                    <c:v>Sneha Reddy</c:v>
                  </c:pt>
                  <c:pt idx="53">
                    <c:v>Pooja Verma</c:v>
                  </c:pt>
                  <c:pt idx="54">
                    <c:v>Suresh Naik</c:v>
                  </c:pt>
                  <c:pt idx="55">
                    <c:v>Neha Joshi</c:v>
                  </c:pt>
                  <c:pt idx="56">
                    <c:v>Anita Desai</c:v>
                  </c:pt>
                  <c:pt idx="57">
                    <c:v>Prakash Patil</c:v>
                  </c:pt>
                  <c:pt idx="58">
                    <c:v>Ravi Kumar</c:v>
                  </c:pt>
                  <c:pt idx="59">
                    <c:v>Amit Shah</c:v>
                  </c:pt>
                  <c:pt idx="60">
                    <c:v>Rahul Verma</c:v>
                  </c:pt>
                  <c:pt idx="61">
                    <c:v>Vikram Joshi</c:v>
                  </c:pt>
                  <c:pt idx="62">
                    <c:v>Pooja Verma</c:v>
                  </c:pt>
                  <c:pt idx="63">
                    <c:v>Anita Desai</c:v>
                  </c:pt>
                  <c:pt idx="64">
                    <c:v>Rajeev Nair</c:v>
                  </c:pt>
                  <c:pt idx="65">
                    <c:v>Nisha Kulkarni</c:v>
                  </c:pt>
                  <c:pt idx="66">
                    <c:v>Nisha Kulkarni</c:v>
                  </c:pt>
                  <c:pt idx="67">
                    <c:v>Priya Menon</c:v>
                  </c:pt>
                  <c:pt idx="68">
                    <c:v>Vikram Joshi</c:v>
                  </c:pt>
                  <c:pt idx="69">
                    <c:v>Rajeev Nair</c:v>
                  </c:pt>
                  <c:pt idx="70">
                    <c:v>Manoj Singh</c:v>
                  </c:pt>
                  <c:pt idx="71">
                    <c:v>Kavya Rao</c:v>
                  </c:pt>
                  <c:pt idx="72">
                    <c:v>Manoj Singh</c:v>
                  </c:pt>
                  <c:pt idx="73">
                    <c:v>Pooja Verma</c:v>
                  </c:pt>
                  <c:pt idx="74">
                    <c:v>Amit Shah</c:v>
                  </c:pt>
                  <c:pt idx="75">
                    <c:v>Kiran Gowda</c:v>
                  </c:pt>
                  <c:pt idx="76">
                    <c:v>Nisha Kulkarni</c:v>
                  </c:pt>
                  <c:pt idx="77">
                    <c:v>Rahul Verma</c:v>
                  </c:pt>
                  <c:pt idx="78">
                    <c:v>Arjun Rao</c:v>
                  </c:pt>
                  <c:pt idx="79">
                    <c:v>Prakash Patil</c:v>
                  </c:pt>
                  <c:pt idx="80">
                    <c:v>Sneha Reddy</c:v>
                  </c:pt>
                  <c:pt idx="81">
                    <c:v>Kiran Gowda</c:v>
                  </c:pt>
                  <c:pt idx="82">
                    <c:v>Manoj Singh</c:v>
                  </c:pt>
                  <c:pt idx="83">
                    <c:v>Manoj Singh</c:v>
                  </c:pt>
                  <c:pt idx="84">
                    <c:v>Sneha Reddy</c:v>
                  </c:pt>
                  <c:pt idx="85">
                    <c:v>Ravi Kumar</c:v>
                  </c:pt>
                  <c:pt idx="86">
                    <c:v>Kavya Rao</c:v>
                  </c:pt>
                  <c:pt idx="87">
                    <c:v>Rajeev Nair</c:v>
                  </c:pt>
                  <c:pt idx="88">
                    <c:v>Ravi Kumar</c:v>
                  </c:pt>
                  <c:pt idx="89">
                    <c:v>Suresh Naik</c:v>
                  </c:pt>
                  <c:pt idx="90">
                    <c:v>Asha Patil</c:v>
                  </c:pt>
                  <c:pt idx="91">
                    <c:v>Sneha Reddy</c:v>
                  </c:pt>
                  <c:pt idx="92">
                    <c:v>Kavya Rao</c:v>
                  </c:pt>
                  <c:pt idx="93">
                    <c:v>Anita Desai</c:v>
                  </c:pt>
                  <c:pt idx="94">
                    <c:v>Neha Joshi</c:v>
                  </c:pt>
                  <c:pt idx="95">
                    <c:v>Nisha Kulkarni</c:v>
                  </c:pt>
                  <c:pt idx="96">
                    <c:v>Divya Sharma</c:v>
                  </c:pt>
                  <c:pt idx="97">
                    <c:v>Rajeev Nair</c:v>
                  </c:pt>
                  <c:pt idx="98">
                    <c:v>Rajeev Nair</c:v>
                  </c:pt>
                  <c:pt idx="99">
                    <c:v>Divya Sharma</c:v>
                  </c:pt>
                  <c:pt idx="100">
                    <c:v>Kiran Gowda</c:v>
                  </c:pt>
                </c:lvl>
                <c:lvl>
                  <c:pt idx="0">
                    <c:v>Party</c:v>
                  </c:pt>
                  <c:pt idx="1">
                    <c:v>XYZ</c:v>
                  </c:pt>
                  <c:pt idx="2">
                    <c:v>XYZ</c:v>
                  </c:pt>
                  <c:pt idx="3">
                    <c:v>ABC</c:v>
                  </c:pt>
                  <c:pt idx="4">
                    <c:v>PQR</c:v>
                  </c:pt>
                  <c:pt idx="5">
                    <c:v>ABC</c:v>
                  </c:pt>
                  <c:pt idx="6">
                    <c:v>ABC</c:v>
                  </c:pt>
                  <c:pt idx="7">
                    <c:v>XYZ</c:v>
                  </c:pt>
                  <c:pt idx="8">
                    <c:v>LMN</c:v>
                  </c:pt>
                  <c:pt idx="9">
                    <c:v>PQR</c:v>
                  </c:pt>
                  <c:pt idx="10">
                    <c:v>ABC</c:v>
                  </c:pt>
                  <c:pt idx="11">
                    <c:v>LMN</c:v>
                  </c:pt>
                  <c:pt idx="12">
                    <c:v>ABC</c:v>
                  </c:pt>
                  <c:pt idx="13">
                    <c:v>LMN</c:v>
                  </c:pt>
                  <c:pt idx="14">
                    <c:v>XYZ</c:v>
                  </c:pt>
                  <c:pt idx="15">
                    <c:v>PQR</c:v>
                  </c:pt>
                  <c:pt idx="16">
                    <c:v>XYZ</c:v>
                  </c:pt>
                  <c:pt idx="17">
                    <c:v>XYZ</c:v>
                  </c:pt>
                  <c:pt idx="18">
                    <c:v>XYZ</c:v>
                  </c:pt>
                  <c:pt idx="19">
                    <c:v>ABC</c:v>
                  </c:pt>
                  <c:pt idx="20">
                    <c:v>ABC</c:v>
                  </c:pt>
                  <c:pt idx="21">
                    <c:v>PQR</c:v>
                  </c:pt>
                  <c:pt idx="22">
                    <c:v>ABC</c:v>
                  </c:pt>
                  <c:pt idx="23">
                    <c:v>ABC</c:v>
                  </c:pt>
                  <c:pt idx="24">
                    <c:v>PQR</c:v>
                  </c:pt>
                  <c:pt idx="25">
                    <c:v>XYZ</c:v>
                  </c:pt>
                  <c:pt idx="26">
                    <c:v>LMN</c:v>
                  </c:pt>
                  <c:pt idx="27">
                    <c:v>PQR</c:v>
                  </c:pt>
                  <c:pt idx="28">
                    <c:v>XYZ</c:v>
                  </c:pt>
                  <c:pt idx="29">
                    <c:v>ABC</c:v>
                  </c:pt>
                  <c:pt idx="30">
                    <c:v>ABC</c:v>
                  </c:pt>
                  <c:pt idx="31">
                    <c:v>ABC</c:v>
                  </c:pt>
                  <c:pt idx="32">
                    <c:v>ABC</c:v>
                  </c:pt>
                  <c:pt idx="33">
                    <c:v>XYZ</c:v>
                  </c:pt>
                  <c:pt idx="34">
                    <c:v>XYZ</c:v>
                  </c:pt>
                  <c:pt idx="35">
                    <c:v>XYZ</c:v>
                  </c:pt>
                  <c:pt idx="36">
                    <c:v>LMN</c:v>
                  </c:pt>
                  <c:pt idx="37">
                    <c:v>ABC</c:v>
                  </c:pt>
                  <c:pt idx="38">
                    <c:v>LMN</c:v>
                  </c:pt>
                  <c:pt idx="39">
                    <c:v>PQR</c:v>
                  </c:pt>
                  <c:pt idx="40">
                    <c:v>ABC</c:v>
                  </c:pt>
                  <c:pt idx="41">
                    <c:v>LMN</c:v>
                  </c:pt>
                  <c:pt idx="42">
                    <c:v>LMN</c:v>
                  </c:pt>
                  <c:pt idx="43">
                    <c:v>XYZ</c:v>
                  </c:pt>
                  <c:pt idx="44">
                    <c:v>LMN</c:v>
                  </c:pt>
                  <c:pt idx="45">
                    <c:v>LMN</c:v>
                  </c:pt>
                  <c:pt idx="46">
                    <c:v>PQR</c:v>
                  </c:pt>
                  <c:pt idx="47">
                    <c:v>LMN</c:v>
                  </c:pt>
                  <c:pt idx="48">
                    <c:v>PQR</c:v>
                  </c:pt>
                  <c:pt idx="49">
                    <c:v>XYZ</c:v>
                  </c:pt>
                  <c:pt idx="50">
                    <c:v>LMN</c:v>
                  </c:pt>
                  <c:pt idx="51">
                    <c:v>PQR</c:v>
                  </c:pt>
                  <c:pt idx="52">
                    <c:v>XYZ</c:v>
                  </c:pt>
                  <c:pt idx="53">
                    <c:v>ABC</c:v>
                  </c:pt>
                  <c:pt idx="54">
                    <c:v>XYZ</c:v>
                  </c:pt>
                  <c:pt idx="55">
                    <c:v>XYZ</c:v>
                  </c:pt>
                  <c:pt idx="56">
                    <c:v>XYZ</c:v>
                  </c:pt>
                  <c:pt idx="57">
                    <c:v>XYZ</c:v>
                  </c:pt>
                  <c:pt idx="58">
                    <c:v>XYZ</c:v>
                  </c:pt>
                  <c:pt idx="59">
                    <c:v>ABC</c:v>
                  </c:pt>
                  <c:pt idx="60">
                    <c:v>XYZ</c:v>
                  </c:pt>
                  <c:pt idx="61">
                    <c:v>XYZ</c:v>
                  </c:pt>
                  <c:pt idx="62">
                    <c:v>XYZ</c:v>
                  </c:pt>
                  <c:pt idx="63">
                    <c:v>XYZ</c:v>
                  </c:pt>
                  <c:pt idx="64">
                    <c:v>ABC</c:v>
                  </c:pt>
                  <c:pt idx="65">
                    <c:v>LMN</c:v>
                  </c:pt>
                  <c:pt idx="66">
                    <c:v>PQR</c:v>
                  </c:pt>
                  <c:pt idx="67">
                    <c:v>LMN</c:v>
                  </c:pt>
                  <c:pt idx="68">
                    <c:v>PQR</c:v>
                  </c:pt>
                  <c:pt idx="69">
                    <c:v>LMN</c:v>
                  </c:pt>
                  <c:pt idx="70">
                    <c:v>XYZ</c:v>
                  </c:pt>
                  <c:pt idx="71">
                    <c:v>XYZ</c:v>
                  </c:pt>
                  <c:pt idx="72">
                    <c:v>PQR</c:v>
                  </c:pt>
                  <c:pt idx="73">
                    <c:v>LMN</c:v>
                  </c:pt>
                  <c:pt idx="74">
                    <c:v>XYZ</c:v>
                  </c:pt>
                  <c:pt idx="75">
                    <c:v>PQR</c:v>
                  </c:pt>
                  <c:pt idx="76">
                    <c:v>ABC</c:v>
                  </c:pt>
                  <c:pt idx="77">
                    <c:v>PQR</c:v>
                  </c:pt>
                  <c:pt idx="78">
                    <c:v>XYZ</c:v>
                  </c:pt>
                  <c:pt idx="79">
                    <c:v>PQR</c:v>
                  </c:pt>
                  <c:pt idx="80">
                    <c:v>XYZ</c:v>
                  </c:pt>
                  <c:pt idx="81">
                    <c:v>ABC</c:v>
                  </c:pt>
                  <c:pt idx="82">
                    <c:v>LMN</c:v>
                  </c:pt>
                  <c:pt idx="83">
                    <c:v>PQR</c:v>
                  </c:pt>
                  <c:pt idx="84">
                    <c:v>LMN</c:v>
                  </c:pt>
                  <c:pt idx="85">
                    <c:v>XYZ</c:v>
                  </c:pt>
                  <c:pt idx="86">
                    <c:v>LMN</c:v>
                  </c:pt>
                  <c:pt idx="87">
                    <c:v>LMN</c:v>
                  </c:pt>
                  <c:pt idx="88">
                    <c:v>PQR</c:v>
                  </c:pt>
                  <c:pt idx="89">
                    <c:v>ABC</c:v>
                  </c:pt>
                  <c:pt idx="90">
                    <c:v>PQR</c:v>
                  </c:pt>
                  <c:pt idx="91">
                    <c:v>LMN</c:v>
                  </c:pt>
                  <c:pt idx="92">
                    <c:v>XYZ</c:v>
                  </c:pt>
                  <c:pt idx="93">
                    <c:v>PQR</c:v>
                  </c:pt>
                  <c:pt idx="94">
                    <c:v>XYZ</c:v>
                  </c:pt>
                  <c:pt idx="95">
                    <c:v>XYZ</c:v>
                  </c:pt>
                  <c:pt idx="96">
                    <c:v>XYZ</c:v>
                  </c:pt>
                  <c:pt idx="97">
                    <c:v>LMN</c:v>
                  </c:pt>
                  <c:pt idx="98">
                    <c:v>PQR</c:v>
                  </c:pt>
                  <c:pt idx="99">
                    <c:v>ABC</c:v>
                  </c:pt>
                  <c:pt idx="100">
                    <c:v>XYZ</c:v>
                  </c:pt>
                </c:lvl>
                <c:lvl>
                  <c:pt idx="0">
                    <c:v>State</c:v>
                  </c:pt>
                  <c:pt idx="1">
                    <c:v>Karnataka</c:v>
                  </c:pt>
                  <c:pt idx="2">
                    <c:v>Karnataka</c:v>
                  </c:pt>
                  <c:pt idx="3">
                    <c:v>Karnataka</c:v>
                  </c:pt>
                  <c:pt idx="4">
                    <c:v>Karnataka</c:v>
                  </c:pt>
                  <c:pt idx="5">
                    <c:v>Karnataka</c:v>
                  </c:pt>
                  <c:pt idx="6">
                    <c:v>Karnataka</c:v>
                  </c:pt>
                  <c:pt idx="7">
                    <c:v>Karnataka</c:v>
                  </c:pt>
                  <c:pt idx="8">
                    <c:v>Karnataka</c:v>
                  </c:pt>
                  <c:pt idx="9">
                    <c:v>Karnataka</c:v>
                  </c:pt>
                  <c:pt idx="10">
                    <c:v>Karnataka</c:v>
                  </c:pt>
                  <c:pt idx="11">
                    <c:v>Karnataka</c:v>
                  </c:pt>
                  <c:pt idx="12">
                    <c:v>Karnataka</c:v>
                  </c:pt>
                  <c:pt idx="13">
                    <c:v>Karnataka</c:v>
                  </c:pt>
                  <c:pt idx="14">
                    <c:v>Karnataka</c:v>
                  </c:pt>
                  <c:pt idx="15">
                    <c:v>Karnataka</c:v>
                  </c:pt>
                  <c:pt idx="16">
                    <c:v>Karnataka</c:v>
                  </c:pt>
                  <c:pt idx="17">
                    <c:v>Karnataka</c:v>
                  </c:pt>
                  <c:pt idx="18">
                    <c:v>Karnataka</c:v>
                  </c:pt>
                  <c:pt idx="19">
                    <c:v>Karnataka</c:v>
                  </c:pt>
                  <c:pt idx="20">
                    <c:v>Karnataka</c:v>
                  </c:pt>
                  <c:pt idx="21">
                    <c:v>Karnataka</c:v>
                  </c:pt>
                  <c:pt idx="22">
                    <c:v>Karnataka</c:v>
                  </c:pt>
                  <c:pt idx="23">
                    <c:v>Karnataka</c:v>
                  </c:pt>
                  <c:pt idx="24">
                    <c:v>Karnataka</c:v>
                  </c:pt>
                  <c:pt idx="25">
                    <c:v>Karnataka</c:v>
                  </c:pt>
                  <c:pt idx="26">
                    <c:v>Karnataka</c:v>
                  </c:pt>
                  <c:pt idx="27">
                    <c:v>Karnataka</c:v>
                  </c:pt>
                  <c:pt idx="28">
                    <c:v>Karnataka</c:v>
                  </c:pt>
                  <c:pt idx="29">
                    <c:v>Karnataka</c:v>
                  </c:pt>
                  <c:pt idx="30">
                    <c:v>Karnataka</c:v>
                  </c:pt>
                  <c:pt idx="31">
                    <c:v>Karnataka</c:v>
                  </c:pt>
                  <c:pt idx="32">
                    <c:v>Karnataka</c:v>
                  </c:pt>
                  <c:pt idx="33">
                    <c:v>Karnataka</c:v>
                  </c:pt>
                  <c:pt idx="34">
                    <c:v>Karnataka</c:v>
                  </c:pt>
                  <c:pt idx="35">
                    <c:v>Karnataka</c:v>
                  </c:pt>
                  <c:pt idx="36">
                    <c:v>Karnataka</c:v>
                  </c:pt>
                  <c:pt idx="37">
                    <c:v>Karnataka</c:v>
                  </c:pt>
                  <c:pt idx="38">
                    <c:v>Karnataka</c:v>
                  </c:pt>
                  <c:pt idx="39">
                    <c:v>Karnataka</c:v>
                  </c:pt>
                  <c:pt idx="40">
                    <c:v>Karnataka</c:v>
                  </c:pt>
                  <c:pt idx="41">
                    <c:v>Karnataka</c:v>
                  </c:pt>
                  <c:pt idx="42">
                    <c:v>Karnataka</c:v>
                  </c:pt>
                  <c:pt idx="43">
                    <c:v>Karnataka</c:v>
                  </c:pt>
                  <c:pt idx="44">
                    <c:v>Karnataka</c:v>
                  </c:pt>
                  <c:pt idx="45">
                    <c:v>Karnataka</c:v>
                  </c:pt>
                  <c:pt idx="46">
                    <c:v>Karnataka</c:v>
                  </c:pt>
                  <c:pt idx="47">
                    <c:v>Karnataka</c:v>
                  </c:pt>
                  <c:pt idx="48">
                    <c:v>Karnataka</c:v>
                  </c:pt>
                  <c:pt idx="49">
                    <c:v>Karnataka</c:v>
                  </c:pt>
                  <c:pt idx="50">
                    <c:v>Karnataka</c:v>
                  </c:pt>
                  <c:pt idx="51">
                    <c:v>Karnataka</c:v>
                  </c:pt>
                  <c:pt idx="52">
                    <c:v>Karnataka</c:v>
                  </c:pt>
                  <c:pt idx="53">
                    <c:v>Karnataka</c:v>
                  </c:pt>
                  <c:pt idx="54">
                    <c:v>Karnataka</c:v>
                  </c:pt>
                  <c:pt idx="55">
                    <c:v>Karnataka</c:v>
                  </c:pt>
                  <c:pt idx="56">
                    <c:v>Karnataka</c:v>
                  </c:pt>
                  <c:pt idx="57">
                    <c:v>Karnataka</c:v>
                  </c:pt>
                  <c:pt idx="58">
                    <c:v>Karnataka</c:v>
                  </c:pt>
                  <c:pt idx="59">
                    <c:v>Karnataka</c:v>
                  </c:pt>
                  <c:pt idx="60">
                    <c:v>Karnataka</c:v>
                  </c:pt>
                  <c:pt idx="61">
                    <c:v>Karnataka</c:v>
                  </c:pt>
                  <c:pt idx="62">
                    <c:v>Karnataka</c:v>
                  </c:pt>
                  <c:pt idx="63">
                    <c:v>Karnataka</c:v>
                  </c:pt>
                  <c:pt idx="64">
                    <c:v>Karnataka</c:v>
                  </c:pt>
                  <c:pt idx="65">
                    <c:v>Karnataka</c:v>
                  </c:pt>
                  <c:pt idx="66">
                    <c:v>Karnataka</c:v>
                  </c:pt>
                  <c:pt idx="67">
                    <c:v>Karnataka</c:v>
                  </c:pt>
                  <c:pt idx="68">
                    <c:v>Karnataka</c:v>
                  </c:pt>
                  <c:pt idx="69">
                    <c:v>Karnataka</c:v>
                  </c:pt>
                  <c:pt idx="70">
                    <c:v>Karnataka</c:v>
                  </c:pt>
                  <c:pt idx="71">
                    <c:v>Karnataka</c:v>
                  </c:pt>
                  <c:pt idx="72">
                    <c:v>Karnataka</c:v>
                  </c:pt>
                  <c:pt idx="73">
                    <c:v>Karnataka</c:v>
                  </c:pt>
                  <c:pt idx="74">
                    <c:v>Karnataka</c:v>
                  </c:pt>
                  <c:pt idx="75">
                    <c:v>Karnataka</c:v>
                  </c:pt>
                  <c:pt idx="76">
                    <c:v>Karnataka</c:v>
                  </c:pt>
                  <c:pt idx="77">
                    <c:v>Karnataka</c:v>
                  </c:pt>
                  <c:pt idx="78">
                    <c:v>Karnataka</c:v>
                  </c:pt>
                  <c:pt idx="79">
                    <c:v>Karnataka</c:v>
                  </c:pt>
                  <c:pt idx="80">
                    <c:v>Karnataka</c:v>
                  </c:pt>
                  <c:pt idx="81">
                    <c:v>Karnataka</c:v>
                  </c:pt>
                  <c:pt idx="82">
                    <c:v>Karnataka</c:v>
                  </c:pt>
                  <c:pt idx="83">
                    <c:v>Karnataka</c:v>
                  </c:pt>
                  <c:pt idx="84">
                    <c:v>Karnataka</c:v>
                  </c:pt>
                  <c:pt idx="85">
                    <c:v>Karnataka</c:v>
                  </c:pt>
                  <c:pt idx="86">
                    <c:v>Karnataka</c:v>
                  </c:pt>
                  <c:pt idx="87">
                    <c:v>Karnataka</c:v>
                  </c:pt>
                  <c:pt idx="88">
                    <c:v>Karnataka</c:v>
                  </c:pt>
                  <c:pt idx="89">
                    <c:v>Karnataka</c:v>
                  </c:pt>
                  <c:pt idx="90">
                    <c:v>Karnataka</c:v>
                  </c:pt>
                  <c:pt idx="91">
                    <c:v>Karnataka</c:v>
                  </c:pt>
                  <c:pt idx="92">
                    <c:v>Karnataka</c:v>
                  </c:pt>
                  <c:pt idx="93">
                    <c:v>Karnataka</c:v>
                  </c:pt>
                  <c:pt idx="94">
                    <c:v>Karnataka</c:v>
                  </c:pt>
                  <c:pt idx="95">
                    <c:v>Karnataka</c:v>
                  </c:pt>
                  <c:pt idx="96">
                    <c:v>Karnataka</c:v>
                  </c:pt>
                  <c:pt idx="97">
                    <c:v>Karnataka</c:v>
                  </c:pt>
                  <c:pt idx="98">
                    <c:v>Karnataka</c:v>
                  </c:pt>
                  <c:pt idx="99">
                    <c:v>Karnataka</c:v>
                  </c:pt>
                  <c:pt idx="100">
                    <c:v>Karnataka</c:v>
                  </c:pt>
                </c:lvl>
                <c:lvl>
                  <c:pt idx="0">
                    <c:v>Constituency</c:v>
                  </c:pt>
                  <c:pt idx="1">
                    <c:v>Bangalore South</c:v>
                  </c:pt>
                  <c:pt idx="2">
                    <c:v>Belgaum</c:v>
                  </c:pt>
                  <c:pt idx="3">
                    <c:v>Mangalore</c:v>
                  </c:pt>
                  <c:pt idx="4">
                    <c:v>Belgaum</c:v>
                  </c:pt>
                  <c:pt idx="5">
                    <c:v>Shimoga</c:v>
                  </c:pt>
                  <c:pt idx="6">
                    <c:v>Bellary</c:v>
                  </c:pt>
                  <c:pt idx="7">
                    <c:v>Belgaum</c:v>
                  </c:pt>
                  <c:pt idx="8">
                    <c:v>Mangalore</c:v>
                  </c:pt>
                  <c:pt idx="9">
                    <c:v>Tumkur</c:v>
                  </c:pt>
                  <c:pt idx="10">
                    <c:v>Shimoga</c:v>
                  </c:pt>
                  <c:pt idx="11">
                    <c:v>Bangalore South</c:v>
                  </c:pt>
                  <c:pt idx="12">
                    <c:v>Mangalore</c:v>
                  </c:pt>
                  <c:pt idx="13">
                    <c:v>Bijapur</c:v>
                  </c:pt>
                  <c:pt idx="14">
                    <c:v>Belgaum</c:v>
                  </c:pt>
                  <c:pt idx="15">
                    <c:v>Hubli</c:v>
                  </c:pt>
                  <c:pt idx="16">
                    <c:v>Bellary</c:v>
                  </c:pt>
                  <c:pt idx="17">
                    <c:v>Bangalore South</c:v>
                  </c:pt>
                  <c:pt idx="18">
                    <c:v>Mangalore</c:v>
                  </c:pt>
                  <c:pt idx="19">
                    <c:v>Shimoga</c:v>
                  </c:pt>
                  <c:pt idx="20">
                    <c:v>Shimoga</c:v>
                  </c:pt>
                  <c:pt idx="21">
                    <c:v>Bangalore South</c:v>
                  </c:pt>
                  <c:pt idx="22">
                    <c:v>Davanagere</c:v>
                  </c:pt>
                  <c:pt idx="23">
                    <c:v>Belgaum</c:v>
                  </c:pt>
                  <c:pt idx="24">
                    <c:v>Bellary</c:v>
                  </c:pt>
                  <c:pt idx="25">
                    <c:v>Davanagere</c:v>
                  </c:pt>
                  <c:pt idx="26">
                    <c:v>Bellary</c:v>
                  </c:pt>
                  <c:pt idx="27">
                    <c:v>Mysore</c:v>
                  </c:pt>
                  <c:pt idx="28">
                    <c:v>Hubli</c:v>
                  </c:pt>
                  <c:pt idx="29">
                    <c:v>Bangalore South</c:v>
                  </c:pt>
                  <c:pt idx="30">
                    <c:v>Hubli</c:v>
                  </c:pt>
                  <c:pt idx="31">
                    <c:v>Tumkur</c:v>
                  </c:pt>
                  <c:pt idx="32">
                    <c:v>Belgaum</c:v>
                  </c:pt>
                  <c:pt idx="33">
                    <c:v>Bijapur</c:v>
                  </c:pt>
                  <c:pt idx="34">
                    <c:v>Bijapur</c:v>
                  </c:pt>
                  <c:pt idx="35">
                    <c:v>Belgaum</c:v>
                  </c:pt>
                  <c:pt idx="36">
                    <c:v>Belgaum</c:v>
                  </c:pt>
                  <c:pt idx="37">
                    <c:v>Bangalore South</c:v>
                  </c:pt>
                  <c:pt idx="38">
                    <c:v>Bellary</c:v>
                  </c:pt>
                  <c:pt idx="39">
                    <c:v>Mangalore</c:v>
                  </c:pt>
                  <c:pt idx="40">
                    <c:v>Belgaum</c:v>
                  </c:pt>
                  <c:pt idx="41">
                    <c:v>Davanagere</c:v>
                  </c:pt>
                  <c:pt idx="42">
                    <c:v>Mysore</c:v>
                  </c:pt>
                  <c:pt idx="43">
                    <c:v>Tumkur</c:v>
                  </c:pt>
                  <c:pt idx="44">
                    <c:v>Mysore</c:v>
                  </c:pt>
                  <c:pt idx="45">
                    <c:v>Tumkur</c:v>
                  </c:pt>
                  <c:pt idx="46">
                    <c:v>Tumkur</c:v>
                  </c:pt>
                  <c:pt idx="47">
                    <c:v>Hubli</c:v>
                  </c:pt>
                  <c:pt idx="48">
                    <c:v>Bijapur</c:v>
                  </c:pt>
                  <c:pt idx="49">
                    <c:v>Davanagere</c:v>
                  </c:pt>
                  <c:pt idx="50">
                    <c:v>Davanagere</c:v>
                  </c:pt>
                  <c:pt idx="51">
                    <c:v>Davanagere</c:v>
                  </c:pt>
                  <c:pt idx="52">
                    <c:v>Bangalore South</c:v>
                  </c:pt>
                  <c:pt idx="53">
                    <c:v>Bangalore South</c:v>
                  </c:pt>
                  <c:pt idx="54">
                    <c:v>Davanagere</c:v>
                  </c:pt>
                  <c:pt idx="55">
                    <c:v>Mysore</c:v>
                  </c:pt>
                  <c:pt idx="56">
                    <c:v>Mysore</c:v>
                  </c:pt>
                  <c:pt idx="57">
                    <c:v>Hubli</c:v>
                  </c:pt>
                  <c:pt idx="58">
                    <c:v>Bangalore South</c:v>
                  </c:pt>
                  <c:pt idx="59">
                    <c:v>Shimoga</c:v>
                  </c:pt>
                  <c:pt idx="60">
                    <c:v>Davanagere</c:v>
                  </c:pt>
                  <c:pt idx="61">
                    <c:v>Bijapur</c:v>
                  </c:pt>
                  <c:pt idx="62">
                    <c:v>Bangalore South</c:v>
                  </c:pt>
                  <c:pt idx="63">
                    <c:v>Bangalore South</c:v>
                  </c:pt>
                  <c:pt idx="64">
                    <c:v>Tumkur</c:v>
                  </c:pt>
                  <c:pt idx="65">
                    <c:v>Shimoga</c:v>
                  </c:pt>
                  <c:pt idx="66">
                    <c:v>Mysore</c:v>
                  </c:pt>
                  <c:pt idx="67">
                    <c:v>Mangalore</c:v>
                  </c:pt>
                  <c:pt idx="68">
                    <c:v>Tumkur</c:v>
                  </c:pt>
                  <c:pt idx="69">
                    <c:v>Hubli</c:v>
                  </c:pt>
                  <c:pt idx="70">
                    <c:v>Hubli</c:v>
                  </c:pt>
                  <c:pt idx="71">
                    <c:v>Mangalore</c:v>
                  </c:pt>
                  <c:pt idx="72">
                    <c:v>Mysore</c:v>
                  </c:pt>
                  <c:pt idx="73">
                    <c:v>Bijapur</c:v>
                  </c:pt>
                  <c:pt idx="74">
                    <c:v>Belgaum</c:v>
                  </c:pt>
                  <c:pt idx="75">
                    <c:v>Shimoga</c:v>
                  </c:pt>
                  <c:pt idx="76">
                    <c:v>Davanagere</c:v>
                  </c:pt>
                  <c:pt idx="77">
                    <c:v>Bangalore South</c:v>
                  </c:pt>
                  <c:pt idx="78">
                    <c:v>Hubli</c:v>
                  </c:pt>
                  <c:pt idx="79">
                    <c:v>Tumkur</c:v>
                  </c:pt>
                  <c:pt idx="80">
                    <c:v>Mysore</c:v>
                  </c:pt>
                  <c:pt idx="81">
                    <c:v>Bangalore South</c:v>
                  </c:pt>
                  <c:pt idx="82">
                    <c:v>Shimoga</c:v>
                  </c:pt>
                  <c:pt idx="83">
                    <c:v>Davanagere</c:v>
                  </c:pt>
                  <c:pt idx="84">
                    <c:v>Mysore</c:v>
                  </c:pt>
                  <c:pt idx="85">
                    <c:v>Shimoga</c:v>
                  </c:pt>
                  <c:pt idx="86">
                    <c:v>Mangalore</c:v>
                  </c:pt>
                  <c:pt idx="87">
                    <c:v>Belgaum</c:v>
                  </c:pt>
                  <c:pt idx="88">
                    <c:v>Bijapur</c:v>
                  </c:pt>
                  <c:pt idx="89">
                    <c:v>Mysore</c:v>
                  </c:pt>
                  <c:pt idx="90">
                    <c:v>Bangalore South</c:v>
                  </c:pt>
                  <c:pt idx="91">
                    <c:v>Davanagere</c:v>
                  </c:pt>
                  <c:pt idx="92">
                    <c:v>Bellary</c:v>
                  </c:pt>
                  <c:pt idx="93">
                    <c:v>Hubli</c:v>
                  </c:pt>
                  <c:pt idx="94">
                    <c:v>Mysore</c:v>
                  </c:pt>
                  <c:pt idx="95">
                    <c:v>Bangalore South</c:v>
                  </c:pt>
                  <c:pt idx="96">
                    <c:v>Bangalore South</c:v>
                  </c:pt>
                  <c:pt idx="97">
                    <c:v>Shimoga</c:v>
                  </c:pt>
                  <c:pt idx="98">
                    <c:v>Mangalore</c:v>
                  </c:pt>
                  <c:pt idx="99">
                    <c:v>Bijapur</c:v>
                  </c:pt>
                  <c:pt idx="100">
                    <c:v>Davanagere</c:v>
                  </c:pt>
                </c:lvl>
              </c:multiLvlStrCache>
            </c:multiLvlStrRef>
          </c:cat>
          <c:val>
            <c:numRef>
              <c:f>Cleaned_Data!$H$1:$H$101</c:f>
              <c:numCache>
                <c:formatCode>General</c:formatCode>
                <c:ptCount val="101"/>
                <c:pt idx="1">
                  <c:v>56</c:v>
                </c:pt>
                <c:pt idx="2">
                  <c:v>32</c:v>
                </c:pt>
                <c:pt idx="3">
                  <c:v>41</c:v>
                </c:pt>
                <c:pt idx="4">
                  <c:v>35</c:v>
                </c:pt>
                <c:pt idx="5">
                  <c:v>37</c:v>
                </c:pt>
                <c:pt idx="6">
                  <c:v>54</c:v>
                </c:pt>
                <c:pt idx="7">
                  <c:v>60</c:v>
                </c:pt>
                <c:pt idx="8">
                  <c:v>59</c:v>
                </c:pt>
                <c:pt idx="9">
                  <c:v>48</c:v>
                </c:pt>
                <c:pt idx="10">
                  <c:v>48</c:v>
                </c:pt>
                <c:pt idx="11">
                  <c:v>46</c:v>
                </c:pt>
                <c:pt idx="12">
                  <c:v>44</c:v>
                </c:pt>
                <c:pt idx="13">
                  <c:v>55</c:v>
                </c:pt>
                <c:pt idx="14">
                  <c:v>34</c:v>
                </c:pt>
                <c:pt idx="15">
                  <c:v>57</c:v>
                </c:pt>
                <c:pt idx="16">
                  <c:v>40</c:v>
                </c:pt>
                <c:pt idx="17">
                  <c:v>45</c:v>
                </c:pt>
                <c:pt idx="18">
                  <c:v>49</c:v>
                </c:pt>
                <c:pt idx="19">
                  <c:v>36</c:v>
                </c:pt>
                <c:pt idx="20">
                  <c:v>35</c:v>
                </c:pt>
                <c:pt idx="21">
                  <c:v>45</c:v>
                </c:pt>
                <c:pt idx="22">
                  <c:v>43</c:v>
                </c:pt>
                <c:pt idx="23">
                  <c:v>47</c:v>
                </c:pt>
                <c:pt idx="24">
                  <c:v>36</c:v>
                </c:pt>
                <c:pt idx="25">
                  <c:v>51</c:v>
                </c:pt>
                <c:pt idx="26">
                  <c:v>45</c:v>
                </c:pt>
                <c:pt idx="27">
                  <c:v>56</c:v>
                </c:pt>
                <c:pt idx="28">
                  <c:v>44</c:v>
                </c:pt>
                <c:pt idx="29">
                  <c:v>52</c:v>
                </c:pt>
                <c:pt idx="30">
                  <c:v>44</c:v>
                </c:pt>
                <c:pt idx="31">
                  <c:v>49</c:v>
                </c:pt>
                <c:pt idx="32">
                  <c:v>35</c:v>
                </c:pt>
                <c:pt idx="33">
                  <c:v>50</c:v>
                </c:pt>
                <c:pt idx="34">
                  <c:v>33</c:v>
                </c:pt>
                <c:pt idx="35">
                  <c:v>45</c:v>
                </c:pt>
                <c:pt idx="36">
                  <c:v>46</c:v>
                </c:pt>
                <c:pt idx="37">
                  <c:v>49</c:v>
                </c:pt>
                <c:pt idx="38">
                  <c:v>60</c:v>
                </c:pt>
                <c:pt idx="39">
                  <c:v>54</c:v>
                </c:pt>
                <c:pt idx="40">
                  <c:v>34</c:v>
                </c:pt>
                <c:pt idx="41">
                  <c:v>44</c:v>
                </c:pt>
                <c:pt idx="42">
                  <c:v>48</c:v>
                </c:pt>
                <c:pt idx="43">
                  <c:v>58</c:v>
                </c:pt>
                <c:pt idx="44">
                  <c:v>32</c:v>
                </c:pt>
                <c:pt idx="45">
                  <c:v>42</c:v>
                </c:pt>
                <c:pt idx="46">
                  <c:v>56</c:v>
                </c:pt>
                <c:pt idx="47">
                  <c:v>44</c:v>
                </c:pt>
                <c:pt idx="48">
                  <c:v>42</c:v>
                </c:pt>
                <c:pt idx="49">
                  <c:v>33</c:v>
                </c:pt>
                <c:pt idx="50">
                  <c:v>54</c:v>
                </c:pt>
                <c:pt idx="51">
                  <c:v>58</c:v>
                </c:pt>
                <c:pt idx="52">
                  <c:v>46</c:v>
                </c:pt>
                <c:pt idx="53">
                  <c:v>35</c:v>
                </c:pt>
                <c:pt idx="54">
                  <c:v>49</c:v>
                </c:pt>
                <c:pt idx="55">
                  <c:v>60</c:v>
                </c:pt>
                <c:pt idx="56">
                  <c:v>32</c:v>
                </c:pt>
                <c:pt idx="57">
                  <c:v>52</c:v>
                </c:pt>
                <c:pt idx="58">
                  <c:v>60</c:v>
                </c:pt>
                <c:pt idx="59">
                  <c:v>55</c:v>
                </c:pt>
                <c:pt idx="60">
                  <c:v>42</c:v>
                </c:pt>
                <c:pt idx="61">
                  <c:v>41</c:v>
                </c:pt>
                <c:pt idx="62">
                  <c:v>47</c:v>
                </c:pt>
                <c:pt idx="63">
                  <c:v>34</c:v>
                </c:pt>
                <c:pt idx="64">
                  <c:v>48</c:v>
                </c:pt>
                <c:pt idx="65">
                  <c:v>54</c:v>
                </c:pt>
                <c:pt idx="66">
                  <c:v>50</c:v>
                </c:pt>
                <c:pt idx="67">
                  <c:v>56</c:v>
                </c:pt>
                <c:pt idx="68">
                  <c:v>40</c:v>
                </c:pt>
                <c:pt idx="69">
                  <c:v>43</c:v>
                </c:pt>
                <c:pt idx="70">
                  <c:v>52</c:v>
                </c:pt>
                <c:pt idx="71">
                  <c:v>60</c:v>
                </c:pt>
                <c:pt idx="72">
                  <c:v>56</c:v>
                </c:pt>
                <c:pt idx="73">
                  <c:v>47</c:v>
                </c:pt>
                <c:pt idx="74">
                  <c:v>58</c:v>
                </c:pt>
                <c:pt idx="75">
                  <c:v>58</c:v>
                </c:pt>
                <c:pt idx="76">
                  <c:v>36</c:v>
                </c:pt>
                <c:pt idx="77">
                  <c:v>59</c:v>
                </c:pt>
                <c:pt idx="78">
                  <c:v>50</c:v>
                </c:pt>
                <c:pt idx="79">
                  <c:v>59</c:v>
                </c:pt>
                <c:pt idx="80">
                  <c:v>54</c:v>
                </c:pt>
                <c:pt idx="81">
                  <c:v>50</c:v>
                </c:pt>
                <c:pt idx="82">
                  <c:v>39</c:v>
                </c:pt>
                <c:pt idx="83">
                  <c:v>54</c:v>
                </c:pt>
                <c:pt idx="84">
                  <c:v>33</c:v>
                </c:pt>
                <c:pt idx="85">
                  <c:v>54</c:v>
                </c:pt>
                <c:pt idx="86">
                  <c:v>53</c:v>
                </c:pt>
                <c:pt idx="87">
                  <c:v>48</c:v>
                </c:pt>
                <c:pt idx="88">
                  <c:v>48</c:v>
                </c:pt>
                <c:pt idx="89">
                  <c:v>34</c:v>
                </c:pt>
                <c:pt idx="90">
                  <c:v>47</c:v>
                </c:pt>
                <c:pt idx="91">
                  <c:v>57</c:v>
                </c:pt>
                <c:pt idx="92">
                  <c:v>38</c:v>
                </c:pt>
                <c:pt idx="93">
                  <c:v>39</c:v>
                </c:pt>
                <c:pt idx="94">
                  <c:v>34</c:v>
                </c:pt>
                <c:pt idx="95">
                  <c:v>52</c:v>
                </c:pt>
                <c:pt idx="96">
                  <c:v>43</c:v>
                </c:pt>
                <c:pt idx="97">
                  <c:v>39</c:v>
                </c:pt>
                <c:pt idx="98">
                  <c:v>32</c:v>
                </c:pt>
                <c:pt idx="99">
                  <c:v>51</c:v>
                </c:pt>
                <c:pt idx="100">
                  <c:v>54</c:v>
                </c:pt>
              </c:numCache>
            </c:numRef>
          </c:val>
        </c:ser>
        <c:ser>
          <c:idx val="3"/>
          <c:order val="3"/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Cleaned_Data!$A$1:$D$101</c:f>
              <c:multiLvlStrCache>
                <c:ptCount val="101"/>
                <c:lvl>
                  <c:pt idx="0">
                    <c:v>Candidate</c:v>
                  </c:pt>
                  <c:pt idx="1">
                    <c:v>Amit Shah</c:v>
                  </c:pt>
                  <c:pt idx="2">
                    <c:v>Nisha Kulkarni</c:v>
                  </c:pt>
                  <c:pt idx="3">
                    <c:v>Amit Shah</c:v>
                  </c:pt>
                  <c:pt idx="4">
                    <c:v>Asha Patil</c:v>
                  </c:pt>
                  <c:pt idx="5">
                    <c:v>Nisha Kulkarni</c:v>
                  </c:pt>
                  <c:pt idx="6">
                    <c:v>Rahul Verma</c:v>
                  </c:pt>
                  <c:pt idx="7">
                    <c:v>Anita Desai</c:v>
                  </c:pt>
                  <c:pt idx="8">
                    <c:v>Rajeev Nair</c:v>
                  </c:pt>
                  <c:pt idx="9">
                    <c:v>Manoj Singh</c:v>
                  </c:pt>
                  <c:pt idx="10">
                    <c:v>Sneha Reddy</c:v>
                  </c:pt>
                  <c:pt idx="11">
                    <c:v>Priya Menon</c:v>
                  </c:pt>
                  <c:pt idx="12">
                    <c:v>Prakash Patil</c:v>
                  </c:pt>
                  <c:pt idx="13">
                    <c:v>Neha Joshi</c:v>
                  </c:pt>
                  <c:pt idx="14">
                    <c:v>Ravi Kumar</c:v>
                  </c:pt>
                  <c:pt idx="15">
                    <c:v>Rahul Verma</c:v>
                  </c:pt>
                  <c:pt idx="16">
                    <c:v>Neha Joshi</c:v>
                  </c:pt>
                  <c:pt idx="17">
                    <c:v>Suresh Naik</c:v>
                  </c:pt>
                  <c:pt idx="18">
                    <c:v>Nisha Kulkarni</c:v>
                  </c:pt>
                  <c:pt idx="19">
                    <c:v>Nisha Kulkarni</c:v>
                  </c:pt>
                  <c:pt idx="20">
                    <c:v>Neha Joshi</c:v>
                  </c:pt>
                  <c:pt idx="21">
                    <c:v>Manoj Singh</c:v>
                  </c:pt>
                  <c:pt idx="22">
                    <c:v>Manoj Singh</c:v>
                  </c:pt>
                  <c:pt idx="23">
                    <c:v>Kavya Rao</c:v>
                  </c:pt>
                  <c:pt idx="24">
                    <c:v>Pooja Verma</c:v>
                  </c:pt>
                  <c:pt idx="25">
                    <c:v>Manoj Singh</c:v>
                  </c:pt>
                  <c:pt idx="26">
                    <c:v>Priya Menon</c:v>
                  </c:pt>
                  <c:pt idx="27">
                    <c:v>Priya Menon</c:v>
                  </c:pt>
                  <c:pt idx="28">
                    <c:v>Ravi Kumar</c:v>
                  </c:pt>
                  <c:pt idx="29">
                    <c:v>Rahul Verma</c:v>
                  </c:pt>
                  <c:pt idx="30">
                    <c:v>Asha Patil</c:v>
                  </c:pt>
                  <c:pt idx="31">
                    <c:v>Amit Shah</c:v>
                  </c:pt>
                  <c:pt idx="32">
                    <c:v>Rahul Verma</c:v>
                  </c:pt>
                  <c:pt idx="33">
                    <c:v>Anita Desai</c:v>
                  </c:pt>
                  <c:pt idx="34">
                    <c:v>Asha Patil</c:v>
                  </c:pt>
                  <c:pt idx="35">
                    <c:v>Amit Shah</c:v>
                  </c:pt>
                  <c:pt idx="36">
                    <c:v>Rajeev Nair</c:v>
                  </c:pt>
                  <c:pt idx="37">
                    <c:v>Vikram Joshi</c:v>
                  </c:pt>
                  <c:pt idx="38">
                    <c:v>Manoj Singh</c:v>
                  </c:pt>
                  <c:pt idx="39">
                    <c:v>Arjun Rao</c:v>
                  </c:pt>
                  <c:pt idx="40">
                    <c:v>Arjun Rao</c:v>
                  </c:pt>
                  <c:pt idx="41">
                    <c:v>Rahul Verma</c:v>
                  </c:pt>
                  <c:pt idx="42">
                    <c:v>Kiran Gowda</c:v>
                  </c:pt>
                  <c:pt idx="43">
                    <c:v>Neha Joshi</c:v>
                  </c:pt>
                  <c:pt idx="44">
                    <c:v>Asha Patil</c:v>
                  </c:pt>
                  <c:pt idx="45">
                    <c:v>Sneha Reddy</c:v>
                  </c:pt>
                  <c:pt idx="46">
                    <c:v>Meera Iyer</c:v>
                  </c:pt>
                  <c:pt idx="47">
                    <c:v>Kiran Gowda</c:v>
                  </c:pt>
                  <c:pt idx="48">
                    <c:v>Amit Shah</c:v>
                  </c:pt>
                  <c:pt idx="49">
                    <c:v>Suresh Naik</c:v>
                  </c:pt>
                  <c:pt idx="50">
                    <c:v>Manoj Singh</c:v>
                  </c:pt>
                  <c:pt idx="51">
                    <c:v>Priya Menon</c:v>
                  </c:pt>
                  <c:pt idx="52">
                    <c:v>Sneha Reddy</c:v>
                  </c:pt>
                  <c:pt idx="53">
                    <c:v>Pooja Verma</c:v>
                  </c:pt>
                  <c:pt idx="54">
                    <c:v>Suresh Naik</c:v>
                  </c:pt>
                  <c:pt idx="55">
                    <c:v>Neha Joshi</c:v>
                  </c:pt>
                  <c:pt idx="56">
                    <c:v>Anita Desai</c:v>
                  </c:pt>
                  <c:pt idx="57">
                    <c:v>Prakash Patil</c:v>
                  </c:pt>
                  <c:pt idx="58">
                    <c:v>Ravi Kumar</c:v>
                  </c:pt>
                  <c:pt idx="59">
                    <c:v>Amit Shah</c:v>
                  </c:pt>
                  <c:pt idx="60">
                    <c:v>Rahul Verma</c:v>
                  </c:pt>
                  <c:pt idx="61">
                    <c:v>Vikram Joshi</c:v>
                  </c:pt>
                  <c:pt idx="62">
                    <c:v>Pooja Verma</c:v>
                  </c:pt>
                  <c:pt idx="63">
                    <c:v>Anita Desai</c:v>
                  </c:pt>
                  <c:pt idx="64">
                    <c:v>Rajeev Nair</c:v>
                  </c:pt>
                  <c:pt idx="65">
                    <c:v>Nisha Kulkarni</c:v>
                  </c:pt>
                  <c:pt idx="66">
                    <c:v>Nisha Kulkarni</c:v>
                  </c:pt>
                  <c:pt idx="67">
                    <c:v>Priya Menon</c:v>
                  </c:pt>
                  <c:pt idx="68">
                    <c:v>Vikram Joshi</c:v>
                  </c:pt>
                  <c:pt idx="69">
                    <c:v>Rajeev Nair</c:v>
                  </c:pt>
                  <c:pt idx="70">
                    <c:v>Manoj Singh</c:v>
                  </c:pt>
                  <c:pt idx="71">
                    <c:v>Kavya Rao</c:v>
                  </c:pt>
                  <c:pt idx="72">
                    <c:v>Manoj Singh</c:v>
                  </c:pt>
                  <c:pt idx="73">
                    <c:v>Pooja Verma</c:v>
                  </c:pt>
                  <c:pt idx="74">
                    <c:v>Amit Shah</c:v>
                  </c:pt>
                  <c:pt idx="75">
                    <c:v>Kiran Gowda</c:v>
                  </c:pt>
                  <c:pt idx="76">
                    <c:v>Nisha Kulkarni</c:v>
                  </c:pt>
                  <c:pt idx="77">
                    <c:v>Rahul Verma</c:v>
                  </c:pt>
                  <c:pt idx="78">
                    <c:v>Arjun Rao</c:v>
                  </c:pt>
                  <c:pt idx="79">
                    <c:v>Prakash Patil</c:v>
                  </c:pt>
                  <c:pt idx="80">
                    <c:v>Sneha Reddy</c:v>
                  </c:pt>
                  <c:pt idx="81">
                    <c:v>Kiran Gowda</c:v>
                  </c:pt>
                  <c:pt idx="82">
                    <c:v>Manoj Singh</c:v>
                  </c:pt>
                  <c:pt idx="83">
                    <c:v>Manoj Singh</c:v>
                  </c:pt>
                  <c:pt idx="84">
                    <c:v>Sneha Reddy</c:v>
                  </c:pt>
                  <c:pt idx="85">
                    <c:v>Ravi Kumar</c:v>
                  </c:pt>
                  <c:pt idx="86">
                    <c:v>Kavya Rao</c:v>
                  </c:pt>
                  <c:pt idx="87">
                    <c:v>Rajeev Nair</c:v>
                  </c:pt>
                  <c:pt idx="88">
                    <c:v>Ravi Kumar</c:v>
                  </c:pt>
                  <c:pt idx="89">
                    <c:v>Suresh Naik</c:v>
                  </c:pt>
                  <c:pt idx="90">
                    <c:v>Asha Patil</c:v>
                  </c:pt>
                  <c:pt idx="91">
                    <c:v>Sneha Reddy</c:v>
                  </c:pt>
                  <c:pt idx="92">
                    <c:v>Kavya Rao</c:v>
                  </c:pt>
                  <c:pt idx="93">
                    <c:v>Anita Desai</c:v>
                  </c:pt>
                  <c:pt idx="94">
                    <c:v>Neha Joshi</c:v>
                  </c:pt>
                  <c:pt idx="95">
                    <c:v>Nisha Kulkarni</c:v>
                  </c:pt>
                  <c:pt idx="96">
                    <c:v>Divya Sharma</c:v>
                  </c:pt>
                  <c:pt idx="97">
                    <c:v>Rajeev Nair</c:v>
                  </c:pt>
                  <c:pt idx="98">
                    <c:v>Rajeev Nair</c:v>
                  </c:pt>
                  <c:pt idx="99">
                    <c:v>Divya Sharma</c:v>
                  </c:pt>
                  <c:pt idx="100">
                    <c:v>Kiran Gowda</c:v>
                  </c:pt>
                </c:lvl>
                <c:lvl>
                  <c:pt idx="0">
                    <c:v>Party</c:v>
                  </c:pt>
                  <c:pt idx="1">
                    <c:v>XYZ</c:v>
                  </c:pt>
                  <c:pt idx="2">
                    <c:v>XYZ</c:v>
                  </c:pt>
                  <c:pt idx="3">
                    <c:v>ABC</c:v>
                  </c:pt>
                  <c:pt idx="4">
                    <c:v>PQR</c:v>
                  </c:pt>
                  <c:pt idx="5">
                    <c:v>ABC</c:v>
                  </c:pt>
                  <c:pt idx="6">
                    <c:v>ABC</c:v>
                  </c:pt>
                  <c:pt idx="7">
                    <c:v>XYZ</c:v>
                  </c:pt>
                  <c:pt idx="8">
                    <c:v>LMN</c:v>
                  </c:pt>
                  <c:pt idx="9">
                    <c:v>PQR</c:v>
                  </c:pt>
                  <c:pt idx="10">
                    <c:v>ABC</c:v>
                  </c:pt>
                  <c:pt idx="11">
                    <c:v>LMN</c:v>
                  </c:pt>
                  <c:pt idx="12">
                    <c:v>ABC</c:v>
                  </c:pt>
                  <c:pt idx="13">
                    <c:v>LMN</c:v>
                  </c:pt>
                  <c:pt idx="14">
                    <c:v>XYZ</c:v>
                  </c:pt>
                  <c:pt idx="15">
                    <c:v>PQR</c:v>
                  </c:pt>
                  <c:pt idx="16">
                    <c:v>XYZ</c:v>
                  </c:pt>
                  <c:pt idx="17">
                    <c:v>XYZ</c:v>
                  </c:pt>
                  <c:pt idx="18">
                    <c:v>XYZ</c:v>
                  </c:pt>
                  <c:pt idx="19">
                    <c:v>ABC</c:v>
                  </c:pt>
                  <c:pt idx="20">
                    <c:v>ABC</c:v>
                  </c:pt>
                  <c:pt idx="21">
                    <c:v>PQR</c:v>
                  </c:pt>
                  <c:pt idx="22">
                    <c:v>ABC</c:v>
                  </c:pt>
                  <c:pt idx="23">
                    <c:v>ABC</c:v>
                  </c:pt>
                  <c:pt idx="24">
                    <c:v>PQR</c:v>
                  </c:pt>
                  <c:pt idx="25">
                    <c:v>XYZ</c:v>
                  </c:pt>
                  <c:pt idx="26">
                    <c:v>LMN</c:v>
                  </c:pt>
                  <c:pt idx="27">
                    <c:v>PQR</c:v>
                  </c:pt>
                  <c:pt idx="28">
                    <c:v>XYZ</c:v>
                  </c:pt>
                  <c:pt idx="29">
                    <c:v>ABC</c:v>
                  </c:pt>
                  <c:pt idx="30">
                    <c:v>ABC</c:v>
                  </c:pt>
                  <c:pt idx="31">
                    <c:v>ABC</c:v>
                  </c:pt>
                  <c:pt idx="32">
                    <c:v>ABC</c:v>
                  </c:pt>
                  <c:pt idx="33">
                    <c:v>XYZ</c:v>
                  </c:pt>
                  <c:pt idx="34">
                    <c:v>XYZ</c:v>
                  </c:pt>
                  <c:pt idx="35">
                    <c:v>XYZ</c:v>
                  </c:pt>
                  <c:pt idx="36">
                    <c:v>LMN</c:v>
                  </c:pt>
                  <c:pt idx="37">
                    <c:v>ABC</c:v>
                  </c:pt>
                  <c:pt idx="38">
                    <c:v>LMN</c:v>
                  </c:pt>
                  <c:pt idx="39">
                    <c:v>PQR</c:v>
                  </c:pt>
                  <c:pt idx="40">
                    <c:v>ABC</c:v>
                  </c:pt>
                  <c:pt idx="41">
                    <c:v>LMN</c:v>
                  </c:pt>
                  <c:pt idx="42">
                    <c:v>LMN</c:v>
                  </c:pt>
                  <c:pt idx="43">
                    <c:v>XYZ</c:v>
                  </c:pt>
                  <c:pt idx="44">
                    <c:v>LMN</c:v>
                  </c:pt>
                  <c:pt idx="45">
                    <c:v>LMN</c:v>
                  </c:pt>
                  <c:pt idx="46">
                    <c:v>PQR</c:v>
                  </c:pt>
                  <c:pt idx="47">
                    <c:v>LMN</c:v>
                  </c:pt>
                  <c:pt idx="48">
                    <c:v>PQR</c:v>
                  </c:pt>
                  <c:pt idx="49">
                    <c:v>XYZ</c:v>
                  </c:pt>
                  <c:pt idx="50">
                    <c:v>LMN</c:v>
                  </c:pt>
                  <c:pt idx="51">
                    <c:v>PQR</c:v>
                  </c:pt>
                  <c:pt idx="52">
                    <c:v>XYZ</c:v>
                  </c:pt>
                  <c:pt idx="53">
                    <c:v>ABC</c:v>
                  </c:pt>
                  <c:pt idx="54">
                    <c:v>XYZ</c:v>
                  </c:pt>
                  <c:pt idx="55">
                    <c:v>XYZ</c:v>
                  </c:pt>
                  <c:pt idx="56">
                    <c:v>XYZ</c:v>
                  </c:pt>
                  <c:pt idx="57">
                    <c:v>XYZ</c:v>
                  </c:pt>
                  <c:pt idx="58">
                    <c:v>XYZ</c:v>
                  </c:pt>
                  <c:pt idx="59">
                    <c:v>ABC</c:v>
                  </c:pt>
                  <c:pt idx="60">
                    <c:v>XYZ</c:v>
                  </c:pt>
                  <c:pt idx="61">
                    <c:v>XYZ</c:v>
                  </c:pt>
                  <c:pt idx="62">
                    <c:v>XYZ</c:v>
                  </c:pt>
                  <c:pt idx="63">
                    <c:v>XYZ</c:v>
                  </c:pt>
                  <c:pt idx="64">
                    <c:v>ABC</c:v>
                  </c:pt>
                  <c:pt idx="65">
                    <c:v>LMN</c:v>
                  </c:pt>
                  <c:pt idx="66">
                    <c:v>PQR</c:v>
                  </c:pt>
                  <c:pt idx="67">
                    <c:v>LMN</c:v>
                  </c:pt>
                  <c:pt idx="68">
                    <c:v>PQR</c:v>
                  </c:pt>
                  <c:pt idx="69">
                    <c:v>LMN</c:v>
                  </c:pt>
                  <c:pt idx="70">
                    <c:v>XYZ</c:v>
                  </c:pt>
                  <c:pt idx="71">
                    <c:v>XYZ</c:v>
                  </c:pt>
                  <c:pt idx="72">
                    <c:v>PQR</c:v>
                  </c:pt>
                  <c:pt idx="73">
                    <c:v>LMN</c:v>
                  </c:pt>
                  <c:pt idx="74">
                    <c:v>XYZ</c:v>
                  </c:pt>
                  <c:pt idx="75">
                    <c:v>PQR</c:v>
                  </c:pt>
                  <c:pt idx="76">
                    <c:v>ABC</c:v>
                  </c:pt>
                  <c:pt idx="77">
                    <c:v>PQR</c:v>
                  </c:pt>
                  <c:pt idx="78">
                    <c:v>XYZ</c:v>
                  </c:pt>
                  <c:pt idx="79">
                    <c:v>PQR</c:v>
                  </c:pt>
                  <c:pt idx="80">
                    <c:v>XYZ</c:v>
                  </c:pt>
                  <c:pt idx="81">
                    <c:v>ABC</c:v>
                  </c:pt>
                  <c:pt idx="82">
                    <c:v>LMN</c:v>
                  </c:pt>
                  <c:pt idx="83">
                    <c:v>PQR</c:v>
                  </c:pt>
                  <c:pt idx="84">
                    <c:v>LMN</c:v>
                  </c:pt>
                  <c:pt idx="85">
                    <c:v>XYZ</c:v>
                  </c:pt>
                  <c:pt idx="86">
                    <c:v>LMN</c:v>
                  </c:pt>
                  <c:pt idx="87">
                    <c:v>LMN</c:v>
                  </c:pt>
                  <c:pt idx="88">
                    <c:v>PQR</c:v>
                  </c:pt>
                  <c:pt idx="89">
                    <c:v>ABC</c:v>
                  </c:pt>
                  <c:pt idx="90">
                    <c:v>PQR</c:v>
                  </c:pt>
                  <c:pt idx="91">
                    <c:v>LMN</c:v>
                  </c:pt>
                  <c:pt idx="92">
                    <c:v>XYZ</c:v>
                  </c:pt>
                  <c:pt idx="93">
                    <c:v>PQR</c:v>
                  </c:pt>
                  <c:pt idx="94">
                    <c:v>XYZ</c:v>
                  </c:pt>
                  <c:pt idx="95">
                    <c:v>XYZ</c:v>
                  </c:pt>
                  <c:pt idx="96">
                    <c:v>XYZ</c:v>
                  </c:pt>
                  <c:pt idx="97">
                    <c:v>LMN</c:v>
                  </c:pt>
                  <c:pt idx="98">
                    <c:v>PQR</c:v>
                  </c:pt>
                  <c:pt idx="99">
                    <c:v>ABC</c:v>
                  </c:pt>
                  <c:pt idx="100">
                    <c:v>XYZ</c:v>
                  </c:pt>
                </c:lvl>
                <c:lvl>
                  <c:pt idx="0">
                    <c:v>State</c:v>
                  </c:pt>
                  <c:pt idx="1">
                    <c:v>Karnataka</c:v>
                  </c:pt>
                  <c:pt idx="2">
                    <c:v>Karnataka</c:v>
                  </c:pt>
                  <c:pt idx="3">
                    <c:v>Karnataka</c:v>
                  </c:pt>
                  <c:pt idx="4">
                    <c:v>Karnataka</c:v>
                  </c:pt>
                  <c:pt idx="5">
                    <c:v>Karnataka</c:v>
                  </c:pt>
                  <c:pt idx="6">
                    <c:v>Karnataka</c:v>
                  </c:pt>
                  <c:pt idx="7">
                    <c:v>Karnataka</c:v>
                  </c:pt>
                  <c:pt idx="8">
                    <c:v>Karnataka</c:v>
                  </c:pt>
                  <c:pt idx="9">
                    <c:v>Karnataka</c:v>
                  </c:pt>
                  <c:pt idx="10">
                    <c:v>Karnataka</c:v>
                  </c:pt>
                  <c:pt idx="11">
                    <c:v>Karnataka</c:v>
                  </c:pt>
                  <c:pt idx="12">
                    <c:v>Karnataka</c:v>
                  </c:pt>
                  <c:pt idx="13">
                    <c:v>Karnataka</c:v>
                  </c:pt>
                  <c:pt idx="14">
                    <c:v>Karnataka</c:v>
                  </c:pt>
                  <c:pt idx="15">
                    <c:v>Karnataka</c:v>
                  </c:pt>
                  <c:pt idx="16">
                    <c:v>Karnataka</c:v>
                  </c:pt>
                  <c:pt idx="17">
                    <c:v>Karnataka</c:v>
                  </c:pt>
                  <c:pt idx="18">
                    <c:v>Karnataka</c:v>
                  </c:pt>
                  <c:pt idx="19">
                    <c:v>Karnataka</c:v>
                  </c:pt>
                  <c:pt idx="20">
                    <c:v>Karnataka</c:v>
                  </c:pt>
                  <c:pt idx="21">
                    <c:v>Karnataka</c:v>
                  </c:pt>
                  <c:pt idx="22">
                    <c:v>Karnataka</c:v>
                  </c:pt>
                  <c:pt idx="23">
                    <c:v>Karnataka</c:v>
                  </c:pt>
                  <c:pt idx="24">
                    <c:v>Karnataka</c:v>
                  </c:pt>
                  <c:pt idx="25">
                    <c:v>Karnataka</c:v>
                  </c:pt>
                  <c:pt idx="26">
                    <c:v>Karnataka</c:v>
                  </c:pt>
                  <c:pt idx="27">
                    <c:v>Karnataka</c:v>
                  </c:pt>
                  <c:pt idx="28">
                    <c:v>Karnataka</c:v>
                  </c:pt>
                  <c:pt idx="29">
                    <c:v>Karnataka</c:v>
                  </c:pt>
                  <c:pt idx="30">
                    <c:v>Karnataka</c:v>
                  </c:pt>
                  <c:pt idx="31">
                    <c:v>Karnataka</c:v>
                  </c:pt>
                  <c:pt idx="32">
                    <c:v>Karnataka</c:v>
                  </c:pt>
                  <c:pt idx="33">
                    <c:v>Karnataka</c:v>
                  </c:pt>
                  <c:pt idx="34">
                    <c:v>Karnataka</c:v>
                  </c:pt>
                  <c:pt idx="35">
                    <c:v>Karnataka</c:v>
                  </c:pt>
                  <c:pt idx="36">
                    <c:v>Karnataka</c:v>
                  </c:pt>
                  <c:pt idx="37">
                    <c:v>Karnataka</c:v>
                  </c:pt>
                  <c:pt idx="38">
                    <c:v>Karnataka</c:v>
                  </c:pt>
                  <c:pt idx="39">
                    <c:v>Karnataka</c:v>
                  </c:pt>
                  <c:pt idx="40">
                    <c:v>Karnataka</c:v>
                  </c:pt>
                  <c:pt idx="41">
                    <c:v>Karnataka</c:v>
                  </c:pt>
                  <c:pt idx="42">
                    <c:v>Karnataka</c:v>
                  </c:pt>
                  <c:pt idx="43">
                    <c:v>Karnataka</c:v>
                  </c:pt>
                  <c:pt idx="44">
                    <c:v>Karnataka</c:v>
                  </c:pt>
                  <c:pt idx="45">
                    <c:v>Karnataka</c:v>
                  </c:pt>
                  <c:pt idx="46">
                    <c:v>Karnataka</c:v>
                  </c:pt>
                  <c:pt idx="47">
                    <c:v>Karnataka</c:v>
                  </c:pt>
                  <c:pt idx="48">
                    <c:v>Karnataka</c:v>
                  </c:pt>
                  <c:pt idx="49">
                    <c:v>Karnataka</c:v>
                  </c:pt>
                  <c:pt idx="50">
                    <c:v>Karnataka</c:v>
                  </c:pt>
                  <c:pt idx="51">
                    <c:v>Karnataka</c:v>
                  </c:pt>
                  <c:pt idx="52">
                    <c:v>Karnataka</c:v>
                  </c:pt>
                  <c:pt idx="53">
                    <c:v>Karnataka</c:v>
                  </c:pt>
                  <c:pt idx="54">
                    <c:v>Karnataka</c:v>
                  </c:pt>
                  <c:pt idx="55">
                    <c:v>Karnataka</c:v>
                  </c:pt>
                  <c:pt idx="56">
                    <c:v>Karnataka</c:v>
                  </c:pt>
                  <c:pt idx="57">
                    <c:v>Karnataka</c:v>
                  </c:pt>
                  <c:pt idx="58">
                    <c:v>Karnataka</c:v>
                  </c:pt>
                  <c:pt idx="59">
                    <c:v>Karnataka</c:v>
                  </c:pt>
                  <c:pt idx="60">
                    <c:v>Karnataka</c:v>
                  </c:pt>
                  <c:pt idx="61">
                    <c:v>Karnataka</c:v>
                  </c:pt>
                  <c:pt idx="62">
                    <c:v>Karnataka</c:v>
                  </c:pt>
                  <c:pt idx="63">
                    <c:v>Karnataka</c:v>
                  </c:pt>
                  <c:pt idx="64">
                    <c:v>Karnataka</c:v>
                  </c:pt>
                  <c:pt idx="65">
                    <c:v>Karnataka</c:v>
                  </c:pt>
                  <c:pt idx="66">
                    <c:v>Karnataka</c:v>
                  </c:pt>
                  <c:pt idx="67">
                    <c:v>Karnataka</c:v>
                  </c:pt>
                  <c:pt idx="68">
                    <c:v>Karnataka</c:v>
                  </c:pt>
                  <c:pt idx="69">
                    <c:v>Karnataka</c:v>
                  </c:pt>
                  <c:pt idx="70">
                    <c:v>Karnataka</c:v>
                  </c:pt>
                  <c:pt idx="71">
                    <c:v>Karnataka</c:v>
                  </c:pt>
                  <c:pt idx="72">
                    <c:v>Karnataka</c:v>
                  </c:pt>
                  <c:pt idx="73">
                    <c:v>Karnataka</c:v>
                  </c:pt>
                  <c:pt idx="74">
                    <c:v>Karnataka</c:v>
                  </c:pt>
                  <c:pt idx="75">
                    <c:v>Karnataka</c:v>
                  </c:pt>
                  <c:pt idx="76">
                    <c:v>Karnataka</c:v>
                  </c:pt>
                  <c:pt idx="77">
                    <c:v>Karnataka</c:v>
                  </c:pt>
                  <c:pt idx="78">
                    <c:v>Karnataka</c:v>
                  </c:pt>
                  <c:pt idx="79">
                    <c:v>Karnataka</c:v>
                  </c:pt>
                  <c:pt idx="80">
                    <c:v>Karnataka</c:v>
                  </c:pt>
                  <c:pt idx="81">
                    <c:v>Karnataka</c:v>
                  </c:pt>
                  <c:pt idx="82">
                    <c:v>Karnataka</c:v>
                  </c:pt>
                  <c:pt idx="83">
                    <c:v>Karnataka</c:v>
                  </c:pt>
                  <c:pt idx="84">
                    <c:v>Karnataka</c:v>
                  </c:pt>
                  <c:pt idx="85">
                    <c:v>Karnataka</c:v>
                  </c:pt>
                  <c:pt idx="86">
                    <c:v>Karnataka</c:v>
                  </c:pt>
                  <c:pt idx="87">
                    <c:v>Karnataka</c:v>
                  </c:pt>
                  <c:pt idx="88">
                    <c:v>Karnataka</c:v>
                  </c:pt>
                  <c:pt idx="89">
                    <c:v>Karnataka</c:v>
                  </c:pt>
                  <c:pt idx="90">
                    <c:v>Karnataka</c:v>
                  </c:pt>
                  <c:pt idx="91">
                    <c:v>Karnataka</c:v>
                  </c:pt>
                  <c:pt idx="92">
                    <c:v>Karnataka</c:v>
                  </c:pt>
                  <c:pt idx="93">
                    <c:v>Karnataka</c:v>
                  </c:pt>
                  <c:pt idx="94">
                    <c:v>Karnataka</c:v>
                  </c:pt>
                  <c:pt idx="95">
                    <c:v>Karnataka</c:v>
                  </c:pt>
                  <c:pt idx="96">
                    <c:v>Karnataka</c:v>
                  </c:pt>
                  <c:pt idx="97">
                    <c:v>Karnataka</c:v>
                  </c:pt>
                  <c:pt idx="98">
                    <c:v>Karnataka</c:v>
                  </c:pt>
                  <c:pt idx="99">
                    <c:v>Karnataka</c:v>
                  </c:pt>
                  <c:pt idx="100">
                    <c:v>Karnataka</c:v>
                  </c:pt>
                </c:lvl>
                <c:lvl>
                  <c:pt idx="0">
                    <c:v>Constituency</c:v>
                  </c:pt>
                  <c:pt idx="1">
                    <c:v>Bangalore South</c:v>
                  </c:pt>
                  <c:pt idx="2">
                    <c:v>Belgaum</c:v>
                  </c:pt>
                  <c:pt idx="3">
                    <c:v>Mangalore</c:v>
                  </c:pt>
                  <c:pt idx="4">
                    <c:v>Belgaum</c:v>
                  </c:pt>
                  <c:pt idx="5">
                    <c:v>Shimoga</c:v>
                  </c:pt>
                  <c:pt idx="6">
                    <c:v>Bellary</c:v>
                  </c:pt>
                  <c:pt idx="7">
                    <c:v>Belgaum</c:v>
                  </c:pt>
                  <c:pt idx="8">
                    <c:v>Mangalore</c:v>
                  </c:pt>
                  <c:pt idx="9">
                    <c:v>Tumkur</c:v>
                  </c:pt>
                  <c:pt idx="10">
                    <c:v>Shimoga</c:v>
                  </c:pt>
                  <c:pt idx="11">
                    <c:v>Bangalore South</c:v>
                  </c:pt>
                  <c:pt idx="12">
                    <c:v>Mangalore</c:v>
                  </c:pt>
                  <c:pt idx="13">
                    <c:v>Bijapur</c:v>
                  </c:pt>
                  <c:pt idx="14">
                    <c:v>Belgaum</c:v>
                  </c:pt>
                  <c:pt idx="15">
                    <c:v>Hubli</c:v>
                  </c:pt>
                  <c:pt idx="16">
                    <c:v>Bellary</c:v>
                  </c:pt>
                  <c:pt idx="17">
                    <c:v>Bangalore South</c:v>
                  </c:pt>
                  <c:pt idx="18">
                    <c:v>Mangalore</c:v>
                  </c:pt>
                  <c:pt idx="19">
                    <c:v>Shimoga</c:v>
                  </c:pt>
                  <c:pt idx="20">
                    <c:v>Shimoga</c:v>
                  </c:pt>
                  <c:pt idx="21">
                    <c:v>Bangalore South</c:v>
                  </c:pt>
                  <c:pt idx="22">
                    <c:v>Davanagere</c:v>
                  </c:pt>
                  <c:pt idx="23">
                    <c:v>Belgaum</c:v>
                  </c:pt>
                  <c:pt idx="24">
                    <c:v>Bellary</c:v>
                  </c:pt>
                  <c:pt idx="25">
                    <c:v>Davanagere</c:v>
                  </c:pt>
                  <c:pt idx="26">
                    <c:v>Bellary</c:v>
                  </c:pt>
                  <c:pt idx="27">
                    <c:v>Mysore</c:v>
                  </c:pt>
                  <c:pt idx="28">
                    <c:v>Hubli</c:v>
                  </c:pt>
                  <c:pt idx="29">
                    <c:v>Bangalore South</c:v>
                  </c:pt>
                  <c:pt idx="30">
                    <c:v>Hubli</c:v>
                  </c:pt>
                  <c:pt idx="31">
                    <c:v>Tumkur</c:v>
                  </c:pt>
                  <c:pt idx="32">
                    <c:v>Belgaum</c:v>
                  </c:pt>
                  <c:pt idx="33">
                    <c:v>Bijapur</c:v>
                  </c:pt>
                  <c:pt idx="34">
                    <c:v>Bijapur</c:v>
                  </c:pt>
                  <c:pt idx="35">
                    <c:v>Belgaum</c:v>
                  </c:pt>
                  <c:pt idx="36">
                    <c:v>Belgaum</c:v>
                  </c:pt>
                  <c:pt idx="37">
                    <c:v>Bangalore South</c:v>
                  </c:pt>
                  <c:pt idx="38">
                    <c:v>Bellary</c:v>
                  </c:pt>
                  <c:pt idx="39">
                    <c:v>Mangalore</c:v>
                  </c:pt>
                  <c:pt idx="40">
                    <c:v>Belgaum</c:v>
                  </c:pt>
                  <c:pt idx="41">
                    <c:v>Davanagere</c:v>
                  </c:pt>
                  <c:pt idx="42">
                    <c:v>Mysore</c:v>
                  </c:pt>
                  <c:pt idx="43">
                    <c:v>Tumkur</c:v>
                  </c:pt>
                  <c:pt idx="44">
                    <c:v>Mysore</c:v>
                  </c:pt>
                  <c:pt idx="45">
                    <c:v>Tumkur</c:v>
                  </c:pt>
                  <c:pt idx="46">
                    <c:v>Tumkur</c:v>
                  </c:pt>
                  <c:pt idx="47">
                    <c:v>Hubli</c:v>
                  </c:pt>
                  <c:pt idx="48">
                    <c:v>Bijapur</c:v>
                  </c:pt>
                  <c:pt idx="49">
                    <c:v>Davanagere</c:v>
                  </c:pt>
                  <c:pt idx="50">
                    <c:v>Davanagere</c:v>
                  </c:pt>
                  <c:pt idx="51">
                    <c:v>Davanagere</c:v>
                  </c:pt>
                  <c:pt idx="52">
                    <c:v>Bangalore South</c:v>
                  </c:pt>
                  <c:pt idx="53">
                    <c:v>Bangalore South</c:v>
                  </c:pt>
                  <c:pt idx="54">
                    <c:v>Davanagere</c:v>
                  </c:pt>
                  <c:pt idx="55">
                    <c:v>Mysore</c:v>
                  </c:pt>
                  <c:pt idx="56">
                    <c:v>Mysore</c:v>
                  </c:pt>
                  <c:pt idx="57">
                    <c:v>Hubli</c:v>
                  </c:pt>
                  <c:pt idx="58">
                    <c:v>Bangalore South</c:v>
                  </c:pt>
                  <c:pt idx="59">
                    <c:v>Shimoga</c:v>
                  </c:pt>
                  <c:pt idx="60">
                    <c:v>Davanagere</c:v>
                  </c:pt>
                  <c:pt idx="61">
                    <c:v>Bijapur</c:v>
                  </c:pt>
                  <c:pt idx="62">
                    <c:v>Bangalore South</c:v>
                  </c:pt>
                  <c:pt idx="63">
                    <c:v>Bangalore South</c:v>
                  </c:pt>
                  <c:pt idx="64">
                    <c:v>Tumkur</c:v>
                  </c:pt>
                  <c:pt idx="65">
                    <c:v>Shimoga</c:v>
                  </c:pt>
                  <c:pt idx="66">
                    <c:v>Mysore</c:v>
                  </c:pt>
                  <c:pt idx="67">
                    <c:v>Mangalore</c:v>
                  </c:pt>
                  <c:pt idx="68">
                    <c:v>Tumkur</c:v>
                  </c:pt>
                  <c:pt idx="69">
                    <c:v>Hubli</c:v>
                  </c:pt>
                  <c:pt idx="70">
                    <c:v>Hubli</c:v>
                  </c:pt>
                  <c:pt idx="71">
                    <c:v>Mangalore</c:v>
                  </c:pt>
                  <c:pt idx="72">
                    <c:v>Mysore</c:v>
                  </c:pt>
                  <c:pt idx="73">
                    <c:v>Bijapur</c:v>
                  </c:pt>
                  <c:pt idx="74">
                    <c:v>Belgaum</c:v>
                  </c:pt>
                  <c:pt idx="75">
                    <c:v>Shimoga</c:v>
                  </c:pt>
                  <c:pt idx="76">
                    <c:v>Davanagere</c:v>
                  </c:pt>
                  <c:pt idx="77">
                    <c:v>Bangalore South</c:v>
                  </c:pt>
                  <c:pt idx="78">
                    <c:v>Hubli</c:v>
                  </c:pt>
                  <c:pt idx="79">
                    <c:v>Tumkur</c:v>
                  </c:pt>
                  <c:pt idx="80">
                    <c:v>Mysore</c:v>
                  </c:pt>
                  <c:pt idx="81">
                    <c:v>Bangalore South</c:v>
                  </c:pt>
                  <c:pt idx="82">
                    <c:v>Shimoga</c:v>
                  </c:pt>
                  <c:pt idx="83">
                    <c:v>Davanagere</c:v>
                  </c:pt>
                  <c:pt idx="84">
                    <c:v>Mysore</c:v>
                  </c:pt>
                  <c:pt idx="85">
                    <c:v>Shimoga</c:v>
                  </c:pt>
                  <c:pt idx="86">
                    <c:v>Mangalore</c:v>
                  </c:pt>
                  <c:pt idx="87">
                    <c:v>Belgaum</c:v>
                  </c:pt>
                  <c:pt idx="88">
                    <c:v>Bijapur</c:v>
                  </c:pt>
                  <c:pt idx="89">
                    <c:v>Mysore</c:v>
                  </c:pt>
                  <c:pt idx="90">
                    <c:v>Bangalore South</c:v>
                  </c:pt>
                  <c:pt idx="91">
                    <c:v>Davanagere</c:v>
                  </c:pt>
                  <c:pt idx="92">
                    <c:v>Bellary</c:v>
                  </c:pt>
                  <c:pt idx="93">
                    <c:v>Hubli</c:v>
                  </c:pt>
                  <c:pt idx="94">
                    <c:v>Mysore</c:v>
                  </c:pt>
                  <c:pt idx="95">
                    <c:v>Bangalore South</c:v>
                  </c:pt>
                  <c:pt idx="96">
                    <c:v>Bangalore South</c:v>
                  </c:pt>
                  <c:pt idx="97">
                    <c:v>Shimoga</c:v>
                  </c:pt>
                  <c:pt idx="98">
                    <c:v>Mangalore</c:v>
                  </c:pt>
                  <c:pt idx="99">
                    <c:v>Bijapur</c:v>
                  </c:pt>
                  <c:pt idx="100">
                    <c:v>Davanagere</c:v>
                  </c:pt>
                </c:lvl>
              </c:multiLvlStrCache>
            </c:multiLvlStrRef>
          </c:cat>
          <c:val>
            <c:numRef>
              <c:f>Cleaned_Data!$I$1:$I$101</c:f>
              <c:numCache>
                <c:formatCode>General</c:formatCode>
                <c:ptCount val="101"/>
              </c:numCache>
            </c:numRef>
          </c:val>
        </c:ser>
        <c:ser>
          <c:idx val="4"/>
          <c:order val="4"/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Cleaned_Data!$A$1:$D$101</c:f>
              <c:multiLvlStrCache>
                <c:ptCount val="101"/>
                <c:lvl>
                  <c:pt idx="0">
                    <c:v>Candidate</c:v>
                  </c:pt>
                  <c:pt idx="1">
                    <c:v>Amit Shah</c:v>
                  </c:pt>
                  <c:pt idx="2">
                    <c:v>Nisha Kulkarni</c:v>
                  </c:pt>
                  <c:pt idx="3">
                    <c:v>Amit Shah</c:v>
                  </c:pt>
                  <c:pt idx="4">
                    <c:v>Asha Patil</c:v>
                  </c:pt>
                  <c:pt idx="5">
                    <c:v>Nisha Kulkarni</c:v>
                  </c:pt>
                  <c:pt idx="6">
                    <c:v>Rahul Verma</c:v>
                  </c:pt>
                  <c:pt idx="7">
                    <c:v>Anita Desai</c:v>
                  </c:pt>
                  <c:pt idx="8">
                    <c:v>Rajeev Nair</c:v>
                  </c:pt>
                  <c:pt idx="9">
                    <c:v>Manoj Singh</c:v>
                  </c:pt>
                  <c:pt idx="10">
                    <c:v>Sneha Reddy</c:v>
                  </c:pt>
                  <c:pt idx="11">
                    <c:v>Priya Menon</c:v>
                  </c:pt>
                  <c:pt idx="12">
                    <c:v>Prakash Patil</c:v>
                  </c:pt>
                  <c:pt idx="13">
                    <c:v>Neha Joshi</c:v>
                  </c:pt>
                  <c:pt idx="14">
                    <c:v>Ravi Kumar</c:v>
                  </c:pt>
                  <c:pt idx="15">
                    <c:v>Rahul Verma</c:v>
                  </c:pt>
                  <c:pt idx="16">
                    <c:v>Neha Joshi</c:v>
                  </c:pt>
                  <c:pt idx="17">
                    <c:v>Suresh Naik</c:v>
                  </c:pt>
                  <c:pt idx="18">
                    <c:v>Nisha Kulkarni</c:v>
                  </c:pt>
                  <c:pt idx="19">
                    <c:v>Nisha Kulkarni</c:v>
                  </c:pt>
                  <c:pt idx="20">
                    <c:v>Neha Joshi</c:v>
                  </c:pt>
                  <c:pt idx="21">
                    <c:v>Manoj Singh</c:v>
                  </c:pt>
                  <c:pt idx="22">
                    <c:v>Manoj Singh</c:v>
                  </c:pt>
                  <c:pt idx="23">
                    <c:v>Kavya Rao</c:v>
                  </c:pt>
                  <c:pt idx="24">
                    <c:v>Pooja Verma</c:v>
                  </c:pt>
                  <c:pt idx="25">
                    <c:v>Manoj Singh</c:v>
                  </c:pt>
                  <c:pt idx="26">
                    <c:v>Priya Menon</c:v>
                  </c:pt>
                  <c:pt idx="27">
                    <c:v>Priya Menon</c:v>
                  </c:pt>
                  <c:pt idx="28">
                    <c:v>Ravi Kumar</c:v>
                  </c:pt>
                  <c:pt idx="29">
                    <c:v>Rahul Verma</c:v>
                  </c:pt>
                  <c:pt idx="30">
                    <c:v>Asha Patil</c:v>
                  </c:pt>
                  <c:pt idx="31">
                    <c:v>Amit Shah</c:v>
                  </c:pt>
                  <c:pt idx="32">
                    <c:v>Rahul Verma</c:v>
                  </c:pt>
                  <c:pt idx="33">
                    <c:v>Anita Desai</c:v>
                  </c:pt>
                  <c:pt idx="34">
                    <c:v>Asha Patil</c:v>
                  </c:pt>
                  <c:pt idx="35">
                    <c:v>Amit Shah</c:v>
                  </c:pt>
                  <c:pt idx="36">
                    <c:v>Rajeev Nair</c:v>
                  </c:pt>
                  <c:pt idx="37">
                    <c:v>Vikram Joshi</c:v>
                  </c:pt>
                  <c:pt idx="38">
                    <c:v>Manoj Singh</c:v>
                  </c:pt>
                  <c:pt idx="39">
                    <c:v>Arjun Rao</c:v>
                  </c:pt>
                  <c:pt idx="40">
                    <c:v>Arjun Rao</c:v>
                  </c:pt>
                  <c:pt idx="41">
                    <c:v>Rahul Verma</c:v>
                  </c:pt>
                  <c:pt idx="42">
                    <c:v>Kiran Gowda</c:v>
                  </c:pt>
                  <c:pt idx="43">
                    <c:v>Neha Joshi</c:v>
                  </c:pt>
                  <c:pt idx="44">
                    <c:v>Asha Patil</c:v>
                  </c:pt>
                  <c:pt idx="45">
                    <c:v>Sneha Reddy</c:v>
                  </c:pt>
                  <c:pt idx="46">
                    <c:v>Meera Iyer</c:v>
                  </c:pt>
                  <c:pt idx="47">
                    <c:v>Kiran Gowda</c:v>
                  </c:pt>
                  <c:pt idx="48">
                    <c:v>Amit Shah</c:v>
                  </c:pt>
                  <c:pt idx="49">
                    <c:v>Suresh Naik</c:v>
                  </c:pt>
                  <c:pt idx="50">
                    <c:v>Manoj Singh</c:v>
                  </c:pt>
                  <c:pt idx="51">
                    <c:v>Priya Menon</c:v>
                  </c:pt>
                  <c:pt idx="52">
                    <c:v>Sneha Reddy</c:v>
                  </c:pt>
                  <c:pt idx="53">
                    <c:v>Pooja Verma</c:v>
                  </c:pt>
                  <c:pt idx="54">
                    <c:v>Suresh Naik</c:v>
                  </c:pt>
                  <c:pt idx="55">
                    <c:v>Neha Joshi</c:v>
                  </c:pt>
                  <c:pt idx="56">
                    <c:v>Anita Desai</c:v>
                  </c:pt>
                  <c:pt idx="57">
                    <c:v>Prakash Patil</c:v>
                  </c:pt>
                  <c:pt idx="58">
                    <c:v>Ravi Kumar</c:v>
                  </c:pt>
                  <c:pt idx="59">
                    <c:v>Amit Shah</c:v>
                  </c:pt>
                  <c:pt idx="60">
                    <c:v>Rahul Verma</c:v>
                  </c:pt>
                  <c:pt idx="61">
                    <c:v>Vikram Joshi</c:v>
                  </c:pt>
                  <c:pt idx="62">
                    <c:v>Pooja Verma</c:v>
                  </c:pt>
                  <c:pt idx="63">
                    <c:v>Anita Desai</c:v>
                  </c:pt>
                  <c:pt idx="64">
                    <c:v>Rajeev Nair</c:v>
                  </c:pt>
                  <c:pt idx="65">
                    <c:v>Nisha Kulkarni</c:v>
                  </c:pt>
                  <c:pt idx="66">
                    <c:v>Nisha Kulkarni</c:v>
                  </c:pt>
                  <c:pt idx="67">
                    <c:v>Priya Menon</c:v>
                  </c:pt>
                  <c:pt idx="68">
                    <c:v>Vikram Joshi</c:v>
                  </c:pt>
                  <c:pt idx="69">
                    <c:v>Rajeev Nair</c:v>
                  </c:pt>
                  <c:pt idx="70">
                    <c:v>Manoj Singh</c:v>
                  </c:pt>
                  <c:pt idx="71">
                    <c:v>Kavya Rao</c:v>
                  </c:pt>
                  <c:pt idx="72">
                    <c:v>Manoj Singh</c:v>
                  </c:pt>
                  <c:pt idx="73">
                    <c:v>Pooja Verma</c:v>
                  </c:pt>
                  <c:pt idx="74">
                    <c:v>Amit Shah</c:v>
                  </c:pt>
                  <c:pt idx="75">
                    <c:v>Kiran Gowda</c:v>
                  </c:pt>
                  <c:pt idx="76">
                    <c:v>Nisha Kulkarni</c:v>
                  </c:pt>
                  <c:pt idx="77">
                    <c:v>Rahul Verma</c:v>
                  </c:pt>
                  <c:pt idx="78">
                    <c:v>Arjun Rao</c:v>
                  </c:pt>
                  <c:pt idx="79">
                    <c:v>Prakash Patil</c:v>
                  </c:pt>
                  <c:pt idx="80">
                    <c:v>Sneha Reddy</c:v>
                  </c:pt>
                  <c:pt idx="81">
                    <c:v>Kiran Gowda</c:v>
                  </c:pt>
                  <c:pt idx="82">
                    <c:v>Manoj Singh</c:v>
                  </c:pt>
                  <c:pt idx="83">
                    <c:v>Manoj Singh</c:v>
                  </c:pt>
                  <c:pt idx="84">
                    <c:v>Sneha Reddy</c:v>
                  </c:pt>
                  <c:pt idx="85">
                    <c:v>Ravi Kumar</c:v>
                  </c:pt>
                  <c:pt idx="86">
                    <c:v>Kavya Rao</c:v>
                  </c:pt>
                  <c:pt idx="87">
                    <c:v>Rajeev Nair</c:v>
                  </c:pt>
                  <c:pt idx="88">
                    <c:v>Ravi Kumar</c:v>
                  </c:pt>
                  <c:pt idx="89">
                    <c:v>Suresh Naik</c:v>
                  </c:pt>
                  <c:pt idx="90">
                    <c:v>Asha Patil</c:v>
                  </c:pt>
                  <c:pt idx="91">
                    <c:v>Sneha Reddy</c:v>
                  </c:pt>
                  <c:pt idx="92">
                    <c:v>Kavya Rao</c:v>
                  </c:pt>
                  <c:pt idx="93">
                    <c:v>Anita Desai</c:v>
                  </c:pt>
                  <c:pt idx="94">
                    <c:v>Neha Joshi</c:v>
                  </c:pt>
                  <c:pt idx="95">
                    <c:v>Nisha Kulkarni</c:v>
                  </c:pt>
                  <c:pt idx="96">
                    <c:v>Divya Sharma</c:v>
                  </c:pt>
                  <c:pt idx="97">
                    <c:v>Rajeev Nair</c:v>
                  </c:pt>
                  <c:pt idx="98">
                    <c:v>Rajeev Nair</c:v>
                  </c:pt>
                  <c:pt idx="99">
                    <c:v>Divya Sharma</c:v>
                  </c:pt>
                  <c:pt idx="100">
                    <c:v>Kiran Gowda</c:v>
                  </c:pt>
                </c:lvl>
                <c:lvl>
                  <c:pt idx="0">
                    <c:v>Party</c:v>
                  </c:pt>
                  <c:pt idx="1">
                    <c:v>XYZ</c:v>
                  </c:pt>
                  <c:pt idx="2">
                    <c:v>XYZ</c:v>
                  </c:pt>
                  <c:pt idx="3">
                    <c:v>ABC</c:v>
                  </c:pt>
                  <c:pt idx="4">
                    <c:v>PQR</c:v>
                  </c:pt>
                  <c:pt idx="5">
                    <c:v>ABC</c:v>
                  </c:pt>
                  <c:pt idx="6">
                    <c:v>ABC</c:v>
                  </c:pt>
                  <c:pt idx="7">
                    <c:v>XYZ</c:v>
                  </c:pt>
                  <c:pt idx="8">
                    <c:v>LMN</c:v>
                  </c:pt>
                  <c:pt idx="9">
                    <c:v>PQR</c:v>
                  </c:pt>
                  <c:pt idx="10">
                    <c:v>ABC</c:v>
                  </c:pt>
                  <c:pt idx="11">
                    <c:v>LMN</c:v>
                  </c:pt>
                  <c:pt idx="12">
                    <c:v>ABC</c:v>
                  </c:pt>
                  <c:pt idx="13">
                    <c:v>LMN</c:v>
                  </c:pt>
                  <c:pt idx="14">
                    <c:v>XYZ</c:v>
                  </c:pt>
                  <c:pt idx="15">
                    <c:v>PQR</c:v>
                  </c:pt>
                  <c:pt idx="16">
                    <c:v>XYZ</c:v>
                  </c:pt>
                  <c:pt idx="17">
                    <c:v>XYZ</c:v>
                  </c:pt>
                  <c:pt idx="18">
                    <c:v>XYZ</c:v>
                  </c:pt>
                  <c:pt idx="19">
                    <c:v>ABC</c:v>
                  </c:pt>
                  <c:pt idx="20">
                    <c:v>ABC</c:v>
                  </c:pt>
                  <c:pt idx="21">
                    <c:v>PQR</c:v>
                  </c:pt>
                  <c:pt idx="22">
                    <c:v>ABC</c:v>
                  </c:pt>
                  <c:pt idx="23">
                    <c:v>ABC</c:v>
                  </c:pt>
                  <c:pt idx="24">
                    <c:v>PQR</c:v>
                  </c:pt>
                  <c:pt idx="25">
                    <c:v>XYZ</c:v>
                  </c:pt>
                  <c:pt idx="26">
                    <c:v>LMN</c:v>
                  </c:pt>
                  <c:pt idx="27">
                    <c:v>PQR</c:v>
                  </c:pt>
                  <c:pt idx="28">
                    <c:v>XYZ</c:v>
                  </c:pt>
                  <c:pt idx="29">
                    <c:v>ABC</c:v>
                  </c:pt>
                  <c:pt idx="30">
                    <c:v>ABC</c:v>
                  </c:pt>
                  <c:pt idx="31">
                    <c:v>ABC</c:v>
                  </c:pt>
                  <c:pt idx="32">
                    <c:v>ABC</c:v>
                  </c:pt>
                  <c:pt idx="33">
                    <c:v>XYZ</c:v>
                  </c:pt>
                  <c:pt idx="34">
                    <c:v>XYZ</c:v>
                  </c:pt>
                  <c:pt idx="35">
                    <c:v>XYZ</c:v>
                  </c:pt>
                  <c:pt idx="36">
                    <c:v>LMN</c:v>
                  </c:pt>
                  <c:pt idx="37">
                    <c:v>ABC</c:v>
                  </c:pt>
                  <c:pt idx="38">
                    <c:v>LMN</c:v>
                  </c:pt>
                  <c:pt idx="39">
                    <c:v>PQR</c:v>
                  </c:pt>
                  <c:pt idx="40">
                    <c:v>ABC</c:v>
                  </c:pt>
                  <c:pt idx="41">
                    <c:v>LMN</c:v>
                  </c:pt>
                  <c:pt idx="42">
                    <c:v>LMN</c:v>
                  </c:pt>
                  <c:pt idx="43">
                    <c:v>XYZ</c:v>
                  </c:pt>
                  <c:pt idx="44">
                    <c:v>LMN</c:v>
                  </c:pt>
                  <c:pt idx="45">
                    <c:v>LMN</c:v>
                  </c:pt>
                  <c:pt idx="46">
                    <c:v>PQR</c:v>
                  </c:pt>
                  <c:pt idx="47">
                    <c:v>LMN</c:v>
                  </c:pt>
                  <c:pt idx="48">
                    <c:v>PQR</c:v>
                  </c:pt>
                  <c:pt idx="49">
                    <c:v>XYZ</c:v>
                  </c:pt>
                  <c:pt idx="50">
                    <c:v>LMN</c:v>
                  </c:pt>
                  <c:pt idx="51">
                    <c:v>PQR</c:v>
                  </c:pt>
                  <c:pt idx="52">
                    <c:v>XYZ</c:v>
                  </c:pt>
                  <c:pt idx="53">
                    <c:v>ABC</c:v>
                  </c:pt>
                  <c:pt idx="54">
                    <c:v>XYZ</c:v>
                  </c:pt>
                  <c:pt idx="55">
                    <c:v>XYZ</c:v>
                  </c:pt>
                  <c:pt idx="56">
                    <c:v>XYZ</c:v>
                  </c:pt>
                  <c:pt idx="57">
                    <c:v>XYZ</c:v>
                  </c:pt>
                  <c:pt idx="58">
                    <c:v>XYZ</c:v>
                  </c:pt>
                  <c:pt idx="59">
                    <c:v>ABC</c:v>
                  </c:pt>
                  <c:pt idx="60">
                    <c:v>XYZ</c:v>
                  </c:pt>
                  <c:pt idx="61">
                    <c:v>XYZ</c:v>
                  </c:pt>
                  <c:pt idx="62">
                    <c:v>XYZ</c:v>
                  </c:pt>
                  <c:pt idx="63">
                    <c:v>XYZ</c:v>
                  </c:pt>
                  <c:pt idx="64">
                    <c:v>ABC</c:v>
                  </c:pt>
                  <c:pt idx="65">
                    <c:v>LMN</c:v>
                  </c:pt>
                  <c:pt idx="66">
                    <c:v>PQR</c:v>
                  </c:pt>
                  <c:pt idx="67">
                    <c:v>LMN</c:v>
                  </c:pt>
                  <c:pt idx="68">
                    <c:v>PQR</c:v>
                  </c:pt>
                  <c:pt idx="69">
                    <c:v>LMN</c:v>
                  </c:pt>
                  <c:pt idx="70">
                    <c:v>XYZ</c:v>
                  </c:pt>
                  <c:pt idx="71">
                    <c:v>XYZ</c:v>
                  </c:pt>
                  <c:pt idx="72">
                    <c:v>PQR</c:v>
                  </c:pt>
                  <c:pt idx="73">
                    <c:v>LMN</c:v>
                  </c:pt>
                  <c:pt idx="74">
                    <c:v>XYZ</c:v>
                  </c:pt>
                  <c:pt idx="75">
                    <c:v>PQR</c:v>
                  </c:pt>
                  <c:pt idx="76">
                    <c:v>ABC</c:v>
                  </c:pt>
                  <c:pt idx="77">
                    <c:v>PQR</c:v>
                  </c:pt>
                  <c:pt idx="78">
                    <c:v>XYZ</c:v>
                  </c:pt>
                  <c:pt idx="79">
                    <c:v>PQR</c:v>
                  </c:pt>
                  <c:pt idx="80">
                    <c:v>XYZ</c:v>
                  </c:pt>
                  <c:pt idx="81">
                    <c:v>ABC</c:v>
                  </c:pt>
                  <c:pt idx="82">
                    <c:v>LMN</c:v>
                  </c:pt>
                  <c:pt idx="83">
                    <c:v>PQR</c:v>
                  </c:pt>
                  <c:pt idx="84">
                    <c:v>LMN</c:v>
                  </c:pt>
                  <c:pt idx="85">
                    <c:v>XYZ</c:v>
                  </c:pt>
                  <c:pt idx="86">
                    <c:v>LMN</c:v>
                  </c:pt>
                  <c:pt idx="87">
                    <c:v>LMN</c:v>
                  </c:pt>
                  <c:pt idx="88">
                    <c:v>PQR</c:v>
                  </c:pt>
                  <c:pt idx="89">
                    <c:v>ABC</c:v>
                  </c:pt>
                  <c:pt idx="90">
                    <c:v>PQR</c:v>
                  </c:pt>
                  <c:pt idx="91">
                    <c:v>LMN</c:v>
                  </c:pt>
                  <c:pt idx="92">
                    <c:v>XYZ</c:v>
                  </c:pt>
                  <c:pt idx="93">
                    <c:v>PQR</c:v>
                  </c:pt>
                  <c:pt idx="94">
                    <c:v>XYZ</c:v>
                  </c:pt>
                  <c:pt idx="95">
                    <c:v>XYZ</c:v>
                  </c:pt>
                  <c:pt idx="96">
                    <c:v>XYZ</c:v>
                  </c:pt>
                  <c:pt idx="97">
                    <c:v>LMN</c:v>
                  </c:pt>
                  <c:pt idx="98">
                    <c:v>PQR</c:v>
                  </c:pt>
                  <c:pt idx="99">
                    <c:v>ABC</c:v>
                  </c:pt>
                  <c:pt idx="100">
                    <c:v>XYZ</c:v>
                  </c:pt>
                </c:lvl>
                <c:lvl>
                  <c:pt idx="0">
                    <c:v>State</c:v>
                  </c:pt>
                  <c:pt idx="1">
                    <c:v>Karnataka</c:v>
                  </c:pt>
                  <c:pt idx="2">
                    <c:v>Karnataka</c:v>
                  </c:pt>
                  <c:pt idx="3">
                    <c:v>Karnataka</c:v>
                  </c:pt>
                  <c:pt idx="4">
                    <c:v>Karnataka</c:v>
                  </c:pt>
                  <c:pt idx="5">
                    <c:v>Karnataka</c:v>
                  </c:pt>
                  <c:pt idx="6">
                    <c:v>Karnataka</c:v>
                  </c:pt>
                  <c:pt idx="7">
                    <c:v>Karnataka</c:v>
                  </c:pt>
                  <c:pt idx="8">
                    <c:v>Karnataka</c:v>
                  </c:pt>
                  <c:pt idx="9">
                    <c:v>Karnataka</c:v>
                  </c:pt>
                  <c:pt idx="10">
                    <c:v>Karnataka</c:v>
                  </c:pt>
                  <c:pt idx="11">
                    <c:v>Karnataka</c:v>
                  </c:pt>
                  <c:pt idx="12">
                    <c:v>Karnataka</c:v>
                  </c:pt>
                  <c:pt idx="13">
                    <c:v>Karnataka</c:v>
                  </c:pt>
                  <c:pt idx="14">
                    <c:v>Karnataka</c:v>
                  </c:pt>
                  <c:pt idx="15">
                    <c:v>Karnataka</c:v>
                  </c:pt>
                  <c:pt idx="16">
                    <c:v>Karnataka</c:v>
                  </c:pt>
                  <c:pt idx="17">
                    <c:v>Karnataka</c:v>
                  </c:pt>
                  <c:pt idx="18">
                    <c:v>Karnataka</c:v>
                  </c:pt>
                  <c:pt idx="19">
                    <c:v>Karnataka</c:v>
                  </c:pt>
                  <c:pt idx="20">
                    <c:v>Karnataka</c:v>
                  </c:pt>
                  <c:pt idx="21">
                    <c:v>Karnataka</c:v>
                  </c:pt>
                  <c:pt idx="22">
                    <c:v>Karnataka</c:v>
                  </c:pt>
                  <c:pt idx="23">
                    <c:v>Karnataka</c:v>
                  </c:pt>
                  <c:pt idx="24">
                    <c:v>Karnataka</c:v>
                  </c:pt>
                  <c:pt idx="25">
                    <c:v>Karnataka</c:v>
                  </c:pt>
                  <c:pt idx="26">
                    <c:v>Karnataka</c:v>
                  </c:pt>
                  <c:pt idx="27">
                    <c:v>Karnataka</c:v>
                  </c:pt>
                  <c:pt idx="28">
                    <c:v>Karnataka</c:v>
                  </c:pt>
                  <c:pt idx="29">
                    <c:v>Karnataka</c:v>
                  </c:pt>
                  <c:pt idx="30">
                    <c:v>Karnataka</c:v>
                  </c:pt>
                  <c:pt idx="31">
                    <c:v>Karnataka</c:v>
                  </c:pt>
                  <c:pt idx="32">
                    <c:v>Karnataka</c:v>
                  </c:pt>
                  <c:pt idx="33">
                    <c:v>Karnataka</c:v>
                  </c:pt>
                  <c:pt idx="34">
                    <c:v>Karnataka</c:v>
                  </c:pt>
                  <c:pt idx="35">
                    <c:v>Karnataka</c:v>
                  </c:pt>
                  <c:pt idx="36">
                    <c:v>Karnataka</c:v>
                  </c:pt>
                  <c:pt idx="37">
                    <c:v>Karnataka</c:v>
                  </c:pt>
                  <c:pt idx="38">
                    <c:v>Karnataka</c:v>
                  </c:pt>
                  <c:pt idx="39">
                    <c:v>Karnataka</c:v>
                  </c:pt>
                  <c:pt idx="40">
                    <c:v>Karnataka</c:v>
                  </c:pt>
                  <c:pt idx="41">
                    <c:v>Karnataka</c:v>
                  </c:pt>
                  <c:pt idx="42">
                    <c:v>Karnataka</c:v>
                  </c:pt>
                  <c:pt idx="43">
                    <c:v>Karnataka</c:v>
                  </c:pt>
                  <c:pt idx="44">
                    <c:v>Karnataka</c:v>
                  </c:pt>
                  <c:pt idx="45">
                    <c:v>Karnataka</c:v>
                  </c:pt>
                  <c:pt idx="46">
                    <c:v>Karnataka</c:v>
                  </c:pt>
                  <c:pt idx="47">
                    <c:v>Karnataka</c:v>
                  </c:pt>
                  <c:pt idx="48">
                    <c:v>Karnataka</c:v>
                  </c:pt>
                  <c:pt idx="49">
                    <c:v>Karnataka</c:v>
                  </c:pt>
                  <c:pt idx="50">
                    <c:v>Karnataka</c:v>
                  </c:pt>
                  <c:pt idx="51">
                    <c:v>Karnataka</c:v>
                  </c:pt>
                  <c:pt idx="52">
                    <c:v>Karnataka</c:v>
                  </c:pt>
                  <c:pt idx="53">
                    <c:v>Karnataka</c:v>
                  </c:pt>
                  <c:pt idx="54">
                    <c:v>Karnataka</c:v>
                  </c:pt>
                  <c:pt idx="55">
                    <c:v>Karnataka</c:v>
                  </c:pt>
                  <c:pt idx="56">
                    <c:v>Karnataka</c:v>
                  </c:pt>
                  <c:pt idx="57">
                    <c:v>Karnataka</c:v>
                  </c:pt>
                  <c:pt idx="58">
                    <c:v>Karnataka</c:v>
                  </c:pt>
                  <c:pt idx="59">
                    <c:v>Karnataka</c:v>
                  </c:pt>
                  <c:pt idx="60">
                    <c:v>Karnataka</c:v>
                  </c:pt>
                  <c:pt idx="61">
                    <c:v>Karnataka</c:v>
                  </c:pt>
                  <c:pt idx="62">
                    <c:v>Karnataka</c:v>
                  </c:pt>
                  <c:pt idx="63">
                    <c:v>Karnataka</c:v>
                  </c:pt>
                  <c:pt idx="64">
                    <c:v>Karnataka</c:v>
                  </c:pt>
                  <c:pt idx="65">
                    <c:v>Karnataka</c:v>
                  </c:pt>
                  <c:pt idx="66">
                    <c:v>Karnataka</c:v>
                  </c:pt>
                  <c:pt idx="67">
                    <c:v>Karnataka</c:v>
                  </c:pt>
                  <c:pt idx="68">
                    <c:v>Karnataka</c:v>
                  </c:pt>
                  <c:pt idx="69">
                    <c:v>Karnataka</c:v>
                  </c:pt>
                  <c:pt idx="70">
                    <c:v>Karnataka</c:v>
                  </c:pt>
                  <c:pt idx="71">
                    <c:v>Karnataka</c:v>
                  </c:pt>
                  <c:pt idx="72">
                    <c:v>Karnataka</c:v>
                  </c:pt>
                  <c:pt idx="73">
                    <c:v>Karnataka</c:v>
                  </c:pt>
                  <c:pt idx="74">
                    <c:v>Karnataka</c:v>
                  </c:pt>
                  <c:pt idx="75">
                    <c:v>Karnataka</c:v>
                  </c:pt>
                  <c:pt idx="76">
                    <c:v>Karnataka</c:v>
                  </c:pt>
                  <c:pt idx="77">
                    <c:v>Karnataka</c:v>
                  </c:pt>
                  <c:pt idx="78">
                    <c:v>Karnataka</c:v>
                  </c:pt>
                  <c:pt idx="79">
                    <c:v>Karnataka</c:v>
                  </c:pt>
                  <c:pt idx="80">
                    <c:v>Karnataka</c:v>
                  </c:pt>
                  <c:pt idx="81">
                    <c:v>Karnataka</c:v>
                  </c:pt>
                  <c:pt idx="82">
                    <c:v>Karnataka</c:v>
                  </c:pt>
                  <c:pt idx="83">
                    <c:v>Karnataka</c:v>
                  </c:pt>
                  <c:pt idx="84">
                    <c:v>Karnataka</c:v>
                  </c:pt>
                  <c:pt idx="85">
                    <c:v>Karnataka</c:v>
                  </c:pt>
                  <c:pt idx="86">
                    <c:v>Karnataka</c:v>
                  </c:pt>
                  <c:pt idx="87">
                    <c:v>Karnataka</c:v>
                  </c:pt>
                  <c:pt idx="88">
                    <c:v>Karnataka</c:v>
                  </c:pt>
                  <c:pt idx="89">
                    <c:v>Karnataka</c:v>
                  </c:pt>
                  <c:pt idx="90">
                    <c:v>Karnataka</c:v>
                  </c:pt>
                  <c:pt idx="91">
                    <c:v>Karnataka</c:v>
                  </c:pt>
                  <c:pt idx="92">
                    <c:v>Karnataka</c:v>
                  </c:pt>
                  <c:pt idx="93">
                    <c:v>Karnataka</c:v>
                  </c:pt>
                  <c:pt idx="94">
                    <c:v>Karnataka</c:v>
                  </c:pt>
                  <c:pt idx="95">
                    <c:v>Karnataka</c:v>
                  </c:pt>
                  <c:pt idx="96">
                    <c:v>Karnataka</c:v>
                  </c:pt>
                  <c:pt idx="97">
                    <c:v>Karnataka</c:v>
                  </c:pt>
                  <c:pt idx="98">
                    <c:v>Karnataka</c:v>
                  </c:pt>
                  <c:pt idx="99">
                    <c:v>Karnataka</c:v>
                  </c:pt>
                  <c:pt idx="100">
                    <c:v>Karnataka</c:v>
                  </c:pt>
                </c:lvl>
                <c:lvl>
                  <c:pt idx="0">
                    <c:v>Constituency</c:v>
                  </c:pt>
                  <c:pt idx="1">
                    <c:v>Bangalore South</c:v>
                  </c:pt>
                  <c:pt idx="2">
                    <c:v>Belgaum</c:v>
                  </c:pt>
                  <c:pt idx="3">
                    <c:v>Mangalore</c:v>
                  </c:pt>
                  <c:pt idx="4">
                    <c:v>Belgaum</c:v>
                  </c:pt>
                  <c:pt idx="5">
                    <c:v>Shimoga</c:v>
                  </c:pt>
                  <c:pt idx="6">
                    <c:v>Bellary</c:v>
                  </c:pt>
                  <c:pt idx="7">
                    <c:v>Belgaum</c:v>
                  </c:pt>
                  <c:pt idx="8">
                    <c:v>Mangalore</c:v>
                  </c:pt>
                  <c:pt idx="9">
                    <c:v>Tumkur</c:v>
                  </c:pt>
                  <c:pt idx="10">
                    <c:v>Shimoga</c:v>
                  </c:pt>
                  <c:pt idx="11">
                    <c:v>Bangalore South</c:v>
                  </c:pt>
                  <c:pt idx="12">
                    <c:v>Mangalore</c:v>
                  </c:pt>
                  <c:pt idx="13">
                    <c:v>Bijapur</c:v>
                  </c:pt>
                  <c:pt idx="14">
                    <c:v>Belgaum</c:v>
                  </c:pt>
                  <c:pt idx="15">
                    <c:v>Hubli</c:v>
                  </c:pt>
                  <c:pt idx="16">
                    <c:v>Bellary</c:v>
                  </c:pt>
                  <c:pt idx="17">
                    <c:v>Bangalore South</c:v>
                  </c:pt>
                  <c:pt idx="18">
                    <c:v>Mangalore</c:v>
                  </c:pt>
                  <c:pt idx="19">
                    <c:v>Shimoga</c:v>
                  </c:pt>
                  <c:pt idx="20">
                    <c:v>Shimoga</c:v>
                  </c:pt>
                  <c:pt idx="21">
                    <c:v>Bangalore South</c:v>
                  </c:pt>
                  <c:pt idx="22">
                    <c:v>Davanagere</c:v>
                  </c:pt>
                  <c:pt idx="23">
                    <c:v>Belgaum</c:v>
                  </c:pt>
                  <c:pt idx="24">
                    <c:v>Bellary</c:v>
                  </c:pt>
                  <c:pt idx="25">
                    <c:v>Davanagere</c:v>
                  </c:pt>
                  <c:pt idx="26">
                    <c:v>Bellary</c:v>
                  </c:pt>
                  <c:pt idx="27">
                    <c:v>Mysore</c:v>
                  </c:pt>
                  <c:pt idx="28">
                    <c:v>Hubli</c:v>
                  </c:pt>
                  <c:pt idx="29">
                    <c:v>Bangalore South</c:v>
                  </c:pt>
                  <c:pt idx="30">
                    <c:v>Hubli</c:v>
                  </c:pt>
                  <c:pt idx="31">
                    <c:v>Tumkur</c:v>
                  </c:pt>
                  <c:pt idx="32">
                    <c:v>Belgaum</c:v>
                  </c:pt>
                  <c:pt idx="33">
                    <c:v>Bijapur</c:v>
                  </c:pt>
                  <c:pt idx="34">
                    <c:v>Bijapur</c:v>
                  </c:pt>
                  <c:pt idx="35">
                    <c:v>Belgaum</c:v>
                  </c:pt>
                  <c:pt idx="36">
                    <c:v>Belgaum</c:v>
                  </c:pt>
                  <c:pt idx="37">
                    <c:v>Bangalore South</c:v>
                  </c:pt>
                  <c:pt idx="38">
                    <c:v>Bellary</c:v>
                  </c:pt>
                  <c:pt idx="39">
                    <c:v>Mangalore</c:v>
                  </c:pt>
                  <c:pt idx="40">
                    <c:v>Belgaum</c:v>
                  </c:pt>
                  <c:pt idx="41">
                    <c:v>Davanagere</c:v>
                  </c:pt>
                  <c:pt idx="42">
                    <c:v>Mysore</c:v>
                  </c:pt>
                  <c:pt idx="43">
                    <c:v>Tumkur</c:v>
                  </c:pt>
                  <c:pt idx="44">
                    <c:v>Mysore</c:v>
                  </c:pt>
                  <c:pt idx="45">
                    <c:v>Tumkur</c:v>
                  </c:pt>
                  <c:pt idx="46">
                    <c:v>Tumkur</c:v>
                  </c:pt>
                  <c:pt idx="47">
                    <c:v>Hubli</c:v>
                  </c:pt>
                  <c:pt idx="48">
                    <c:v>Bijapur</c:v>
                  </c:pt>
                  <c:pt idx="49">
                    <c:v>Davanagere</c:v>
                  </c:pt>
                  <c:pt idx="50">
                    <c:v>Davanagere</c:v>
                  </c:pt>
                  <c:pt idx="51">
                    <c:v>Davanagere</c:v>
                  </c:pt>
                  <c:pt idx="52">
                    <c:v>Bangalore South</c:v>
                  </c:pt>
                  <c:pt idx="53">
                    <c:v>Bangalore South</c:v>
                  </c:pt>
                  <c:pt idx="54">
                    <c:v>Davanagere</c:v>
                  </c:pt>
                  <c:pt idx="55">
                    <c:v>Mysore</c:v>
                  </c:pt>
                  <c:pt idx="56">
                    <c:v>Mysore</c:v>
                  </c:pt>
                  <c:pt idx="57">
                    <c:v>Hubli</c:v>
                  </c:pt>
                  <c:pt idx="58">
                    <c:v>Bangalore South</c:v>
                  </c:pt>
                  <c:pt idx="59">
                    <c:v>Shimoga</c:v>
                  </c:pt>
                  <c:pt idx="60">
                    <c:v>Davanagere</c:v>
                  </c:pt>
                  <c:pt idx="61">
                    <c:v>Bijapur</c:v>
                  </c:pt>
                  <c:pt idx="62">
                    <c:v>Bangalore South</c:v>
                  </c:pt>
                  <c:pt idx="63">
                    <c:v>Bangalore South</c:v>
                  </c:pt>
                  <c:pt idx="64">
                    <c:v>Tumkur</c:v>
                  </c:pt>
                  <c:pt idx="65">
                    <c:v>Shimoga</c:v>
                  </c:pt>
                  <c:pt idx="66">
                    <c:v>Mysore</c:v>
                  </c:pt>
                  <c:pt idx="67">
                    <c:v>Mangalore</c:v>
                  </c:pt>
                  <c:pt idx="68">
                    <c:v>Tumkur</c:v>
                  </c:pt>
                  <c:pt idx="69">
                    <c:v>Hubli</c:v>
                  </c:pt>
                  <c:pt idx="70">
                    <c:v>Hubli</c:v>
                  </c:pt>
                  <c:pt idx="71">
                    <c:v>Mangalore</c:v>
                  </c:pt>
                  <c:pt idx="72">
                    <c:v>Mysore</c:v>
                  </c:pt>
                  <c:pt idx="73">
                    <c:v>Bijapur</c:v>
                  </c:pt>
                  <c:pt idx="74">
                    <c:v>Belgaum</c:v>
                  </c:pt>
                  <c:pt idx="75">
                    <c:v>Shimoga</c:v>
                  </c:pt>
                  <c:pt idx="76">
                    <c:v>Davanagere</c:v>
                  </c:pt>
                  <c:pt idx="77">
                    <c:v>Bangalore South</c:v>
                  </c:pt>
                  <c:pt idx="78">
                    <c:v>Hubli</c:v>
                  </c:pt>
                  <c:pt idx="79">
                    <c:v>Tumkur</c:v>
                  </c:pt>
                  <c:pt idx="80">
                    <c:v>Mysore</c:v>
                  </c:pt>
                  <c:pt idx="81">
                    <c:v>Bangalore South</c:v>
                  </c:pt>
                  <c:pt idx="82">
                    <c:v>Shimoga</c:v>
                  </c:pt>
                  <c:pt idx="83">
                    <c:v>Davanagere</c:v>
                  </c:pt>
                  <c:pt idx="84">
                    <c:v>Mysore</c:v>
                  </c:pt>
                  <c:pt idx="85">
                    <c:v>Shimoga</c:v>
                  </c:pt>
                  <c:pt idx="86">
                    <c:v>Mangalore</c:v>
                  </c:pt>
                  <c:pt idx="87">
                    <c:v>Belgaum</c:v>
                  </c:pt>
                  <c:pt idx="88">
                    <c:v>Bijapur</c:v>
                  </c:pt>
                  <c:pt idx="89">
                    <c:v>Mysore</c:v>
                  </c:pt>
                  <c:pt idx="90">
                    <c:v>Bangalore South</c:v>
                  </c:pt>
                  <c:pt idx="91">
                    <c:v>Davanagere</c:v>
                  </c:pt>
                  <c:pt idx="92">
                    <c:v>Bellary</c:v>
                  </c:pt>
                  <c:pt idx="93">
                    <c:v>Hubli</c:v>
                  </c:pt>
                  <c:pt idx="94">
                    <c:v>Mysore</c:v>
                  </c:pt>
                  <c:pt idx="95">
                    <c:v>Bangalore South</c:v>
                  </c:pt>
                  <c:pt idx="96">
                    <c:v>Bangalore South</c:v>
                  </c:pt>
                  <c:pt idx="97">
                    <c:v>Shimoga</c:v>
                  </c:pt>
                  <c:pt idx="98">
                    <c:v>Mangalore</c:v>
                  </c:pt>
                  <c:pt idx="99">
                    <c:v>Bijapur</c:v>
                  </c:pt>
                  <c:pt idx="100">
                    <c:v>Davanagere</c:v>
                  </c:pt>
                </c:lvl>
              </c:multiLvlStrCache>
            </c:multiLvlStrRef>
          </c:cat>
          <c:val>
            <c:numRef>
              <c:f>Cleaned_Data!$J$1:$J$101</c:f>
              <c:numCache>
                <c:formatCode>General</c:formatCode>
                <c:ptCount val="101"/>
                <c:pt idx="1">
                  <c:v>0</c:v>
                </c:pt>
                <c:pt idx="2">
                  <c:v>33.125</c:v>
                </c:pt>
                <c:pt idx="3">
                  <c:v>49.82625</c:v>
                </c:pt>
                <c:pt idx="4">
                  <c:v>49.1407142857143</c:v>
                </c:pt>
                <c:pt idx="5">
                  <c:v>56.1984</c:v>
                </c:pt>
                <c:pt idx="6">
                  <c:v>34.8875862068966</c:v>
                </c:pt>
                <c:pt idx="7">
                  <c:v>50.5192857142857</c:v>
                </c:pt>
                <c:pt idx="8">
                  <c:v>34.6375</c:v>
                </c:pt>
                <c:pt idx="9">
                  <c:v>45.9127272727273</c:v>
                </c:pt>
                <c:pt idx="10">
                  <c:v>15.3992</c:v>
                </c:pt>
                <c:pt idx="11">
                  <c:v>63.84</c:v>
                </c:pt>
                <c:pt idx="12">
                  <c:v>44.154375</c:v>
                </c:pt>
                <c:pt idx="13">
                  <c:v>25.1837037037037</c:v>
                </c:pt>
                <c:pt idx="14">
                  <c:v>39.1728571428571</c:v>
                </c:pt>
                <c:pt idx="15">
                  <c:v>17.8316666666667</c:v>
                </c:pt>
                <c:pt idx="16">
                  <c:v>47.5475862068966</c:v>
                </c:pt>
                <c:pt idx="17">
                  <c:v>51.4258333333333</c:v>
                </c:pt>
                <c:pt idx="18">
                  <c:v>46.169375</c:v>
                </c:pt>
                <c:pt idx="19">
                  <c:v>62.8064</c:v>
                </c:pt>
                <c:pt idx="20">
                  <c:v>39.5736</c:v>
                </c:pt>
                <c:pt idx="21">
                  <c:v>30.6275</c:v>
                </c:pt>
                <c:pt idx="22">
                  <c:v>12.1715384615385</c:v>
                </c:pt>
                <c:pt idx="23">
                  <c:v>19.7178571428571</c:v>
                </c:pt>
                <c:pt idx="24">
                  <c:v>17.8634482758621</c:v>
                </c:pt>
                <c:pt idx="25">
                  <c:v>20.6838461538462</c:v>
                </c:pt>
                <c:pt idx="26">
                  <c:v>52.711724137931</c:v>
                </c:pt>
                <c:pt idx="27">
                  <c:v>23.756</c:v>
                </c:pt>
                <c:pt idx="28">
                  <c:v>28.7283333333333</c:v>
                </c:pt>
                <c:pt idx="29">
                  <c:v>53.7083333333333</c:v>
                </c:pt>
                <c:pt idx="30">
                  <c:v>33.8883333333333</c:v>
                </c:pt>
                <c:pt idx="31">
                  <c:v>55.7954545454546</c:v>
                </c:pt>
                <c:pt idx="32">
                  <c:v>30.9621428571429</c:v>
                </c:pt>
                <c:pt idx="33">
                  <c:v>42.8</c:v>
                </c:pt>
                <c:pt idx="34">
                  <c:v>27.4103703703704</c:v>
                </c:pt>
                <c:pt idx="35">
                  <c:v>10.9264285714286</c:v>
                </c:pt>
                <c:pt idx="36">
                  <c:v>30.2621428571429</c:v>
                </c:pt>
                <c:pt idx="37">
                  <c:v>30.1333333333333</c:v>
                </c:pt>
                <c:pt idx="38">
                  <c:v>27.2634482758621</c:v>
                </c:pt>
                <c:pt idx="39">
                  <c:v>31.059375</c:v>
                </c:pt>
                <c:pt idx="40">
                  <c:v>24.04</c:v>
                </c:pt>
                <c:pt idx="41">
                  <c:v>48.8423076923077</c:v>
                </c:pt>
                <c:pt idx="42">
                  <c:v>44.2026666666667</c:v>
                </c:pt>
                <c:pt idx="43">
                  <c:v>67.2963636363636</c:v>
                </c:pt>
                <c:pt idx="44">
                  <c:v>16.486</c:v>
                </c:pt>
                <c:pt idx="45">
                  <c:v>18.5790909090909</c:v>
                </c:pt>
                <c:pt idx="46">
                  <c:v>16.1827272727273</c:v>
                </c:pt>
                <c:pt idx="47">
                  <c:v>37.5772222222222</c:v>
                </c:pt>
                <c:pt idx="48">
                  <c:v>55.3192592592593</c:v>
                </c:pt>
                <c:pt idx="49">
                  <c:v>42.3353846153846</c:v>
                </c:pt>
                <c:pt idx="50">
                  <c:v>17.4553846153846</c:v>
                </c:pt>
                <c:pt idx="51">
                  <c:v>57.3215384615385</c:v>
                </c:pt>
                <c:pt idx="52">
                  <c:v>56.5291666666667</c:v>
                </c:pt>
                <c:pt idx="53">
                  <c:v>37.4841666666667</c:v>
                </c:pt>
                <c:pt idx="54">
                  <c:v>28.9623076923077</c:v>
                </c:pt>
                <c:pt idx="55">
                  <c:v>37.638</c:v>
                </c:pt>
                <c:pt idx="56">
                  <c:v>30.212</c:v>
                </c:pt>
                <c:pt idx="57">
                  <c:v>26.61</c:v>
                </c:pt>
                <c:pt idx="58">
                  <c:v>38.6058333333333</c:v>
                </c:pt>
                <c:pt idx="59">
                  <c:v>28.4296</c:v>
                </c:pt>
                <c:pt idx="60">
                  <c:v>14.1792307692308</c:v>
                </c:pt>
                <c:pt idx="61">
                  <c:v>11.34</c:v>
                </c:pt>
                <c:pt idx="62">
                  <c:v>64.0983333333333</c:v>
                </c:pt>
                <c:pt idx="63">
                  <c:v>19.46</c:v>
                </c:pt>
                <c:pt idx="64">
                  <c:v>48.8918181818182</c:v>
                </c:pt>
                <c:pt idx="65">
                  <c:v>29.108</c:v>
                </c:pt>
                <c:pt idx="66">
                  <c:v>42.5986666666667</c:v>
                </c:pt>
                <c:pt idx="67">
                  <c:v>21.8775</c:v>
                </c:pt>
                <c:pt idx="68">
                  <c:v>17.0990909090909</c:v>
                </c:pt>
                <c:pt idx="69">
                  <c:v>19.5127777777778</c:v>
                </c:pt>
                <c:pt idx="70">
                  <c:v>31.0661111111111</c:v>
                </c:pt>
                <c:pt idx="71">
                  <c:v>42.916875</c:v>
                </c:pt>
                <c:pt idx="72">
                  <c:v>18.326</c:v>
                </c:pt>
                <c:pt idx="73">
                  <c:v>33.2414814814815</c:v>
                </c:pt>
                <c:pt idx="74">
                  <c:v>32.5957142857143</c:v>
                </c:pt>
                <c:pt idx="75">
                  <c:v>32.4104</c:v>
                </c:pt>
                <c:pt idx="76">
                  <c:v>58.3623076923077</c:v>
                </c:pt>
                <c:pt idx="77">
                  <c:v>17.1866666666667</c:v>
                </c:pt>
                <c:pt idx="78">
                  <c:v>23.4133333333333</c:v>
                </c:pt>
                <c:pt idx="79">
                  <c:v>59.4854545454545</c:v>
                </c:pt>
                <c:pt idx="80">
                  <c:v>26.5546666666667</c:v>
                </c:pt>
                <c:pt idx="81">
                  <c:v>20.7791666666667</c:v>
                </c:pt>
                <c:pt idx="82">
                  <c:v>58.3952</c:v>
                </c:pt>
                <c:pt idx="83">
                  <c:v>16.2923076923077</c:v>
                </c:pt>
                <c:pt idx="84">
                  <c:v>17.0993333333333</c:v>
                </c:pt>
                <c:pt idx="85">
                  <c:v>18.0464</c:v>
                </c:pt>
                <c:pt idx="86">
                  <c:v>13.735</c:v>
                </c:pt>
                <c:pt idx="87">
                  <c:v>44.0514285714286</c:v>
                </c:pt>
                <c:pt idx="88">
                  <c:v>13.0051851851852</c:v>
                </c:pt>
                <c:pt idx="89">
                  <c:v>21.52</c:v>
                </c:pt>
                <c:pt idx="90">
                  <c:v>29.665</c:v>
                </c:pt>
                <c:pt idx="91">
                  <c:v>56.7938461538462</c:v>
                </c:pt>
                <c:pt idx="92">
                  <c:v>53.0206896551724</c:v>
                </c:pt>
                <c:pt idx="93">
                  <c:v>36.21</c:v>
                </c:pt>
                <c:pt idx="94">
                  <c:v>34.3546666666667</c:v>
                </c:pt>
                <c:pt idx="95">
                  <c:v>13.1191666666667</c:v>
                </c:pt>
                <c:pt idx="96">
                  <c:v>51.7366666666667</c:v>
                </c:pt>
                <c:pt idx="97">
                  <c:v>12.9808</c:v>
                </c:pt>
                <c:pt idx="98">
                  <c:v>46.645625</c:v>
                </c:pt>
                <c:pt idx="99">
                  <c:v>15.0792592592593</c:v>
                </c:pt>
                <c:pt idx="100">
                  <c:v>14.9007692307692</c:v>
                </c:pt>
              </c:numCache>
            </c:numRef>
          </c:val>
        </c:ser>
        <c:ser>
          <c:idx val="5"/>
          <c:order val="5"/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Cleaned_Data!$A$1:$D$101</c:f>
              <c:multiLvlStrCache>
                <c:ptCount val="101"/>
                <c:lvl>
                  <c:pt idx="0">
                    <c:v>Candidate</c:v>
                  </c:pt>
                  <c:pt idx="1">
                    <c:v>Amit Shah</c:v>
                  </c:pt>
                  <c:pt idx="2">
                    <c:v>Nisha Kulkarni</c:v>
                  </c:pt>
                  <c:pt idx="3">
                    <c:v>Amit Shah</c:v>
                  </c:pt>
                  <c:pt idx="4">
                    <c:v>Asha Patil</c:v>
                  </c:pt>
                  <c:pt idx="5">
                    <c:v>Nisha Kulkarni</c:v>
                  </c:pt>
                  <c:pt idx="6">
                    <c:v>Rahul Verma</c:v>
                  </c:pt>
                  <c:pt idx="7">
                    <c:v>Anita Desai</c:v>
                  </c:pt>
                  <c:pt idx="8">
                    <c:v>Rajeev Nair</c:v>
                  </c:pt>
                  <c:pt idx="9">
                    <c:v>Manoj Singh</c:v>
                  </c:pt>
                  <c:pt idx="10">
                    <c:v>Sneha Reddy</c:v>
                  </c:pt>
                  <c:pt idx="11">
                    <c:v>Priya Menon</c:v>
                  </c:pt>
                  <c:pt idx="12">
                    <c:v>Prakash Patil</c:v>
                  </c:pt>
                  <c:pt idx="13">
                    <c:v>Neha Joshi</c:v>
                  </c:pt>
                  <c:pt idx="14">
                    <c:v>Ravi Kumar</c:v>
                  </c:pt>
                  <c:pt idx="15">
                    <c:v>Rahul Verma</c:v>
                  </c:pt>
                  <c:pt idx="16">
                    <c:v>Neha Joshi</c:v>
                  </c:pt>
                  <c:pt idx="17">
                    <c:v>Suresh Naik</c:v>
                  </c:pt>
                  <c:pt idx="18">
                    <c:v>Nisha Kulkarni</c:v>
                  </c:pt>
                  <c:pt idx="19">
                    <c:v>Nisha Kulkarni</c:v>
                  </c:pt>
                  <c:pt idx="20">
                    <c:v>Neha Joshi</c:v>
                  </c:pt>
                  <c:pt idx="21">
                    <c:v>Manoj Singh</c:v>
                  </c:pt>
                  <c:pt idx="22">
                    <c:v>Manoj Singh</c:v>
                  </c:pt>
                  <c:pt idx="23">
                    <c:v>Kavya Rao</c:v>
                  </c:pt>
                  <c:pt idx="24">
                    <c:v>Pooja Verma</c:v>
                  </c:pt>
                  <c:pt idx="25">
                    <c:v>Manoj Singh</c:v>
                  </c:pt>
                  <c:pt idx="26">
                    <c:v>Priya Menon</c:v>
                  </c:pt>
                  <c:pt idx="27">
                    <c:v>Priya Menon</c:v>
                  </c:pt>
                  <c:pt idx="28">
                    <c:v>Ravi Kumar</c:v>
                  </c:pt>
                  <c:pt idx="29">
                    <c:v>Rahul Verma</c:v>
                  </c:pt>
                  <c:pt idx="30">
                    <c:v>Asha Patil</c:v>
                  </c:pt>
                  <c:pt idx="31">
                    <c:v>Amit Shah</c:v>
                  </c:pt>
                  <c:pt idx="32">
                    <c:v>Rahul Verma</c:v>
                  </c:pt>
                  <c:pt idx="33">
                    <c:v>Anita Desai</c:v>
                  </c:pt>
                  <c:pt idx="34">
                    <c:v>Asha Patil</c:v>
                  </c:pt>
                  <c:pt idx="35">
                    <c:v>Amit Shah</c:v>
                  </c:pt>
                  <c:pt idx="36">
                    <c:v>Rajeev Nair</c:v>
                  </c:pt>
                  <c:pt idx="37">
                    <c:v>Vikram Joshi</c:v>
                  </c:pt>
                  <c:pt idx="38">
                    <c:v>Manoj Singh</c:v>
                  </c:pt>
                  <c:pt idx="39">
                    <c:v>Arjun Rao</c:v>
                  </c:pt>
                  <c:pt idx="40">
                    <c:v>Arjun Rao</c:v>
                  </c:pt>
                  <c:pt idx="41">
                    <c:v>Rahul Verma</c:v>
                  </c:pt>
                  <c:pt idx="42">
                    <c:v>Kiran Gowda</c:v>
                  </c:pt>
                  <c:pt idx="43">
                    <c:v>Neha Joshi</c:v>
                  </c:pt>
                  <c:pt idx="44">
                    <c:v>Asha Patil</c:v>
                  </c:pt>
                  <c:pt idx="45">
                    <c:v>Sneha Reddy</c:v>
                  </c:pt>
                  <c:pt idx="46">
                    <c:v>Meera Iyer</c:v>
                  </c:pt>
                  <c:pt idx="47">
                    <c:v>Kiran Gowda</c:v>
                  </c:pt>
                  <c:pt idx="48">
                    <c:v>Amit Shah</c:v>
                  </c:pt>
                  <c:pt idx="49">
                    <c:v>Suresh Naik</c:v>
                  </c:pt>
                  <c:pt idx="50">
                    <c:v>Manoj Singh</c:v>
                  </c:pt>
                  <c:pt idx="51">
                    <c:v>Priya Menon</c:v>
                  </c:pt>
                  <c:pt idx="52">
                    <c:v>Sneha Reddy</c:v>
                  </c:pt>
                  <c:pt idx="53">
                    <c:v>Pooja Verma</c:v>
                  </c:pt>
                  <c:pt idx="54">
                    <c:v>Suresh Naik</c:v>
                  </c:pt>
                  <c:pt idx="55">
                    <c:v>Neha Joshi</c:v>
                  </c:pt>
                  <c:pt idx="56">
                    <c:v>Anita Desai</c:v>
                  </c:pt>
                  <c:pt idx="57">
                    <c:v>Prakash Patil</c:v>
                  </c:pt>
                  <c:pt idx="58">
                    <c:v>Ravi Kumar</c:v>
                  </c:pt>
                  <c:pt idx="59">
                    <c:v>Amit Shah</c:v>
                  </c:pt>
                  <c:pt idx="60">
                    <c:v>Rahul Verma</c:v>
                  </c:pt>
                  <c:pt idx="61">
                    <c:v>Vikram Joshi</c:v>
                  </c:pt>
                  <c:pt idx="62">
                    <c:v>Pooja Verma</c:v>
                  </c:pt>
                  <c:pt idx="63">
                    <c:v>Anita Desai</c:v>
                  </c:pt>
                  <c:pt idx="64">
                    <c:v>Rajeev Nair</c:v>
                  </c:pt>
                  <c:pt idx="65">
                    <c:v>Nisha Kulkarni</c:v>
                  </c:pt>
                  <c:pt idx="66">
                    <c:v>Nisha Kulkarni</c:v>
                  </c:pt>
                  <c:pt idx="67">
                    <c:v>Priya Menon</c:v>
                  </c:pt>
                  <c:pt idx="68">
                    <c:v>Vikram Joshi</c:v>
                  </c:pt>
                  <c:pt idx="69">
                    <c:v>Rajeev Nair</c:v>
                  </c:pt>
                  <c:pt idx="70">
                    <c:v>Manoj Singh</c:v>
                  </c:pt>
                  <c:pt idx="71">
                    <c:v>Kavya Rao</c:v>
                  </c:pt>
                  <c:pt idx="72">
                    <c:v>Manoj Singh</c:v>
                  </c:pt>
                  <c:pt idx="73">
                    <c:v>Pooja Verma</c:v>
                  </c:pt>
                  <c:pt idx="74">
                    <c:v>Amit Shah</c:v>
                  </c:pt>
                  <c:pt idx="75">
                    <c:v>Kiran Gowda</c:v>
                  </c:pt>
                  <c:pt idx="76">
                    <c:v>Nisha Kulkarni</c:v>
                  </c:pt>
                  <c:pt idx="77">
                    <c:v>Rahul Verma</c:v>
                  </c:pt>
                  <c:pt idx="78">
                    <c:v>Arjun Rao</c:v>
                  </c:pt>
                  <c:pt idx="79">
                    <c:v>Prakash Patil</c:v>
                  </c:pt>
                  <c:pt idx="80">
                    <c:v>Sneha Reddy</c:v>
                  </c:pt>
                  <c:pt idx="81">
                    <c:v>Kiran Gowda</c:v>
                  </c:pt>
                  <c:pt idx="82">
                    <c:v>Manoj Singh</c:v>
                  </c:pt>
                  <c:pt idx="83">
                    <c:v>Manoj Singh</c:v>
                  </c:pt>
                  <c:pt idx="84">
                    <c:v>Sneha Reddy</c:v>
                  </c:pt>
                  <c:pt idx="85">
                    <c:v>Ravi Kumar</c:v>
                  </c:pt>
                  <c:pt idx="86">
                    <c:v>Kavya Rao</c:v>
                  </c:pt>
                  <c:pt idx="87">
                    <c:v>Rajeev Nair</c:v>
                  </c:pt>
                  <c:pt idx="88">
                    <c:v>Ravi Kumar</c:v>
                  </c:pt>
                  <c:pt idx="89">
                    <c:v>Suresh Naik</c:v>
                  </c:pt>
                  <c:pt idx="90">
                    <c:v>Asha Patil</c:v>
                  </c:pt>
                  <c:pt idx="91">
                    <c:v>Sneha Reddy</c:v>
                  </c:pt>
                  <c:pt idx="92">
                    <c:v>Kavya Rao</c:v>
                  </c:pt>
                  <c:pt idx="93">
                    <c:v>Anita Desai</c:v>
                  </c:pt>
                  <c:pt idx="94">
                    <c:v>Neha Joshi</c:v>
                  </c:pt>
                  <c:pt idx="95">
                    <c:v>Nisha Kulkarni</c:v>
                  </c:pt>
                  <c:pt idx="96">
                    <c:v>Divya Sharma</c:v>
                  </c:pt>
                  <c:pt idx="97">
                    <c:v>Rajeev Nair</c:v>
                  </c:pt>
                  <c:pt idx="98">
                    <c:v>Rajeev Nair</c:v>
                  </c:pt>
                  <c:pt idx="99">
                    <c:v>Divya Sharma</c:v>
                  </c:pt>
                  <c:pt idx="100">
                    <c:v>Kiran Gowda</c:v>
                  </c:pt>
                </c:lvl>
                <c:lvl>
                  <c:pt idx="0">
                    <c:v>Party</c:v>
                  </c:pt>
                  <c:pt idx="1">
                    <c:v>XYZ</c:v>
                  </c:pt>
                  <c:pt idx="2">
                    <c:v>XYZ</c:v>
                  </c:pt>
                  <c:pt idx="3">
                    <c:v>ABC</c:v>
                  </c:pt>
                  <c:pt idx="4">
                    <c:v>PQR</c:v>
                  </c:pt>
                  <c:pt idx="5">
                    <c:v>ABC</c:v>
                  </c:pt>
                  <c:pt idx="6">
                    <c:v>ABC</c:v>
                  </c:pt>
                  <c:pt idx="7">
                    <c:v>XYZ</c:v>
                  </c:pt>
                  <c:pt idx="8">
                    <c:v>LMN</c:v>
                  </c:pt>
                  <c:pt idx="9">
                    <c:v>PQR</c:v>
                  </c:pt>
                  <c:pt idx="10">
                    <c:v>ABC</c:v>
                  </c:pt>
                  <c:pt idx="11">
                    <c:v>LMN</c:v>
                  </c:pt>
                  <c:pt idx="12">
                    <c:v>ABC</c:v>
                  </c:pt>
                  <c:pt idx="13">
                    <c:v>LMN</c:v>
                  </c:pt>
                  <c:pt idx="14">
                    <c:v>XYZ</c:v>
                  </c:pt>
                  <c:pt idx="15">
                    <c:v>PQR</c:v>
                  </c:pt>
                  <c:pt idx="16">
                    <c:v>XYZ</c:v>
                  </c:pt>
                  <c:pt idx="17">
                    <c:v>XYZ</c:v>
                  </c:pt>
                  <c:pt idx="18">
                    <c:v>XYZ</c:v>
                  </c:pt>
                  <c:pt idx="19">
                    <c:v>ABC</c:v>
                  </c:pt>
                  <c:pt idx="20">
                    <c:v>ABC</c:v>
                  </c:pt>
                  <c:pt idx="21">
                    <c:v>PQR</c:v>
                  </c:pt>
                  <c:pt idx="22">
                    <c:v>ABC</c:v>
                  </c:pt>
                  <c:pt idx="23">
                    <c:v>ABC</c:v>
                  </c:pt>
                  <c:pt idx="24">
                    <c:v>PQR</c:v>
                  </c:pt>
                  <c:pt idx="25">
                    <c:v>XYZ</c:v>
                  </c:pt>
                  <c:pt idx="26">
                    <c:v>LMN</c:v>
                  </c:pt>
                  <c:pt idx="27">
                    <c:v>PQR</c:v>
                  </c:pt>
                  <c:pt idx="28">
                    <c:v>XYZ</c:v>
                  </c:pt>
                  <c:pt idx="29">
                    <c:v>ABC</c:v>
                  </c:pt>
                  <c:pt idx="30">
                    <c:v>ABC</c:v>
                  </c:pt>
                  <c:pt idx="31">
                    <c:v>ABC</c:v>
                  </c:pt>
                  <c:pt idx="32">
                    <c:v>ABC</c:v>
                  </c:pt>
                  <c:pt idx="33">
                    <c:v>XYZ</c:v>
                  </c:pt>
                  <c:pt idx="34">
                    <c:v>XYZ</c:v>
                  </c:pt>
                  <c:pt idx="35">
                    <c:v>XYZ</c:v>
                  </c:pt>
                  <c:pt idx="36">
                    <c:v>LMN</c:v>
                  </c:pt>
                  <c:pt idx="37">
                    <c:v>ABC</c:v>
                  </c:pt>
                  <c:pt idx="38">
                    <c:v>LMN</c:v>
                  </c:pt>
                  <c:pt idx="39">
                    <c:v>PQR</c:v>
                  </c:pt>
                  <c:pt idx="40">
                    <c:v>ABC</c:v>
                  </c:pt>
                  <c:pt idx="41">
                    <c:v>LMN</c:v>
                  </c:pt>
                  <c:pt idx="42">
                    <c:v>LMN</c:v>
                  </c:pt>
                  <c:pt idx="43">
                    <c:v>XYZ</c:v>
                  </c:pt>
                  <c:pt idx="44">
                    <c:v>LMN</c:v>
                  </c:pt>
                  <c:pt idx="45">
                    <c:v>LMN</c:v>
                  </c:pt>
                  <c:pt idx="46">
                    <c:v>PQR</c:v>
                  </c:pt>
                  <c:pt idx="47">
                    <c:v>LMN</c:v>
                  </c:pt>
                  <c:pt idx="48">
                    <c:v>PQR</c:v>
                  </c:pt>
                  <c:pt idx="49">
                    <c:v>XYZ</c:v>
                  </c:pt>
                  <c:pt idx="50">
                    <c:v>LMN</c:v>
                  </c:pt>
                  <c:pt idx="51">
                    <c:v>PQR</c:v>
                  </c:pt>
                  <c:pt idx="52">
                    <c:v>XYZ</c:v>
                  </c:pt>
                  <c:pt idx="53">
                    <c:v>ABC</c:v>
                  </c:pt>
                  <c:pt idx="54">
                    <c:v>XYZ</c:v>
                  </c:pt>
                  <c:pt idx="55">
                    <c:v>XYZ</c:v>
                  </c:pt>
                  <c:pt idx="56">
                    <c:v>XYZ</c:v>
                  </c:pt>
                  <c:pt idx="57">
                    <c:v>XYZ</c:v>
                  </c:pt>
                  <c:pt idx="58">
                    <c:v>XYZ</c:v>
                  </c:pt>
                  <c:pt idx="59">
                    <c:v>ABC</c:v>
                  </c:pt>
                  <c:pt idx="60">
                    <c:v>XYZ</c:v>
                  </c:pt>
                  <c:pt idx="61">
                    <c:v>XYZ</c:v>
                  </c:pt>
                  <c:pt idx="62">
                    <c:v>XYZ</c:v>
                  </c:pt>
                  <c:pt idx="63">
                    <c:v>XYZ</c:v>
                  </c:pt>
                  <c:pt idx="64">
                    <c:v>ABC</c:v>
                  </c:pt>
                  <c:pt idx="65">
                    <c:v>LMN</c:v>
                  </c:pt>
                  <c:pt idx="66">
                    <c:v>PQR</c:v>
                  </c:pt>
                  <c:pt idx="67">
                    <c:v>LMN</c:v>
                  </c:pt>
                  <c:pt idx="68">
                    <c:v>PQR</c:v>
                  </c:pt>
                  <c:pt idx="69">
                    <c:v>LMN</c:v>
                  </c:pt>
                  <c:pt idx="70">
                    <c:v>XYZ</c:v>
                  </c:pt>
                  <c:pt idx="71">
                    <c:v>XYZ</c:v>
                  </c:pt>
                  <c:pt idx="72">
                    <c:v>PQR</c:v>
                  </c:pt>
                  <c:pt idx="73">
                    <c:v>LMN</c:v>
                  </c:pt>
                  <c:pt idx="74">
                    <c:v>XYZ</c:v>
                  </c:pt>
                  <c:pt idx="75">
                    <c:v>PQR</c:v>
                  </c:pt>
                  <c:pt idx="76">
                    <c:v>ABC</c:v>
                  </c:pt>
                  <c:pt idx="77">
                    <c:v>PQR</c:v>
                  </c:pt>
                  <c:pt idx="78">
                    <c:v>XYZ</c:v>
                  </c:pt>
                  <c:pt idx="79">
                    <c:v>PQR</c:v>
                  </c:pt>
                  <c:pt idx="80">
                    <c:v>XYZ</c:v>
                  </c:pt>
                  <c:pt idx="81">
                    <c:v>ABC</c:v>
                  </c:pt>
                  <c:pt idx="82">
                    <c:v>LMN</c:v>
                  </c:pt>
                  <c:pt idx="83">
                    <c:v>PQR</c:v>
                  </c:pt>
                  <c:pt idx="84">
                    <c:v>LMN</c:v>
                  </c:pt>
                  <c:pt idx="85">
                    <c:v>XYZ</c:v>
                  </c:pt>
                  <c:pt idx="86">
                    <c:v>LMN</c:v>
                  </c:pt>
                  <c:pt idx="87">
                    <c:v>LMN</c:v>
                  </c:pt>
                  <c:pt idx="88">
                    <c:v>PQR</c:v>
                  </c:pt>
                  <c:pt idx="89">
                    <c:v>ABC</c:v>
                  </c:pt>
                  <c:pt idx="90">
                    <c:v>PQR</c:v>
                  </c:pt>
                  <c:pt idx="91">
                    <c:v>LMN</c:v>
                  </c:pt>
                  <c:pt idx="92">
                    <c:v>XYZ</c:v>
                  </c:pt>
                  <c:pt idx="93">
                    <c:v>PQR</c:v>
                  </c:pt>
                  <c:pt idx="94">
                    <c:v>XYZ</c:v>
                  </c:pt>
                  <c:pt idx="95">
                    <c:v>XYZ</c:v>
                  </c:pt>
                  <c:pt idx="96">
                    <c:v>XYZ</c:v>
                  </c:pt>
                  <c:pt idx="97">
                    <c:v>LMN</c:v>
                  </c:pt>
                  <c:pt idx="98">
                    <c:v>PQR</c:v>
                  </c:pt>
                  <c:pt idx="99">
                    <c:v>ABC</c:v>
                  </c:pt>
                  <c:pt idx="100">
                    <c:v>XYZ</c:v>
                  </c:pt>
                </c:lvl>
                <c:lvl>
                  <c:pt idx="0">
                    <c:v>State</c:v>
                  </c:pt>
                  <c:pt idx="1">
                    <c:v>Karnataka</c:v>
                  </c:pt>
                  <c:pt idx="2">
                    <c:v>Karnataka</c:v>
                  </c:pt>
                  <c:pt idx="3">
                    <c:v>Karnataka</c:v>
                  </c:pt>
                  <c:pt idx="4">
                    <c:v>Karnataka</c:v>
                  </c:pt>
                  <c:pt idx="5">
                    <c:v>Karnataka</c:v>
                  </c:pt>
                  <c:pt idx="6">
                    <c:v>Karnataka</c:v>
                  </c:pt>
                  <c:pt idx="7">
                    <c:v>Karnataka</c:v>
                  </c:pt>
                  <c:pt idx="8">
                    <c:v>Karnataka</c:v>
                  </c:pt>
                  <c:pt idx="9">
                    <c:v>Karnataka</c:v>
                  </c:pt>
                  <c:pt idx="10">
                    <c:v>Karnataka</c:v>
                  </c:pt>
                  <c:pt idx="11">
                    <c:v>Karnataka</c:v>
                  </c:pt>
                  <c:pt idx="12">
                    <c:v>Karnataka</c:v>
                  </c:pt>
                  <c:pt idx="13">
                    <c:v>Karnataka</c:v>
                  </c:pt>
                  <c:pt idx="14">
                    <c:v>Karnataka</c:v>
                  </c:pt>
                  <c:pt idx="15">
                    <c:v>Karnataka</c:v>
                  </c:pt>
                  <c:pt idx="16">
                    <c:v>Karnataka</c:v>
                  </c:pt>
                  <c:pt idx="17">
                    <c:v>Karnataka</c:v>
                  </c:pt>
                  <c:pt idx="18">
                    <c:v>Karnataka</c:v>
                  </c:pt>
                  <c:pt idx="19">
                    <c:v>Karnataka</c:v>
                  </c:pt>
                  <c:pt idx="20">
                    <c:v>Karnataka</c:v>
                  </c:pt>
                  <c:pt idx="21">
                    <c:v>Karnataka</c:v>
                  </c:pt>
                  <c:pt idx="22">
                    <c:v>Karnataka</c:v>
                  </c:pt>
                  <c:pt idx="23">
                    <c:v>Karnataka</c:v>
                  </c:pt>
                  <c:pt idx="24">
                    <c:v>Karnataka</c:v>
                  </c:pt>
                  <c:pt idx="25">
                    <c:v>Karnataka</c:v>
                  </c:pt>
                  <c:pt idx="26">
                    <c:v>Karnataka</c:v>
                  </c:pt>
                  <c:pt idx="27">
                    <c:v>Karnataka</c:v>
                  </c:pt>
                  <c:pt idx="28">
                    <c:v>Karnataka</c:v>
                  </c:pt>
                  <c:pt idx="29">
                    <c:v>Karnataka</c:v>
                  </c:pt>
                  <c:pt idx="30">
                    <c:v>Karnataka</c:v>
                  </c:pt>
                  <c:pt idx="31">
                    <c:v>Karnataka</c:v>
                  </c:pt>
                  <c:pt idx="32">
                    <c:v>Karnataka</c:v>
                  </c:pt>
                  <c:pt idx="33">
                    <c:v>Karnataka</c:v>
                  </c:pt>
                  <c:pt idx="34">
                    <c:v>Karnataka</c:v>
                  </c:pt>
                  <c:pt idx="35">
                    <c:v>Karnataka</c:v>
                  </c:pt>
                  <c:pt idx="36">
                    <c:v>Karnataka</c:v>
                  </c:pt>
                  <c:pt idx="37">
                    <c:v>Karnataka</c:v>
                  </c:pt>
                  <c:pt idx="38">
                    <c:v>Karnataka</c:v>
                  </c:pt>
                  <c:pt idx="39">
                    <c:v>Karnataka</c:v>
                  </c:pt>
                  <c:pt idx="40">
                    <c:v>Karnataka</c:v>
                  </c:pt>
                  <c:pt idx="41">
                    <c:v>Karnataka</c:v>
                  </c:pt>
                  <c:pt idx="42">
                    <c:v>Karnataka</c:v>
                  </c:pt>
                  <c:pt idx="43">
                    <c:v>Karnataka</c:v>
                  </c:pt>
                  <c:pt idx="44">
                    <c:v>Karnataka</c:v>
                  </c:pt>
                  <c:pt idx="45">
                    <c:v>Karnataka</c:v>
                  </c:pt>
                  <c:pt idx="46">
                    <c:v>Karnataka</c:v>
                  </c:pt>
                  <c:pt idx="47">
                    <c:v>Karnataka</c:v>
                  </c:pt>
                  <c:pt idx="48">
                    <c:v>Karnataka</c:v>
                  </c:pt>
                  <c:pt idx="49">
                    <c:v>Karnataka</c:v>
                  </c:pt>
                  <c:pt idx="50">
                    <c:v>Karnataka</c:v>
                  </c:pt>
                  <c:pt idx="51">
                    <c:v>Karnataka</c:v>
                  </c:pt>
                  <c:pt idx="52">
                    <c:v>Karnataka</c:v>
                  </c:pt>
                  <c:pt idx="53">
                    <c:v>Karnataka</c:v>
                  </c:pt>
                  <c:pt idx="54">
                    <c:v>Karnataka</c:v>
                  </c:pt>
                  <c:pt idx="55">
                    <c:v>Karnataka</c:v>
                  </c:pt>
                  <c:pt idx="56">
                    <c:v>Karnataka</c:v>
                  </c:pt>
                  <c:pt idx="57">
                    <c:v>Karnataka</c:v>
                  </c:pt>
                  <c:pt idx="58">
                    <c:v>Karnataka</c:v>
                  </c:pt>
                  <c:pt idx="59">
                    <c:v>Karnataka</c:v>
                  </c:pt>
                  <c:pt idx="60">
                    <c:v>Karnataka</c:v>
                  </c:pt>
                  <c:pt idx="61">
                    <c:v>Karnataka</c:v>
                  </c:pt>
                  <c:pt idx="62">
                    <c:v>Karnataka</c:v>
                  </c:pt>
                  <c:pt idx="63">
                    <c:v>Karnataka</c:v>
                  </c:pt>
                  <c:pt idx="64">
                    <c:v>Karnataka</c:v>
                  </c:pt>
                  <c:pt idx="65">
                    <c:v>Karnataka</c:v>
                  </c:pt>
                  <c:pt idx="66">
                    <c:v>Karnataka</c:v>
                  </c:pt>
                  <c:pt idx="67">
                    <c:v>Karnataka</c:v>
                  </c:pt>
                  <c:pt idx="68">
                    <c:v>Karnataka</c:v>
                  </c:pt>
                  <c:pt idx="69">
                    <c:v>Karnataka</c:v>
                  </c:pt>
                  <c:pt idx="70">
                    <c:v>Karnataka</c:v>
                  </c:pt>
                  <c:pt idx="71">
                    <c:v>Karnataka</c:v>
                  </c:pt>
                  <c:pt idx="72">
                    <c:v>Karnataka</c:v>
                  </c:pt>
                  <c:pt idx="73">
                    <c:v>Karnataka</c:v>
                  </c:pt>
                  <c:pt idx="74">
                    <c:v>Karnataka</c:v>
                  </c:pt>
                  <c:pt idx="75">
                    <c:v>Karnataka</c:v>
                  </c:pt>
                  <c:pt idx="76">
                    <c:v>Karnataka</c:v>
                  </c:pt>
                  <c:pt idx="77">
                    <c:v>Karnataka</c:v>
                  </c:pt>
                  <c:pt idx="78">
                    <c:v>Karnataka</c:v>
                  </c:pt>
                  <c:pt idx="79">
                    <c:v>Karnataka</c:v>
                  </c:pt>
                  <c:pt idx="80">
                    <c:v>Karnataka</c:v>
                  </c:pt>
                  <c:pt idx="81">
                    <c:v>Karnataka</c:v>
                  </c:pt>
                  <c:pt idx="82">
                    <c:v>Karnataka</c:v>
                  </c:pt>
                  <c:pt idx="83">
                    <c:v>Karnataka</c:v>
                  </c:pt>
                  <c:pt idx="84">
                    <c:v>Karnataka</c:v>
                  </c:pt>
                  <c:pt idx="85">
                    <c:v>Karnataka</c:v>
                  </c:pt>
                  <c:pt idx="86">
                    <c:v>Karnataka</c:v>
                  </c:pt>
                  <c:pt idx="87">
                    <c:v>Karnataka</c:v>
                  </c:pt>
                  <c:pt idx="88">
                    <c:v>Karnataka</c:v>
                  </c:pt>
                  <c:pt idx="89">
                    <c:v>Karnataka</c:v>
                  </c:pt>
                  <c:pt idx="90">
                    <c:v>Karnataka</c:v>
                  </c:pt>
                  <c:pt idx="91">
                    <c:v>Karnataka</c:v>
                  </c:pt>
                  <c:pt idx="92">
                    <c:v>Karnataka</c:v>
                  </c:pt>
                  <c:pt idx="93">
                    <c:v>Karnataka</c:v>
                  </c:pt>
                  <c:pt idx="94">
                    <c:v>Karnataka</c:v>
                  </c:pt>
                  <c:pt idx="95">
                    <c:v>Karnataka</c:v>
                  </c:pt>
                  <c:pt idx="96">
                    <c:v>Karnataka</c:v>
                  </c:pt>
                  <c:pt idx="97">
                    <c:v>Karnataka</c:v>
                  </c:pt>
                  <c:pt idx="98">
                    <c:v>Karnataka</c:v>
                  </c:pt>
                  <c:pt idx="99">
                    <c:v>Karnataka</c:v>
                  </c:pt>
                  <c:pt idx="100">
                    <c:v>Karnataka</c:v>
                  </c:pt>
                </c:lvl>
                <c:lvl>
                  <c:pt idx="0">
                    <c:v>Constituency</c:v>
                  </c:pt>
                  <c:pt idx="1">
                    <c:v>Bangalore South</c:v>
                  </c:pt>
                  <c:pt idx="2">
                    <c:v>Belgaum</c:v>
                  </c:pt>
                  <c:pt idx="3">
                    <c:v>Mangalore</c:v>
                  </c:pt>
                  <c:pt idx="4">
                    <c:v>Belgaum</c:v>
                  </c:pt>
                  <c:pt idx="5">
                    <c:v>Shimoga</c:v>
                  </c:pt>
                  <c:pt idx="6">
                    <c:v>Bellary</c:v>
                  </c:pt>
                  <c:pt idx="7">
                    <c:v>Belgaum</c:v>
                  </c:pt>
                  <c:pt idx="8">
                    <c:v>Mangalore</c:v>
                  </c:pt>
                  <c:pt idx="9">
                    <c:v>Tumkur</c:v>
                  </c:pt>
                  <c:pt idx="10">
                    <c:v>Shimoga</c:v>
                  </c:pt>
                  <c:pt idx="11">
                    <c:v>Bangalore South</c:v>
                  </c:pt>
                  <c:pt idx="12">
                    <c:v>Mangalore</c:v>
                  </c:pt>
                  <c:pt idx="13">
                    <c:v>Bijapur</c:v>
                  </c:pt>
                  <c:pt idx="14">
                    <c:v>Belgaum</c:v>
                  </c:pt>
                  <c:pt idx="15">
                    <c:v>Hubli</c:v>
                  </c:pt>
                  <c:pt idx="16">
                    <c:v>Bellary</c:v>
                  </c:pt>
                  <c:pt idx="17">
                    <c:v>Bangalore South</c:v>
                  </c:pt>
                  <c:pt idx="18">
                    <c:v>Mangalore</c:v>
                  </c:pt>
                  <c:pt idx="19">
                    <c:v>Shimoga</c:v>
                  </c:pt>
                  <c:pt idx="20">
                    <c:v>Shimoga</c:v>
                  </c:pt>
                  <c:pt idx="21">
                    <c:v>Bangalore South</c:v>
                  </c:pt>
                  <c:pt idx="22">
                    <c:v>Davanagere</c:v>
                  </c:pt>
                  <c:pt idx="23">
                    <c:v>Belgaum</c:v>
                  </c:pt>
                  <c:pt idx="24">
                    <c:v>Bellary</c:v>
                  </c:pt>
                  <c:pt idx="25">
                    <c:v>Davanagere</c:v>
                  </c:pt>
                  <c:pt idx="26">
                    <c:v>Bellary</c:v>
                  </c:pt>
                  <c:pt idx="27">
                    <c:v>Mysore</c:v>
                  </c:pt>
                  <c:pt idx="28">
                    <c:v>Hubli</c:v>
                  </c:pt>
                  <c:pt idx="29">
                    <c:v>Bangalore South</c:v>
                  </c:pt>
                  <c:pt idx="30">
                    <c:v>Hubli</c:v>
                  </c:pt>
                  <c:pt idx="31">
                    <c:v>Tumkur</c:v>
                  </c:pt>
                  <c:pt idx="32">
                    <c:v>Belgaum</c:v>
                  </c:pt>
                  <c:pt idx="33">
                    <c:v>Bijapur</c:v>
                  </c:pt>
                  <c:pt idx="34">
                    <c:v>Bijapur</c:v>
                  </c:pt>
                  <c:pt idx="35">
                    <c:v>Belgaum</c:v>
                  </c:pt>
                  <c:pt idx="36">
                    <c:v>Belgaum</c:v>
                  </c:pt>
                  <c:pt idx="37">
                    <c:v>Bangalore South</c:v>
                  </c:pt>
                  <c:pt idx="38">
                    <c:v>Bellary</c:v>
                  </c:pt>
                  <c:pt idx="39">
                    <c:v>Mangalore</c:v>
                  </c:pt>
                  <c:pt idx="40">
                    <c:v>Belgaum</c:v>
                  </c:pt>
                  <c:pt idx="41">
                    <c:v>Davanagere</c:v>
                  </c:pt>
                  <c:pt idx="42">
                    <c:v>Mysore</c:v>
                  </c:pt>
                  <c:pt idx="43">
                    <c:v>Tumkur</c:v>
                  </c:pt>
                  <c:pt idx="44">
                    <c:v>Mysore</c:v>
                  </c:pt>
                  <c:pt idx="45">
                    <c:v>Tumkur</c:v>
                  </c:pt>
                  <c:pt idx="46">
                    <c:v>Tumkur</c:v>
                  </c:pt>
                  <c:pt idx="47">
                    <c:v>Hubli</c:v>
                  </c:pt>
                  <c:pt idx="48">
                    <c:v>Bijapur</c:v>
                  </c:pt>
                  <c:pt idx="49">
                    <c:v>Davanagere</c:v>
                  </c:pt>
                  <c:pt idx="50">
                    <c:v>Davanagere</c:v>
                  </c:pt>
                  <c:pt idx="51">
                    <c:v>Davanagere</c:v>
                  </c:pt>
                  <c:pt idx="52">
                    <c:v>Bangalore South</c:v>
                  </c:pt>
                  <c:pt idx="53">
                    <c:v>Bangalore South</c:v>
                  </c:pt>
                  <c:pt idx="54">
                    <c:v>Davanagere</c:v>
                  </c:pt>
                  <c:pt idx="55">
                    <c:v>Mysore</c:v>
                  </c:pt>
                  <c:pt idx="56">
                    <c:v>Mysore</c:v>
                  </c:pt>
                  <c:pt idx="57">
                    <c:v>Hubli</c:v>
                  </c:pt>
                  <c:pt idx="58">
                    <c:v>Bangalore South</c:v>
                  </c:pt>
                  <c:pt idx="59">
                    <c:v>Shimoga</c:v>
                  </c:pt>
                  <c:pt idx="60">
                    <c:v>Davanagere</c:v>
                  </c:pt>
                  <c:pt idx="61">
                    <c:v>Bijapur</c:v>
                  </c:pt>
                  <c:pt idx="62">
                    <c:v>Bangalore South</c:v>
                  </c:pt>
                  <c:pt idx="63">
                    <c:v>Bangalore South</c:v>
                  </c:pt>
                  <c:pt idx="64">
                    <c:v>Tumkur</c:v>
                  </c:pt>
                  <c:pt idx="65">
                    <c:v>Shimoga</c:v>
                  </c:pt>
                  <c:pt idx="66">
                    <c:v>Mysore</c:v>
                  </c:pt>
                  <c:pt idx="67">
                    <c:v>Mangalore</c:v>
                  </c:pt>
                  <c:pt idx="68">
                    <c:v>Tumkur</c:v>
                  </c:pt>
                  <c:pt idx="69">
                    <c:v>Hubli</c:v>
                  </c:pt>
                  <c:pt idx="70">
                    <c:v>Hubli</c:v>
                  </c:pt>
                  <c:pt idx="71">
                    <c:v>Mangalore</c:v>
                  </c:pt>
                  <c:pt idx="72">
                    <c:v>Mysore</c:v>
                  </c:pt>
                  <c:pt idx="73">
                    <c:v>Bijapur</c:v>
                  </c:pt>
                  <c:pt idx="74">
                    <c:v>Belgaum</c:v>
                  </c:pt>
                  <c:pt idx="75">
                    <c:v>Shimoga</c:v>
                  </c:pt>
                  <c:pt idx="76">
                    <c:v>Davanagere</c:v>
                  </c:pt>
                  <c:pt idx="77">
                    <c:v>Bangalore South</c:v>
                  </c:pt>
                  <c:pt idx="78">
                    <c:v>Hubli</c:v>
                  </c:pt>
                  <c:pt idx="79">
                    <c:v>Tumkur</c:v>
                  </c:pt>
                  <c:pt idx="80">
                    <c:v>Mysore</c:v>
                  </c:pt>
                  <c:pt idx="81">
                    <c:v>Bangalore South</c:v>
                  </c:pt>
                  <c:pt idx="82">
                    <c:v>Shimoga</c:v>
                  </c:pt>
                  <c:pt idx="83">
                    <c:v>Davanagere</c:v>
                  </c:pt>
                  <c:pt idx="84">
                    <c:v>Mysore</c:v>
                  </c:pt>
                  <c:pt idx="85">
                    <c:v>Shimoga</c:v>
                  </c:pt>
                  <c:pt idx="86">
                    <c:v>Mangalore</c:v>
                  </c:pt>
                  <c:pt idx="87">
                    <c:v>Belgaum</c:v>
                  </c:pt>
                  <c:pt idx="88">
                    <c:v>Bijapur</c:v>
                  </c:pt>
                  <c:pt idx="89">
                    <c:v>Mysore</c:v>
                  </c:pt>
                  <c:pt idx="90">
                    <c:v>Bangalore South</c:v>
                  </c:pt>
                  <c:pt idx="91">
                    <c:v>Davanagere</c:v>
                  </c:pt>
                  <c:pt idx="92">
                    <c:v>Bellary</c:v>
                  </c:pt>
                  <c:pt idx="93">
                    <c:v>Hubli</c:v>
                  </c:pt>
                  <c:pt idx="94">
                    <c:v>Mysore</c:v>
                  </c:pt>
                  <c:pt idx="95">
                    <c:v>Bangalore South</c:v>
                  </c:pt>
                  <c:pt idx="96">
                    <c:v>Bangalore South</c:v>
                  </c:pt>
                  <c:pt idx="97">
                    <c:v>Shimoga</c:v>
                  </c:pt>
                  <c:pt idx="98">
                    <c:v>Mangalore</c:v>
                  </c:pt>
                  <c:pt idx="99">
                    <c:v>Bijapur</c:v>
                  </c:pt>
                  <c:pt idx="100">
                    <c:v>Davanagere</c:v>
                  </c:pt>
                </c:lvl>
              </c:multiLvlStrCache>
            </c:multiLvlStrRef>
          </c:cat>
          <c:val>
            <c:numRef>
              <c:f>Cleaned_Data!$K$1:$K$101</c:f>
              <c:numCache>
                <c:formatCode>General</c:formatCode>
                <c:ptCount val="101"/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32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32</c:v>
                </c:pt>
                <c:pt idx="82">
                  <c:v>32</c:v>
                </c:pt>
                <c:pt idx="83">
                  <c:v>32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32</c:v>
                </c:pt>
                <c:pt idx="89">
                  <c:v>32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32</c:v>
                </c:pt>
                <c:pt idx="95">
                  <c:v>32</c:v>
                </c:pt>
                <c:pt idx="96">
                  <c:v>32</c:v>
                </c:pt>
                <c:pt idx="97">
                  <c:v>32</c:v>
                </c:pt>
                <c:pt idx="98">
                  <c:v>32</c:v>
                </c:pt>
                <c:pt idx="99">
                  <c:v>32</c:v>
                </c:pt>
                <c:pt idx="100">
                  <c:v>32</c:v>
                </c:pt>
              </c:numCache>
            </c:numRef>
          </c:val>
        </c:ser>
        <c:ser>
          <c:idx val="6"/>
          <c:order val="6"/>
          <c:spPr>
            <a:solidFill>
              <a:srgbClr val="AEC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Cleaned_Data!$A$1:$D$101</c:f>
              <c:multiLvlStrCache>
                <c:ptCount val="101"/>
                <c:lvl>
                  <c:pt idx="0">
                    <c:v>Candidate</c:v>
                  </c:pt>
                  <c:pt idx="1">
                    <c:v>Amit Shah</c:v>
                  </c:pt>
                  <c:pt idx="2">
                    <c:v>Nisha Kulkarni</c:v>
                  </c:pt>
                  <c:pt idx="3">
                    <c:v>Amit Shah</c:v>
                  </c:pt>
                  <c:pt idx="4">
                    <c:v>Asha Patil</c:v>
                  </c:pt>
                  <c:pt idx="5">
                    <c:v>Nisha Kulkarni</c:v>
                  </c:pt>
                  <c:pt idx="6">
                    <c:v>Rahul Verma</c:v>
                  </c:pt>
                  <c:pt idx="7">
                    <c:v>Anita Desai</c:v>
                  </c:pt>
                  <c:pt idx="8">
                    <c:v>Rajeev Nair</c:v>
                  </c:pt>
                  <c:pt idx="9">
                    <c:v>Manoj Singh</c:v>
                  </c:pt>
                  <c:pt idx="10">
                    <c:v>Sneha Reddy</c:v>
                  </c:pt>
                  <c:pt idx="11">
                    <c:v>Priya Menon</c:v>
                  </c:pt>
                  <c:pt idx="12">
                    <c:v>Prakash Patil</c:v>
                  </c:pt>
                  <c:pt idx="13">
                    <c:v>Neha Joshi</c:v>
                  </c:pt>
                  <c:pt idx="14">
                    <c:v>Ravi Kumar</c:v>
                  </c:pt>
                  <c:pt idx="15">
                    <c:v>Rahul Verma</c:v>
                  </c:pt>
                  <c:pt idx="16">
                    <c:v>Neha Joshi</c:v>
                  </c:pt>
                  <c:pt idx="17">
                    <c:v>Suresh Naik</c:v>
                  </c:pt>
                  <c:pt idx="18">
                    <c:v>Nisha Kulkarni</c:v>
                  </c:pt>
                  <c:pt idx="19">
                    <c:v>Nisha Kulkarni</c:v>
                  </c:pt>
                  <c:pt idx="20">
                    <c:v>Neha Joshi</c:v>
                  </c:pt>
                  <c:pt idx="21">
                    <c:v>Manoj Singh</c:v>
                  </c:pt>
                  <c:pt idx="22">
                    <c:v>Manoj Singh</c:v>
                  </c:pt>
                  <c:pt idx="23">
                    <c:v>Kavya Rao</c:v>
                  </c:pt>
                  <c:pt idx="24">
                    <c:v>Pooja Verma</c:v>
                  </c:pt>
                  <c:pt idx="25">
                    <c:v>Manoj Singh</c:v>
                  </c:pt>
                  <c:pt idx="26">
                    <c:v>Priya Menon</c:v>
                  </c:pt>
                  <c:pt idx="27">
                    <c:v>Priya Menon</c:v>
                  </c:pt>
                  <c:pt idx="28">
                    <c:v>Ravi Kumar</c:v>
                  </c:pt>
                  <c:pt idx="29">
                    <c:v>Rahul Verma</c:v>
                  </c:pt>
                  <c:pt idx="30">
                    <c:v>Asha Patil</c:v>
                  </c:pt>
                  <c:pt idx="31">
                    <c:v>Amit Shah</c:v>
                  </c:pt>
                  <c:pt idx="32">
                    <c:v>Rahul Verma</c:v>
                  </c:pt>
                  <c:pt idx="33">
                    <c:v>Anita Desai</c:v>
                  </c:pt>
                  <c:pt idx="34">
                    <c:v>Asha Patil</c:v>
                  </c:pt>
                  <c:pt idx="35">
                    <c:v>Amit Shah</c:v>
                  </c:pt>
                  <c:pt idx="36">
                    <c:v>Rajeev Nair</c:v>
                  </c:pt>
                  <c:pt idx="37">
                    <c:v>Vikram Joshi</c:v>
                  </c:pt>
                  <c:pt idx="38">
                    <c:v>Manoj Singh</c:v>
                  </c:pt>
                  <c:pt idx="39">
                    <c:v>Arjun Rao</c:v>
                  </c:pt>
                  <c:pt idx="40">
                    <c:v>Arjun Rao</c:v>
                  </c:pt>
                  <c:pt idx="41">
                    <c:v>Rahul Verma</c:v>
                  </c:pt>
                  <c:pt idx="42">
                    <c:v>Kiran Gowda</c:v>
                  </c:pt>
                  <c:pt idx="43">
                    <c:v>Neha Joshi</c:v>
                  </c:pt>
                  <c:pt idx="44">
                    <c:v>Asha Patil</c:v>
                  </c:pt>
                  <c:pt idx="45">
                    <c:v>Sneha Reddy</c:v>
                  </c:pt>
                  <c:pt idx="46">
                    <c:v>Meera Iyer</c:v>
                  </c:pt>
                  <c:pt idx="47">
                    <c:v>Kiran Gowda</c:v>
                  </c:pt>
                  <c:pt idx="48">
                    <c:v>Amit Shah</c:v>
                  </c:pt>
                  <c:pt idx="49">
                    <c:v>Suresh Naik</c:v>
                  </c:pt>
                  <c:pt idx="50">
                    <c:v>Manoj Singh</c:v>
                  </c:pt>
                  <c:pt idx="51">
                    <c:v>Priya Menon</c:v>
                  </c:pt>
                  <c:pt idx="52">
                    <c:v>Sneha Reddy</c:v>
                  </c:pt>
                  <c:pt idx="53">
                    <c:v>Pooja Verma</c:v>
                  </c:pt>
                  <c:pt idx="54">
                    <c:v>Suresh Naik</c:v>
                  </c:pt>
                  <c:pt idx="55">
                    <c:v>Neha Joshi</c:v>
                  </c:pt>
                  <c:pt idx="56">
                    <c:v>Anita Desai</c:v>
                  </c:pt>
                  <c:pt idx="57">
                    <c:v>Prakash Patil</c:v>
                  </c:pt>
                  <c:pt idx="58">
                    <c:v>Ravi Kumar</c:v>
                  </c:pt>
                  <c:pt idx="59">
                    <c:v>Amit Shah</c:v>
                  </c:pt>
                  <c:pt idx="60">
                    <c:v>Rahul Verma</c:v>
                  </c:pt>
                  <c:pt idx="61">
                    <c:v>Vikram Joshi</c:v>
                  </c:pt>
                  <c:pt idx="62">
                    <c:v>Pooja Verma</c:v>
                  </c:pt>
                  <c:pt idx="63">
                    <c:v>Anita Desai</c:v>
                  </c:pt>
                  <c:pt idx="64">
                    <c:v>Rajeev Nair</c:v>
                  </c:pt>
                  <c:pt idx="65">
                    <c:v>Nisha Kulkarni</c:v>
                  </c:pt>
                  <c:pt idx="66">
                    <c:v>Nisha Kulkarni</c:v>
                  </c:pt>
                  <c:pt idx="67">
                    <c:v>Priya Menon</c:v>
                  </c:pt>
                  <c:pt idx="68">
                    <c:v>Vikram Joshi</c:v>
                  </c:pt>
                  <c:pt idx="69">
                    <c:v>Rajeev Nair</c:v>
                  </c:pt>
                  <c:pt idx="70">
                    <c:v>Manoj Singh</c:v>
                  </c:pt>
                  <c:pt idx="71">
                    <c:v>Kavya Rao</c:v>
                  </c:pt>
                  <c:pt idx="72">
                    <c:v>Manoj Singh</c:v>
                  </c:pt>
                  <c:pt idx="73">
                    <c:v>Pooja Verma</c:v>
                  </c:pt>
                  <c:pt idx="74">
                    <c:v>Amit Shah</c:v>
                  </c:pt>
                  <c:pt idx="75">
                    <c:v>Kiran Gowda</c:v>
                  </c:pt>
                  <c:pt idx="76">
                    <c:v>Nisha Kulkarni</c:v>
                  </c:pt>
                  <c:pt idx="77">
                    <c:v>Rahul Verma</c:v>
                  </c:pt>
                  <c:pt idx="78">
                    <c:v>Arjun Rao</c:v>
                  </c:pt>
                  <c:pt idx="79">
                    <c:v>Prakash Patil</c:v>
                  </c:pt>
                  <c:pt idx="80">
                    <c:v>Sneha Reddy</c:v>
                  </c:pt>
                  <c:pt idx="81">
                    <c:v>Kiran Gowda</c:v>
                  </c:pt>
                  <c:pt idx="82">
                    <c:v>Manoj Singh</c:v>
                  </c:pt>
                  <c:pt idx="83">
                    <c:v>Manoj Singh</c:v>
                  </c:pt>
                  <c:pt idx="84">
                    <c:v>Sneha Reddy</c:v>
                  </c:pt>
                  <c:pt idx="85">
                    <c:v>Ravi Kumar</c:v>
                  </c:pt>
                  <c:pt idx="86">
                    <c:v>Kavya Rao</c:v>
                  </c:pt>
                  <c:pt idx="87">
                    <c:v>Rajeev Nair</c:v>
                  </c:pt>
                  <c:pt idx="88">
                    <c:v>Ravi Kumar</c:v>
                  </c:pt>
                  <c:pt idx="89">
                    <c:v>Suresh Naik</c:v>
                  </c:pt>
                  <c:pt idx="90">
                    <c:v>Asha Patil</c:v>
                  </c:pt>
                  <c:pt idx="91">
                    <c:v>Sneha Reddy</c:v>
                  </c:pt>
                  <c:pt idx="92">
                    <c:v>Kavya Rao</c:v>
                  </c:pt>
                  <c:pt idx="93">
                    <c:v>Anita Desai</c:v>
                  </c:pt>
                  <c:pt idx="94">
                    <c:v>Neha Joshi</c:v>
                  </c:pt>
                  <c:pt idx="95">
                    <c:v>Nisha Kulkarni</c:v>
                  </c:pt>
                  <c:pt idx="96">
                    <c:v>Divya Sharma</c:v>
                  </c:pt>
                  <c:pt idx="97">
                    <c:v>Rajeev Nair</c:v>
                  </c:pt>
                  <c:pt idx="98">
                    <c:v>Rajeev Nair</c:v>
                  </c:pt>
                  <c:pt idx="99">
                    <c:v>Divya Sharma</c:v>
                  </c:pt>
                  <c:pt idx="100">
                    <c:v>Kiran Gowda</c:v>
                  </c:pt>
                </c:lvl>
                <c:lvl>
                  <c:pt idx="0">
                    <c:v>Party</c:v>
                  </c:pt>
                  <c:pt idx="1">
                    <c:v>XYZ</c:v>
                  </c:pt>
                  <c:pt idx="2">
                    <c:v>XYZ</c:v>
                  </c:pt>
                  <c:pt idx="3">
                    <c:v>ABC</c:v>
                  </c:pt>
                  <c:pt idx="4">
                    <c:v>PQR</c:v>
                  </c:pt>
                  <c:pt idx="5">
                    <c:v>ABC</c:v>
                  </c:pt>
                  <c:pt idx="6">
                    <c:v>ABC</c:v>
                  </c:pt>
                  <c:pt idx="7">
                    <c:v>XYZ</c:v>
                  </c:pt>
                  <c:pt idx="8">
                    <c:v>LMN</c:v>
                  </c:pt>
                  <c:pt idx="9">
                    <c:v>PQR</c:v>
                  </c:pt>
                  <c:pt idx="10">
                    <c:v>ABC</c:v>
                  </c:pt>
                  <c:pt idx="11">
                    <c:v>LMN</c:v>
                  </c:pt>
                  <c:pt idx="12">
                    <c:v>ABC</c:v>
                  </c:pt>
                  <c:pt idx="13">
                    <c:v>LMN</c:v>
                  </c:pt>
                  <c:pt idx="14">
                    <c:v>XYZ</c:v>
                  </c:pt>
                  <c:pt idx="15">
                    <c:v>PQR</c:v>
                  </c:pt>
                  <c:pt idx="16">
                    <c:v>XYZ</c:v>
                  </c:pt>
                  <c:pt idx="17">
                    <c:v>XYZ</c:v>
                  </c:pt>
                  <c:pt idx="18">
                    <c:v>XYZ</c:v>
                  </c:pt>
                  <c:pt idx="19">
                    <c:v>ABC</c:v>
                  </c:pt>
                  <c:pt idx="20">
                    <c:v>ABC</c:v>
                  </c:pt>
                  <c:pt idx="21">
                    <c:v>PQR</c:v>
                  </c:pt>
                  <c:pt idx="22">
                    <c:v>ABC</c:v>
                  </c:pt>
                  <c:pt idx="23">
                    <c:v>ABC</c:v>
                  </c:pt>
                  <c:pt idx="24">
                    <c:v>PQR</c:v>
                  </c:pt>
                  <c:pt idx="25">
                    <c:v>XYZ</c:v>
                  </c:pt>
                  <c:pt idx="26">
                    <c:v>LMN</c:v>
                  </c:pt>
                  <c:pt idx="27">
                    <c:v>PQR</c:v>
                  </c:pt>
                  <c:pt idx="28">
                    <c:v>XYZ</c:v>
                  </c:pt>
                  <c:pt idx="29">
                    <c:v>ABC</c:v>
                  </c:pt>
                  <c:pt idx="30">
                    <c:v>ABC</c:v>
                  </c:pt>
                  <c:pt idx="31">
                    <c:v>ABC</c:v>
                  </c:pt>
                  <c:pt idx="32">
                    <c:v>ABC</c:v>
                  </c:pt>
                  <c:pt idx="33">
                    <c:v>XYZ</c:v>
                  </c:pt>
                  <c:pt idx="34">
                    <c:v>XYZ</c:v>
                  </c:pt>
                  <c:pt idx="35">
                    <c:v>XYZ</c:v>
                  </c:pt>
                  <c:pt idx="36">
                    <c:v>LMN</c:v>
                  </c:pt>
                  <c:pt idx="37">
                    <c:v>ABC</c:v>
                  </c:pt>
                  <c:pt idx="38">
                    <c:v>LMN</c:v>
                  </c:pt>
                  <c:pt idx="39">
                    <c:v>PQR</c:v>
                  </c:pt>
                  <c:pt idx="40">
                    <c:v>ABC</c:v>
                  </c:pt>
                  <c:pt idx="41">
                    <c:v>LMN</c:v>
                  </c:pt>
                  <c:pt idx="42">
                    <c:v>LMN</c:v>
                  </c:pt>
                  <c:pt idx="43">
                    <c:v>XYZ</c:v>
                  </c:pt>
                  <c:pt idx="44">
                    <c:v>LMN</c:v>
                  </c:pt>
                  <c:pt idx="45">
                    <c:v>LMN</c:v>
                  </c:pt>
                  <c:pt idx="46">
                    <c:v>PQR</c:v>
                  </c:pt>
                  <c:pt idx="47">
                    <c:v>LMN</c:v>
                  </c:pt>
                  <c:pt idx="48">
                    <c:v>PQR</c:v>
                  </c:pt>
                  <c:pt idx="49">
                    <c:v>XYZ</c:v>
                  </c:pt>
                  <c:pt idx="50">
                    <c:v>LMN</c:v>
                  </c:pt>
                  <c:pt idx="51">
                    <c:v>PQR</c:v>
                  </c:pt>
                  <c:pt idx="52">
                    <c:v>XYZ</c:v>
                  </c:pt>
                  <c:pt idx="53">
                    <c:v>ABC</c:v>
                  </c:pt>
                  <c:pt idx="54">
                    <c:v>XYZ</c:v>
                  </c:pt>
                  <c:pt idx="55">
                    <c:v>XYZ</c:v>
                  </c:pt>
                  <c:pt idx="56">
                    <c:v>XYZ</c:v>
                  </c:pt>
                  <c:pt idx="57">
                    <c:v>XYZ</c:v>
                  </c:pt>
                  <c:pt idx="58">
                    <c:v>XYZ</c:v>
                  </c:pt>
                  <c:pt idx="59">
                    <c:v>ABC</c:v>
                  </c:pt>
                  <c:pt idx="60">
                    <c:v>XYZ</c:v>
                  </c:pt>
                  <c:pt idx="61">
                    <c:v>XYZ</c:v>
                  </c:pt>
                  <c:pt idx="62">
                    <c:v>XYZ</c:v>
                  </c:pt>
                  <c:pt idx="63">
                    <c:v>XYZ</c:v>
                  </c:pt>
                  <c:pt idx="64">
                    <c:v>ABC</c:v>
                  </c:pt>
                  <c:pt idx="65">
                    <c:v>LMN</c:v>
                  </c:pt>
                  <c:pt idx="66">
                    <c:v>PQR</c:v>
                  </c:pt>
                  <c:pt idx="67">
                    <c:v>LMN</c:v>
                  </c:pt>
                  <c:pt idx="68">
                    <c:v>PQR</c:v>
                  </c:pt>
                  <c:pt idx="69">
                    <c:v>LMN</c:v>
                  </c:pt>
                  <c:pt idx="70">
                    <c:v>XYZ</c:v>
                  </c:pt>
                  <c:pt idx="71">
                    <c:v>XYZ</c:v>
                  </c:pt>
                  <c:pt idx="72">
                    <c:v>PQR</c:v>
                  </c:pt>
                  <c:pt idx="73">
                    <c:v>LMN</c:v>
                  </c:pt>
                  <c:pt idx="74">
                    <c:v>XYZ</c:v>
                  </c:pt>
                  <c:pt idx="75">
                    <c:v>PQR</c:v>
                  </c:pt>
                  <c:pt idx="76">
                    <c:v>ABC</c:v>
                  </c:pt>
                  <c:pt idx="77">
                    <c:v>PQR</c:v>
                  </c:pt>
                  <c:pt idx="78">
                    <c:v>XYZ</c:v>
                  </c:pt>
                  <c:pt idx="79">
                    <c:v>PQR</c:v>
                  </c:pt>
                  <c:pt idx="80">
                    <c:v>XYZ</c:v>
                  </c:pt>
                  <c:pt idx="81">
                    <c:v>ABC</c:v>
                  </c:pt>
                  <c:pt idx="82">
                    <c:v>LMN</c:v>
                  </c:pt>
                  <c:pt idx="83">
                    <c:v>PQR</c:v>
                  </c:pt>
                  <c:pt idx="84">
                    <c:v>LMN</c:v>
                  </c:pt>
                  <c:pt idx="85">
                    <c:v>XYZ</c:v>
                  </c:pt>
                  <c:pt idx="86">
                    <c:v>LMN</c:v>
                  </c:pt>
                  <c:pt idx="87">
                    <c:v>LMN</c:v>
                  </c:pt>
                  <c:pt idx="88">
                    <c:v>PQR</c:v>
                  </c:pt>
                  <c:pt idx="89">
                    <c:v>ABC</c:v>
                  </c:pt>
                  <c:pt idx="90">
                    <c:v>PQR</c:v>
                  </c:pt>
                  <c:pt idx="91">
                    <c:v>LMN</c:v>
                  </c:pt>
                  <c:pt idx="92">
                    <c:v>XYZ</c:v>
                  </c:pt>
                  <c:pt idx="93">
                    <c:v>PQR</c:v>
                  </c:pt>
                  <c:pt idx="94">
                    <c:v>XYZ</c:v>
                  </c:pt>
                  <c:pt idx="95">
                    <c:v>XYZ</c:v>
                  </c:pt>
                  <c:pt idx="96">
                    <c:v>XYZ</c:v>
                  </c:pt>
                  <c:pt idx="97">
                    <c:v>LMN</c:v>
                  </c:pt>
                  <c:pt idx="98">
                    <c:v>PQR</c:v>
                  </c:pt>
                  <c:pt idx="99">
                    <c:v>ABC</c:v>
                  </c:pt>
                  <c:pt idx="100">
                    <c:v>XYZ</c:v>
                  </c:pt>
                </c:lvl>
                <c:lvl>
                  <c:pt idx="0">
                    <c:v>State</c:v>
                  </c:pt>
                  <c:pt idx="1">
                    <c:v>Karnataka</c:v>
                  </c:pt>
                  <c:pt idx="2">
                    <c:v>Karnataka</c:v>
                  </c:pt>
                  <c:pt idx="3">
                    <c:v>Karnataka</c:v>
                  </c:pt>
                  <c:pt idx="4">
                    <c:v>Karnataka</c:v>
                  </c:pt>
                  <c:pt idx="5">
                    <c:v>Karnataka</c:v>
                  </c:pt>
                  <c:pt idx="6">
                    <c:v>Karnataka</c:v>
                  </c:pt>
                  <c:pt idx="7">
                    <c:v>Karnataka</c:v>
                  </c:pt>
                  <c:pt idx="8">
                    <c:v>Karnataka</c:v>
                  </c:pt>
                  <c:pt idx="9">
                    <c:v>Karnataka</c:v>
                  </c:pt>
                  <c:pt idx="10">
                    <c:v>Karnataka</c:v>
                  </c:pt>
                  <c:pt idx="11">
                    <c:v>Karnataka</c:v>
                  </c:pt>
                  <c:pt idx="12">
                    <c:v>Karnataka</c:v>
                  </c:pt>
                  <c:pt idx="13">
                    <c:v>Karnataka</c:v>
                  </c:pt>
                  <c:pt idx="14">
                    <c:v>Karnataka</c:v>
                  </c:pt>
                  <c:pt idx="15">
                    <c:v>Karnataka</c:v>
                  </c:pt>
                  <c:pt idx="16">
                    <c:v>Karnataka</c:v>
                  </c:pt>
                  <c:pt idx="17">
                    <c:v>Karnataka</c:v>
                  </c:pt>
                  <c:pt idx="18">
                    <c:v>Karnataka</c:v>
                  </c:pt>
                  <c:pt idx="19">
                    <c:v>Karnataka</c:v>
                  </c:pt>
                  <c:pt idx="20">
                    <c:v>Karnataka</c:v>
                  </c:pt>
                  <c:pt idx="21">
                    <c:v>Karnataka</c:v>
                  </c:pt>
                  <c:pt idx="22">
                    <c:v>Karnataka</c:v>
                  </c:pt>
                  <c:pt idx="23">
                    <c:v>Karnataka</c:v>
                  </c:pt>
                  <c:pt idx="24">
                    <c:v>Karnataka</c:v>
                  </c:pt>
                  <c:pt idx="25">
                    <c:v>Karnataka</c:v>
                  </c:pt>
                  <c:pt idx="26">
                    <c:v>Karnataka</c:v>
                  </c:pt>
                  <c:pt idx="27">
                    <c:v>Karnataka</c:v>
                  </c:pt>
                  <c:pt idx="28">
                    <c:v>Karnataka</c:v>
                  </c:pt>
                  <c:pt idx="29">
                    <c:v>Karnataka</c:v>
                  </c:pt>
                  <c:pt idx="30">
                    <c:v>Karnataka</c:v>
                  </c:pt>
                  <c:pt idx="31">
                    <c:v>Karnataka</c:v>
                  </c:pt>
                  <c:pt idx="32">
                    <c:v>Karnataka</c:v>
                  </c:pt>
                  <c:pt idx="33">
                    <c:v>Karnataka</c:v>
                  </c:pt>
                  <c:pt idx="34">
                    <c:v>Karnataka</c:v>
                  </c:pt>
                  <c:pt idx="35">
                    <c:v>Karnataka</c:v>
                  </c:pt>
                  <c:pt idx="36">
                    <c:v>Karnataka</c:v>
                  </c:pt>
                  <c:pt idx="37">
                    <c:v>Karnataka</c:v>
                  </c:pt>
                  <c:pt idx="38">
                    <c:v>Karnataka</c:v>
                  </c:pt>
                  <c:pt idx="39">
                    <c:v>Karnataka</c:v>
                  </c:pt>
                  <c:pt idx="40">
                    <c:v>Karnataka</c:v>
                  </c:pt>
                  <c:pt idx="41">
                    <c:v>Karnataka</c:v>
                  </c:pt>
                  <c:pt idx="42">
                    <c:v>Karnataka</c:v>
                  </c:pt>
                  <c:pt idx="43">
                    <c:v>Karnataka</c:v>
                  </c:pt>
                  <c:pt idx="44">
                    <c:v>Karnataka</c:v>
                  </c:pt>
                  <c:pt idx="45">
                    <c:v>Karnataka</c:v>
                  </c:pt>
                  <c:pt idx="46">
                    <c:v>Karnataka</c:v>
                  </c:pt>
                  <c:pt idx="47">
                    <c:v>Karnataka</c:v>
                  </c:pt>
                  <c:pt idx="48">
                    <c:v>Karnataka</c:v>
                  </c:pt>
                  <c:pt idx="49">
                    <c:v>Karnataka</c:v>
                  </c:pt>
                  <c:pt idx="50">
                    <c:v>Karnataka</c:v>
                  </c:pt>
                  <c:pt idx="51">
                    <c:v>Karnataka</c:v>
                  </c:pt>
                  <c:pt idx="52">
                    <c:v>Karnataka</c:v>
                  </c:pt>
                  <c:pt idx="53">
                    <c:v>Karnataka</c:v>
                  </c:pt>
                  <c:pt idx="54">
                    <c:v>Karnataka</c:v>
                  </c:pt>
                  <c:pt idx="55">
                    <c:v>Karnataka</c:v>
                  </c:pt>
                  <c:pt idx="56">
                    <c:v>Karnataka</c:v>
                  </c:pt>
                  <c:pt idx="57">
                    <c:v>Karnataka</c:v>
                  </c:pt>
                  <c:pt idx="58">
                    <c:v>Karnataka</c:v>
                  </c:pt>
                  <c:pt idx="59">
                    <c:v>Karnataka</c:v>
                  </c:pt>
                  <c:pt idx="60">
                    <c:v>Karnataka</c:v>
                  </c:pt>
                  <c:pt idx="61">
                    <c:v>Karnataka</c:v>
                  </c:pt>
                  <c:pt idx="62">
                    <c:v>Karnataka</c:v>
                  </c:pt>
                  <c:pt idx="63">
                    <c:v>Karnataka</c:v>
                  </c:pt>
                  <c:pt idx="64">
                    <c:v>Karnataka</c:v>
                  </c:pt>
                  <c:pt idx="65">
                    <c:v>Karnataka</c:v>
                  </c:pt>
                  <c:pt idx="66">
                    <c:v>Karnataka</c:v>
                  </c:pt>
                  <c:pt idx="67">
                    <c:v>Karnataka</c:v>
                  </c:pt>
                  <c:pt idx="68">
                    <c:v>Karnataka</c:v>
                  </c:pt>
                  <c:pt idx="69">
                    <c:v>Karnataka</c:v>
                  </c:pt>
                  <c:pt idx="70">
                    <c:v>Karnataka</c:v>
                  </c:pt>
                  <c:pt idx="71">
                    <c:v>Karnataka</c:v>
                  </c:pt>
                  <c:pt idx="72">
                    <c:v>Karnataka</c:v>
                  </c:pt>
                  <c:pt idx="73">
                    <c:v>Karnataka</c:v>
                  </c:pt>
                  <c:pt idx="74">
                    <c:v>Karnataka</c:v>
                  </c:pt>
                  <c:pt idx="75">
                    <c:v>Karnataka</c:v>
                  </c:pt>
                  <c:pt idx="76">
                    <c:v>Karnataka</c:v>
                  </c:pt>
                  <c:pt idx="77">
                    <c:v>Karnataka</c:v>
                  </c:pt>
                  <c:pt idx="78">
                    <c:v>Karnataka</c:v>
                  </c:pt>
                  <c:pt idx="79">
                    <c:v>Karnataka</c:v>
                  </c:pt>
                  <c:pt idx="80">
                    <c:v>Karnataka</c:v>
                  </c:pt>
                  <c:pt idx="81">
                    <c:v>Karnataka</c:v>
                  </c:pt>
                  <c:pt idx="82">
                    <c:v>Karnataka</c:v>
                  </c:pt>
                  <c:pt idx="83">
                    <c:v>Karnataka</c:v>
                  </c:pt>
                  <c:pt idx="84">
                    <c:v>Karnataka</c:v>
                  </c:pt>
                  <c:pt idx="85">
                    <c:v>Karnataka</c:v>
                  </c:pt>
                  <c:pt idx="86">
                    <c:v>Karnataka</c:v>
                  </c:pt>
                  <c:pt idx="87">
                    <c:v>Karnataka</c:v>
                  </c:pt>
                  <c:pt idx="88">
                    <c:v>Karnataka</c:v>
                  </c:pt>
                  <c:pt idx="89">
                    <c:v>Karnataka</c:v>
                  </c:pt>
                  <c:pt idx="90">
                    <c:v>Karnataka</c:v>
                  </c:pt>
                  <c:pt idx="91">
                    <c:v>Karnataka</c:v>
                  </c:pt>
                  <c:pt idx="92">
                    <c:v>Karnataka</c:v>
                  </c:pt>
                  <c:pt idx="93">
                    <c:v>Karnataka</c:v>
                  </c:pt>
                  <c:pt idx="94">
                    <c:v>Karnataka</c:v>
                  </c:pt>
                  <c:pt idx="95">
                    <c:v>Karnataka</c:v>
                  </c:pt>
                  <c:pt idx="96">
                    <c:v>Karnataka</c:v>
                  </c:pt>
                  <c:pt idx="97">
                    <c:v>Karnataka</c:v>
                  </c:pt>
                  <c:pt idx="98">
                    <c:v>Karnataka</c:v>
                  </c:pt>
                  <c:pt idx="99">
                    <c:v>Karnataka</c:v>
                  </c:pt>
                  <c:pt idx="100">
                    <c:v>Karnataka</c:v>
                  </c:pt>
                </c:lvl>
                <c:lvl>
                  <c:pt idx="0">
                    <c:v>Constituency</c:v>
                  </c:pt>
                  <c:pt idx="1">
                    <c:v>Bangalore South</c:v>
                  </c:pt>
                  <c:pt idx="2">
                    <c:v>Belgaum</c:v>
                  </c:pt>
                  <c:pt idx="3">
                    <c:v>Mangalore</c:v>
                  </c:pt>
                  <c:pt idx="4">
                    <c:v>Belgaum</c:v>
                  </c:pt>
                  <c:pt idx="5">
                    <c:v>Shimoga</c:v>
                  </c:pt>
                  <c:pt idx="6">
                    <c:v>Bellary</c:v>
                  </c:pt>
                  <c:pt idx="7">
                    <c:v>Belgaum</c:v>
                  </c:pt>
                  <c:pt idx="8">
                    <c:v>Mangalore</c:v>
                  </c:pt>
                  <c:pt idx="9">
                    <c:v>Tumkur</c:v>
                  </c:pt>
                  <c:pt idx="10">
                    <c:v>Shimoga</c:v>
                  </c:pt>
                  <c:pt idx="11">
                    <c:v>Bangalore South</c:v>
                  </c:pt>
                  <c:pt idx="12">
                    <c:v>Mangalore</c:v>
                  </c:pt>
                  <c:pt idx="13">
                    <c:v>Bijapur</c:v>
                  </c:pt>
                  <c:pt idx="14">
                    <c:v>Belgaum</c:v>
                  </c:pt>
                  <c:pt idx="15">
                    <c:v>Hubli</c:v>
                  </c:pt>
                  <c:pt idx="16">
                    <c:v>Bellary</c:v>
                  </c:pt>
                  <c:pt idx="17">
                    <c:v>Bangalore South</c:v>
                  </c:pt>
                  <c:pt idx="18">
                    <c:v>Mangalore</c:v>
                  </c:pt>
                  <c:pt idx="19">
                    <c:v>Shimoga</c:v>
                  </c:pt>
                  <c:pt idx="20">
                    <c:v>Shimoga</c:v>
                  </c:pt>
                  <c:pt idx="21">
                    <c:v>Bangalore South</c:v>
                  </c:pt>
                  <c:pt idx="22">
                    <c:v>Davanagere</c:v>
                  </c:pt>
                  <c:pt idx="23">
                    <c:v>Belgaum</c:v>
                  </c:pt>
                  <c:pt idx="24">
                    <c:v>Bellary</c:v>
                  </c:pt>
                  <c:pt idx="25">
                    <c:v>Davanagere</c:v>
                  </c:pt>
                  <c:pt idx="26">
                    <c:v>Bellary</c:v>
                  </c:pt>
                  <c:pt idx="27">
                    <c:v>Mysore</c:v>
                  </c:pt>
                  <c:pt idx="28">
                    <c:v>Hubli</c:v>
                  </c:pt>
                  <c:pt idx="29">
                    <c:v>Bangalore South</c:v>
                  </c:pt>
                  <c:pt idx="30">
                    <c:v>Hubli</c:v>
                  </c:pt>
                  <c:pt idx="31">
                    <c:v>Tumkur</c:v>
                  </c:pt>
                  <c:pt idx="32">
                    <c:v>Belgaum</c:v>
                  </c:pt>
                  <c:pt idx="33">
                    <c:v>Bijapur</c:v>
                  </c:pt>
                  <c:pt idx="34">
                    <c:v>Bijapur</c:v>
                  </c:pt>
                  <c:pt idx="35">
                    <c:v>Belgaum</c:v>
                  </c:pt>
                  <c:pt idx="36">
                    <c:v>Belgaum</c:v>
                  </c:pt>
                  <c:pt idx="37">
                    <c:v>Bangalore South</c:v>
                  </c:pt>
                  <c:pt idx="38">
                    <c:v>Bellary</c:v>
                  </c:pt>
                  <c:pt idx="39">
                    <c:v>Mangalore</c:v>
                  </c:pt>
                  <c:pt idx="40">
                    <c:v>Belgaum</c:v>
                  </c:pt>
                  <c:pt idx="41">
                    <c:v>Davanagere</c:v>
                  </c:pt>
                  <c:pt idx="42">
                    <c:v>Mysore</c:v>
                  </c:pt>
                  <c:pt idx="43">
                    <c:v>Tumkur</c:v>
                  </c:pt>
                  <c:pt idx="44">
                    <c:v>Mysore</c:v>
                  </c:pt>
                  <c:pt idx="45">
                    <c:v>Tumkur</c:v>
                  </c:pt>
                  <c:pt idx="46">
                    <c:v>Tumkur</c:v>
                  </c:pt>
                  <c:pt idx="47">
                    <c:v>Hubli</c:v>
                  </c:pt>
                  <c:pt idx="48">
                    <c:v>Bijapur</c:v>
                  </c:pt>
                  <c:pt idx="49">
                    <c:v>Davanagere</c:v>
                  </c:pt>
                  <c:pt idx="50">
                    <c:v>Davanagere</c:v>
                  </c:pt>
                  <c:pt idx="51">
                    <c:v>Davanagere</c:v>
                  </c:pt>
                  <c:pt idx="52">
                    <c:v>Bangalore South</c:v>
                  </c:pt>
                  <c:pt idx="53">
                    <c:v>Bangalore South</c:v>
                  </c:pt>
                  <c:pt idx="54">
                    <c:v>Davanagere</c:v>
                  </c:pt>
                  <c:pt idx="55">
                    <c:v>Mysore</c:v>
                  </c:pt>
                  <c:pt idx="56">
                    <c:v>Mysore</c:v>
                  </c:pt>
                  <c:pt idx="57">
                    <c:v>Hubli</c:v>
                  </c:pt>
                  <c:pt idx="58">
                    <c:v>Bangalore South</c:v>
                  </c:pt>
                  <c:pt idx="59">
                    <c:v>Shimoga</c:v>
                  </c:pt>
                  <c:pt idx="60">
                    <c:v>Davanagere</c:v>
                  </c:pt>
                  <c:pt idx="61">
                    <c:v>Bijapur</c:v>
                  </c:pt>
                  <c:pt idx="62">
                    <c:v>Bangalore South</c:v>
                  </c:pt>
                  <c:pt idx="63">
                    <c:v>Bangalore South</c:v>
                  </c:pt>
                  <c:pt idx="64">
                    <c:v>Tumkur</c:v>
                  </c:pt>
                  <c:pt idx="65">
                    <c:v>Shimoga</c:v>
                  </c:pt>
                  <c:pt idx="66">
                    <c:v>Mysore</c:v>
                  </c:pt>
                  <c:pt idx="67">
                    <c:v>Mangalore</c:v>
                  </c:pt>
                  <c:pt idx="68">
                    <c:v>Tumkur</c:v>
                  </c:pt>
                  <c:pt idx="69">
                    <c:v>Hubli</c:v>
                  </c:pt>
                  <c:pt idx="70">
                    <c:v>Hubli</c:v>
                  </c:pt>
                  <c:pt idx="71">
                    <c:v>Mangalore</c:v>
                  </c:pt>
                  <c:pt idx="72">
                    <c:v>Mysore</c:v>
                  </c:pt>
                  <c:pt idx="73">
                    <c:v>Bijapur</c:v>
                  </c:pt>
                  <c:pt idx="74">
                    <c:v>Belgaum</c:v>
                  </c:pt>
                  <c:pt idx="75">
                    <c:v>Shimoga</c:v>
                  </c:pt>
                  <c:pt idx="76">
                    <c:v>Davanagere</c:v>
                  </c:pt>
                  <c:pt idx="77">
                    <c:v>Bangalore South</c:v>
                  </c:pt>
                  <c:pt idx="78">
                    <c:v>Hubli</c:v>
                  </c:pt>
                  <c:pt idx="79">
                    <c:v>Tumkur</c:v>
                  </c:pt>
                  <c:pt idx="80">
                    <c:v>Mysore</c:v>
                  </c:pt>
                  <c:pt idx="81">
                    <c:v>Bangalore South</c:v>
                  </c:pt>
                  <c:pt idx="82">
                    <c:v>Shimoga</c:v>
                  </c:pt>
                  <c:pt idx="83">
                    <c:v>Davanagere</c:v>
                  </c:pt>
                  <c:pt idx="84">
                    <c:v>Mysore</c:v>
                  </c:pt>
                  <c:pt idx="85">
                    <c:v>Shimoga</c:v>
                  </c:pt>
                  <c:pt idx="86">
                    <c:v>Mangalore</c:v>
                  </c:pt>
                  <c:pt idx="87">
                    <c:v>Belgaum</c:v>
                  </c:pt>
                  <c:pt idx="88">
                    <c:v>Bijapur</c:v>
                  </c:pt>
                  <c:pt idx="89">
                    <c:v>Mysore</c:v>
                  </c:pt>
                  <c:pt idx="90">
                    <c:v>Bangalore South</c:v>
                  </c:pt>
                  <c:pt idx="91">
                    <c:v>Davanagere</c:v>
                  </c:pt>
                  <c:pt idx="92">
                    <c:v>Bellary</c:v>
                  </c:pt>
                  <c:pt idx="93">
                    <c:v>Hubli</c:v>
                  </c:pt>
                  <c:pt idx="94">
                    <c:v>Mysore</c:v>
                  </c:pt>
                  <c:pt idx="95">
                    <c:v>Bangalore South</c:v>
                  </c:pt>
                  <c:pt idx="96">
                    <c:v>Bangalore South</c:v>
                  </c:pt>
                  <c:pt idx="97">
                    <c:v>Shimoga</c:v>
                  </c:pt>
                  <c:pt idx="98">
                    <c:v>Mangalore</c:v>
                  </c:pt>
                  <c:pt idx="99">
                    <c:v>Bijapur</c:v>
                  </c:pt>
                  <c:pt idx="100">
                    <c:v>Davanagere</c:v>
                  </c:pt>
                </c:lvl>
              </c:multiLvlStrCache>
            </c:multiLvlStrRef>
          </c:cat>
          <c:val>
            <c:numRef>
              <c:f>Cleaned_Data!$L$1:$L$101</c:f>
              <c:numCache>
                <c:formatCode>General</c:formatCode>
                <c:ptCount val="101"/>
                <c:pt idx="100">
                  <c:v>32</c:v>
                </c:pt>
              </c:numCache>
            </c:numRef>
          </c:val>
        </c:ser>
        <c:gapWidth val="100"/>
        <c:shape val="box"/>
        <c:axId val="86889356"/>
        <c:axId val="90114793"/>
        <c:axId val="0"/>
      </c:bar3DChart>
      <c:catAx>
        <c:axId val="86889356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0114793"/>
        <c:auto val="1"/>
        <c:lblAlgn val="ctr"/>
        <c:lblOffset val="100"/>
        <c:noMultiLvlLbl val="0"/>
      </c:catAx>
      <c:valAx>
        <c:axId val="901147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6889356"/>
        <c:crosses val="autoZero"/>
        <c:crossBetween val="midCat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8164885305332"/>
          <c:y val="0.0847316368485387"/>
          <c:w val="0.861741358834927"/>
          <c:h val="0.9151016779642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Cleaned_Data!$A$1:$L$1</c:f>
              <c:numCache>
                <c:formatCode>General</c:formatCode>
                <c:ptCount val="12"/>
                <c:pt idx="4">
                  <c:v>-120000</c:v>
                </c:pt>
              </c:numCache>
            </c:numRef>
          </c:val>
        </c:ser>
        <c:ser>
          <c:idx val="1"/>
          <c:order val="1"/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Cleaned_Data!$A$2:$L$2</c:f>
              <c:numCache>
                <c:formatCode>General</c:formatCode>
                <c:ptCount val="12"/>
                <c:pt idx="5">
                  <c:v>120000</c:v>
                </c:pt>
                <c:pt idx="7">
                  <c:v>56</c:v>
                </c:pt>
                <c:pt idx="9">
                  <c:v>0</c:v>
                </c:pt>
                <c:pt idx="10">
                  <c:v>32</c:v>
                </c:pt>
              </c:numCache>
            </c:numRef>
          </c:val>
        </c:ser>
        <c:ser>
          <c:idx val="2"/>
          <c:order val="2"/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Cleaned_Data!$A$3:$L$3</c:f>
              <c:numCache>
                <c:formatCode>General</c:formatCode>
                <c:ptCount val="12"/>
                <c:pt idx="4">
                  <c:v>46375</c:v>
                </c:pt>
                <c:pt idx="5">
                  <c:v>140000</c:v>
                </c:pt>
                <c:pt idx="7">
                  <c:v>32</c:v>
                </c:pt>
                <c:pt idx="9">
                  <c:v>33.125</c:v>
                </c:pt>
                <c:pt idx="10">
                  <c:v>32</c:v>
                </c:pt>
              </c:numCache>
            </c:numRef>
          </c:val>
        </c:ser>
        <c:ser>
          <c:idx val="3"/>
          <c:order val="3"/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Cleaned_Data!$A$4:$L$4</c:f>
              <c:numCache>
                <c:formatCode>General</c:formatCode>
                <c:ptCount val="12"/>
                <c:pt idx="4">
                  <c:v>79722</c:v>
                </c:pt>
                <c:pt idx="5">
                  <c:v>160000</c:v>
                </c:pt>
                <c:pt idx="7">
                  <c:v>41</c:v>
                </c:pt>
                <c:pt idx="9">
                  <c:v>49.82625</c:v>
                </c:pt>
                <c:pt idx="10">
                  <c:v>32</c:v>
                </c:pt>
              </c:numCache>
            </c:numRef>
          </c:val>
        </c:ser>
        <c:ser>
          <c:idx val="4"/>
          <c:order val="4"/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Cleaned_Data!$A$5:$L$5</c:f>
              <c:numCache>
                <c:formatCode>General</c:formatCode>
                <c:ptCount val="12"/>
                <c:pt idx="4">
                  <c:v>68797</c:v>
                </c:pt>
                <c:pt idx="5">
                  <c:v>140000</c:v>
                </c:pt>
                <c:pt idx="7">
                  <c:v>35</c:v>
                </c:pt>
                <c:pt idx="9">
                  <c:v>49.1407142857143</c:v>
                </c:pt>
                <c:pt idx="10">
                  <c:v>32</c:v>
                </c:pt>
              </c:numCache>
            </c:numRef>
          </c:val>
        </c:ser>
        <c:ser>
          <c:idx val="5"/>
          <c:order val="5"/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Cleaned_Data!$A$6:$L$6</c:f>
              <c:numCache>
                <c:formatCode>General</c:formatCode>
                <c:ptCount val="12"/>
                <c:pt idx="4">
                  <c:v>70248</c:v>
                </c:pt>
                <c:pt idx="5">
                  <c:v>125000</c:v>
                </c:pt>
                <c:pt idx="7">
                  <c:v>37</c:v>
                </c:pt>
                <c:pt idx="9">
                  <c:v>56.1984</c:v>
                </c:pt>
                <c:pt idx="10">
                  <c:v>32</c:v>
                </c:pt>
              </c:numCache>
            </c:numRef>
          </c:val>
        </c:ser>
        <c:ser>
          <c:idx val="6"/>
          <c:order val="6"/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Cleaned_Data!$A$7:$L$7</c:f>
              <c:numCache>
                <c:formatCode>General</c:formatCode>
                <c:ptCount val="12"/>
                <c:pt idx="4">
                  <c:v>50587</c:v>
                </c:pt>
                <c:pt idx="5">
                  <c:v>145000</c:v>
                </c:pt>
                <c:pt idx="7">
                  <c:v>54</c:v>
                </c:pt>
                <c:pt idx="9">
                  <c:v>34.8875862068966</c:v>
                </c:pt>
                <c:pt idx="10">
                  <c:v>32</c:v>
                </c:pt>
              </c:numCache>
            </c:numRef>
          </c:val>
        </c:ser>
        <c:ser>
          <c:idx val="7"/>
          <c:order val="7"/>
          <c:spPr>
            <a:solidFill>
              <a:srgbClr val="AEC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Cleaned_Data!$A$8:$L$8</c:f>
              <c:numCache>
                <c:formatCode>General</c:formatCode>
                <c:ptCount val="12"/>
                <c:pt idx="4">
                  <c:v>70727</c:v>
                </c:pt>
                <c:pt idx="5">
                  <c:v>140000</c:v>
                </c:pt>
                <c:pt idx="7">
                  <c:v>60</c:v>
                </c:pt>
                <c:pt idx="9">
                  <c:v>50.5192857142857</c:v>
                </c:pt>
                <c:pt idx="10">
                  <c:v>32</c:v>
                </c:pt>
              </c:numCache>
            </c:numRef>
          </c:val>
        </c:ser>
        <c:ser>
          <c:idx val="8"/>
          <c:order val="8"/>
          <c:spPr>
            <a:solidFill>
              <a:srgbClr val="4B1F6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Cleaned_Data!$A$9:$L$9</c:f>
              <c:numCache>
                <c:formatCode>General</c:formatCode>
                <c:ptCount val="12"/>
                <c:pt idx="4">
                  <c:v>55420</c:v>
                </c:pt>
                <c:pt idx="5">
                  <c:v>160000</c:v>
                </c:pt>
                <c:pt idx="7">
                  <c:v>59</c:v>
                </c:pt>
                <c:pt idx="9">
                  <c:v>34.6375</c:v>
                </c:pt>
                <c:pt idx="10">
                  <c:v>32</c:v>
                </c:pt>
              </c:numCache>
            </c:numRef>
          </c:val>
        </c:ser>
        <c:ser>
          <c:idx val="9"/>
          <c:order val="9"/>
          <c:spPr>
            <a:solidFill>
              <a:srgbClr val="FF95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Cleaned_Data!$A$10:$L$10</c:f>
              <c:numCache>
                <c:formatCode>General</c:formatCode>
                <c:ptCount val="12"/>
                <c:pt idx="4">
                  <c:v>50504</c:v>
                </c:pt>
                <c:pt idx="5">
                  <c:v>110000</c:v>
                </c:pt>
                <c:pt idx="7">
                  <c:v>48</c:v>
                </c:pt>
                <c:pt idx="9">
                  <c:v>45.9127272727273</c:v>
                </c:pt>
                <c:pt idx="10">
                  <c:v>32</c:v>
                </c:pt>
              </c:numCache>
            </c:numRef>
          </c:val>
        </c:ser>
        <c:ser>
          <c:idx val="10"/>
          <c:order val="10"/>
          <c:spPr>
            <a:solidFill>
              <a:srgbClr val="C500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Cleaned_Data!$A$11:$L$11</c:f>
              <c:numCache>
                <c:formatCode>General</c:formatCode>
                <c:ptCount val="12"/>
                <c:pt idx="4">
                  <c:v>19249</c:v>
                </c:pt>
                <c:pt idx="5">
                  <c:v>125000</c:v>
                </c:pt>
                <c:pt idx="7">
                  <c:v>48</c:v>
                </c:pt>
                <c:pt idx="9">
                  <c:v>15.3992</c:v>
                </c:pt>
                <c:pt idx="10">
                  <c:v>32</c:v>
                </c:pt>
              </c:numCache>
            </c:numRef>
          </c:val>
        </c:ser>
        <c:ser>
          <c:idx val="11"/>
          <c:order val="11"/>
          <c:spPr>
            <a:solidFill>
              <a:srgbClr val="0084D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Cleaned_Data!$A$12:$L$12</c:f>
              <c:numCache>
                <c:formatCode>General</c:formatCode>
                <c:ptCount val="12"/>
                <c:pt idx="4">
                  <c:v>76608</c:v>
                </c:pt>
                <c:pt idx="5">
                  <c:v>120000</c:v>
                </c:pt>
                <c:pt idx="7">
                  <c:v>46</c:v>
                </c:pt>
                <c:pt idx="9">
                  <c:v>63.84</c:v>
                </c:pt>
                <c:pt idx="10">
                  <c:v>32</c:v>
                </c:pt>
              </c:numCache>
            </c:numRef>
          </c:val>
        </c:ser>
        <c:ser>
          <c:idx val="12"/>
          <c:order val="12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Cleaned_Data!$A$13:$L$13</c:f>
              <c:numCache>
                <c:formatCode>General</c:formatCode>
                <c:ptCount val="12"/>
                <c:pt idx="4">
                  <c:v>70647</c:v>
                </c:pt>
                <c:pt idx="5">
                  <c:v>160000</c:v>
                </c:pt>
                <c:pt idx="7">
                  <c:v>44</c:v>
                </c:pt>
                <c:pt idx="9">
                  <c:v>44.154375</c:v>
                </c:pt>
                <c:pt idx="10">
                  <c:v>32</c:v>
                </c:pt>
              </c:numCache>
            </c:numRef>
          </c:val>
        </c:ser>
        <c:ser>
          <c:idx val="13"/>
          <c:order val="13"/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Cleaned_Data!$A$14:$L$14</c:f>
              <c:numCache>
                <c:formatCode>General</c:formatCode>
                <c:ptCount val="12"/>
                <c:pt idx="4">
                  <c:v>33998</c:v>
                </c:pt>
                <c:pt idx="5">
                  <c:v>135000</c:v>
                </c:pt>
                <c:pt idx="7">
                  <c:v>55</c:v>
                </c:pt>
                <c:pt idx="9">
                  <c:v>25.1837037037037</c:v>
                </c:pt>
                <c:pt idx="10">
                  <c:v>32</c:v>
                </c:pt>
              </c:numCache>
            </c:numRef>
          </c:val>
        </c:ser>
        <c:ser>
          <c:idx val="14"/>
          <c:order val="14"/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Cleaned_Data!$A$15:$L$15</c:f>
              <c:numCache>
                <c:formatCode>General</c:formatCode>
                <c:ptCount val="12"/>
                <c:pt idx="4">
                  <c:v>54842</c:v>
                </c:pt>
                <c:pt idx="5">
                  <c:v>140000</c:v>
                </c:pt>
                <c:pt idx="7">
                  <c:v>34</c:v>
                </c:pt>
                <c:pt idx="9">
                  <c:v>39.1728571428571</c:v>
                </c:pt>
                <c:pt idx="10">
                  <c:v>32</c:v>
                </c:pt>
              </c:numCache>
            </c:numRef>
          </c:val>
        </c:ser>
        <c:ser>
          <c:idx val="15"/>
          <c:order val="15"/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Cleaned_Data!$A$16:$L$16</c:f>
              <c:numCache>
                <c:formatCode>General</c:formatCode>
                <c:ptCount val="12"/>
                <c:pt idx="4">
                  <c:v>32097</c:v>
                </c:pt>
                <c:pt idx="5">
                  <c:v>180000</c:v>
                </c:pt>
                <c:pt idx="7">
                  <c:v>57</c:v>
                </c:pt>
                <c:pt idx="9">
                  <c:v>17.8316666666667</c:v>
                </c:pt>
                <c:pt idx="10">
                  <c:v>32</c:v>
                </c:pt>
              </c:numCache>
            </c:numRef>
          </c:val>
        </c:ser>
        <c:ser>
          <c:idx val="16"/>
          <c:order val="16"/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Cleaned_Data!$A$17:$L$17</c:f>
              <c:numCache>
                <c:formatCode>General</c:formatCode>
                <c:ptCount val="12"/>
                <c:pt idx="4">
                  <c:v>68944</c:v>
                </c:pt>
                <c:pt idx="5">
                  <c:v>145000</c:v>
                </c:pt>
                <c:pt idx="7">
                  <c:v>40</c:v>
                </c:pt>
                <c:pt idx="9">
                  <c:v>47.5475862068966</c:v>
                </c:pt>
                <c:pt idx="10">
                  <c:v>32</c:v>
                </c:pt>
              </c:numCache>
            </c:numRef>
          </c:val>
        </c:ser>
        <c:ser>
          <c:idx val="17"/>
          <c:order val="17"/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Cleaned_Data!$A$18:$L$18</c:f>
              <c:numCache>
                <c:formatCode>General</c:formatCode>
                <c:ptCount val="12"/>
                <c:pt idx="4">
                  <c:v>61711</c:v>
                </c:pt>
                <c:pt idx="5">
                  <c:v>120000</c:v>
                </c:pt>
                <c:pt idx="7">
                  <c:v>45</c:v>
                </c:pt>
                <c:pt idx="9">
                  <c:v>51.4258333333333</c:v>
                </c:pt>
                <c:pt idx="10">
                  <c:v>32</c:v>
                </c:pt>
              </c:numCache>
            </c:numRef>
          </c:val>
        </c:ser>
        <c:ser>
          <c:idx val="18"/>
          <c:order val="18"/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Cleaned_Data!$A$19:$L$19</c:f>
              <c:numCache>
                <c:formatCode>General</c:formatCode>
                <c:ptCount val="12"/>
                <c:pt idx="4">
                  <c:v>73871</c:v>
                </c:pt>
                <c:pt idx="5">
                  <c:v>160000</c:v>
                </c:pt>
                <c:pt idx="7">
                  <c:v>49</c:v>
                </c:pt>
                <c:pt idx="9">
                  <c:v>46.169375</c:v>
                </c:pt>
                <c:pt idx="10">
                  <c:v>32</c:v>
                </c:pt>
              </c:numCache>
            </c:numRef>
          </c:val>
        </c:ser>
        <c:ser>
          <c:idx val="19"/>
          <c:order val="19"/>
          <c:spPr>
            <a:solidFill>
              <a:srgbClr val="AEC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Cleaned_Data!$A$20:$L$20</c:f>
              <c:numCache>
                <c:formatCode>General</c:formatCode>
                <c:ptCount val="12"/>
                <c:pt idx="4">
                  <c:v>78508</c:v>
                </c:pt>
                <c:pt idx="5">
                  <c:v>125000</c:v>
                </c:pt>
                <c:pt idx="7">
                  <c:v>36</c:v>
                </c:pt>
                <c:pt idx="9">
                  <c:v>62.8064</c:v>
                </c:pt>
                <c:pt idx="10">
                  <c:v>32</c:v>
                </c:pt>
              </c:numCache>
            </c:numRef>
          </c:val>
        </c:ser>
        <c:ser>
          <c:idx val="20"/>
          <c:order val="20"/>
          <c:spPr>
            <a:solidFill>
              <a:srgbClr val="4B1F6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Cleaned_Data!$A$21:$L$21</c:f>
              <c:numCache>
                <c:formatCode>General</c:formatCode>
                <c:ptCount val="12"/>
                <c:pt idx="4">
                  <c:v>49467</c:v>
                </c:pt>
                <c:pt idx="5">
                  <c:v>125000</c:v>
                </c:pt>
                <c:pt idx="7">
                  <c:v>35</c:v>
                </c:pt>
                <c:pt idx="9">
                  <c:v>39.5736</c:v>
                </c:pt>
                <c:pt idx="10">
                  <c:v>32</c:v>
                </c:pt>
              </c:numCache>
            </c:numRef>
          </c:val>
        </c:ser>
        <c:ser>
          <c:idx val="21"/>
          <c:order val="21"/>
          <c:spPr>
            <a:solidFill>
              <a:srgbClr val="FF95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Cleaned_Data!$A$22:$L$22</c:f>
              <c:numCache>
                <c:formatCode>General</c:formatCode>
                <c:ptCount val="12"/>
                <c:pt idx="4">
                  <c:v>36753</c:v>
                </c:pt>
                <c:pt idx="5">
                  <c:v>120000</c:v>
                </c:pt>
                <c:pt idx="7">
                  <c:v>45</c:v>
                </c:pt>
                <c:pt idx="9">
                  <c:v>30.6275</c:v>
                </c:pt>
                <c:pt idx="10">
                  <c:v>32</c:v>
                </c:pt>
              </c:numCache>
            </c:numRef>
          </c:val>
        </c:ser>
        <c:ser>
          <c:idx val="22"/>
          <c:order val="22"/>
          <c:spPr>
            <a:solidFill>
              <a:srgbClr val="C500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Cleaned_Data!$A$23:$L$23</c:f>
              <c:numCache>
                <c:formatCode>General</c:formatCode>
                <c:ptCount val="12"/>
                <c:pt idx="4">
                  <c:v>15823</c:v>
                </c:pt>
                <c:pt idx="5">
                  <c:v>130000</c:v>
                </c:pt>
                <c:pt idx="7">
                  <c:v>43</c:v>
                </c:pt>
                <c:pt idx="9">
                  <c:v>12.1715384615385</c:v>
                </c:pt>
                <c:pt idx="10">
                  <c:v>32</c:v>
                </c:pt>
              </c:numCache>
            </c:numRef>
          </c:val>
        </c:ser>
        <c:ser>
          <c:idx val="23"/>
          <c:order val="23"/>
          <c:spPr>
            <a:solidFill>
              <a:srgbClr val="0084D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Cleaned_Data!$A$24:$L$24</c:f>
              <c:numCache>
                <c:formatCode>General</c:formatCode>
                <c:ptCount val="12"/>
                <c:pt idx="4">
                  <c:v>27605</c:v>
                </c:pt>
                <c:pt idx="5">
                  <c:v>140000</c:v>
                </c:pt>
                <c:pt idx="7">
                  <c:v>47</c:v>
                </c:pt>
                <c:pt idx="9">
                  <c:v>19.7178571428571</c:v>
                </c:pt>
                <c:pt idx="10">
                  <c:v>32</c:v>
                </c:pt>
              </c:numCache>
            </c:numRef>
          </c:val>
        </c:ser>
        <c:ser>
          <c:idx val="24"/>
          <c:order val="24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Cleaned_Data!$A$25:$L$25</c:f>
              <c:numCache>
                <c:formatCode>General</c:formatCode>
                <c:ptCount val="12"/>
                <c:pt idx="4">
                  <c:v>25902</c:v>
                </c:pt>
                <c:pt idx="5">
                  <c:v>145000</c:v>
                </c:pt>
                <c:pt idx="7">
                  <c:v>36</c:v>
                </c:pt>
                <c:pt idx="9">
                  <c:v>17.8634482758621</c:v>
                </c:pt>
                <c:pt idx="10">
                  <c:v>32</c:v>
                </c:pt>
              </c:numCache>
            </c:numRef>
          </c:val>
        </c:ser>
        <c:ser>
          <c:idx val="25"/>
          <c:order val="25"/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Cleaned_Data!$A$26:$L$26</c:f>
              <c:numCache>
                <c:formatCode>General</c:formatCode>
                <c:ptCount val="12"/>
                <c:pt idx="4">
                  <c:v>26889</c:v>
                </c:pt>
                <c:pt idx="5">
                  <c:v>130000</c:v>
                </c:pt>
                <c:pt idx="7">
                  <c:v>51</c:v>
                </c:pt>
                <c:pt idx="9">
                  <c:v>20.6838461538462</c:v>
                </c:pt>
                <c:pt idx="10">
                  <c:v>32</c:v>
                </c:pt>
              </c:numCache>
            </c:numRef>
          </c:val>
        </c:ser>
        <c:ser>
          <c:idx val="26"/>
          <c:order val="26"/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Cleaned_Data!$A$27:$L$27</c:f>
              <c:numCache>
                <c:formatCode>General</c:formatCode>
                <c:ptCount val="12"/>
                <c:pt idx="4">
                  <c:v>76432</c:v>
                </c:pt>
                <c:pt idx="5">
                  <c:v>145000</c:v>
                </c:pt>
                <c:pt idx="7">
                  <c:v>45</c:v>
                </c:pt>
                <c:pt idx="9">
                  <c:v>52.711724137931</c:v>
                </c:pt>
                <c:pt idx="10">
                  <c:v>32</c:v>
                </c:pt>
              </c:numCache>
            </c:numRef>
          </c:val>
        </c:ser>
        <c:ser>
          <c:idx val="27"/>
          <c:order val="27"/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Cleaned_Data!$A$28:$L$28</c:f>
              <c:numCache>
                <c:formatCode>General</c:formatCode>
                <c:ptCount val="12"/>
                <c:pt idx="4">
                  <c:v>35634</c:v>
                </c:pt>
                <c:pt idx="5">
                  <c:v>150000</c:v>
                </c:pt>
                <c:pt idx="7">
                  <c:v>56</c:v>
                </c:pt>
                <c:pt idx="9">
                  <c:v>23.756</c:v>
                </c:pt>
                <c:pt idx="10">
                  <c:v>32</c:v>
                </c:pt>
              </c:numCache>
            </c:numRef>
          </c:val>
        </c:ser>
        <c:ser>
          <c:idx val="28"/>
          <c:order val="28"/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Cleaned_Data!$A$29:$L$29</c:f>
              <c:numCache>
                <c:formatCode>General</c:formatCode>
                <c:ptCount val="12"/>
                <c:pt idx="4">
                  <c:v>51711</c:v>
                </c:pt>
                <c:pt idx="5">
                  <c:v>180000</c:v>
                </c:pt>
                <c:pt idx="7">
                  <c:v>44</c:v>
                </c:pt>
                <c:pt idx="9">
                  <c:v>28.7283333333333</c:v>
                </c:pt>
                <c:pt idx="10">
                  <c:v>32</c:v>
                </c:pt>
              </c:numCache>
            </c:numRef>
          </c:val>
        </c:ser>
        <c:ser>
          <c:idx val="29"/>
          <c:order val="29"/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Cleaned_Data!$A$30:$L$30</c:f>
              <c:numCache>
                <c:formatCode>General</c:formatCode>
                <c:ptCount val="12"/>
                <c:pt idx="4">
                  <c:v>64450</c:v>
                </c:pt>
                <c:pt idx="5">
                  <c:v>120000</c:v>
                </c:pt>
                <c:pt idx="7">
                  <c:v>52</c:v>
                </c:pt>
                <c:pt idx="9">
                  <c:v>53.7083333333333</c:v>
                </c:pt>
                <c:pt idx="10">
                  <c:v>32</c:v>
                </c:pt>
              </c:numCache>
            </c:numRef>
          </c:val>
        </c:ser>
        <c:ser>
          <c:idx val="30"/>
          <c:order val="30"/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Cleaned_Data!$A$31:$L$31</c:f>
              <c:numCache>
                <c:formatCode>General</c:formatCode>
                <c:ptCount val="12"/>
                <c:pt idx="4">
                  <c:v>60999</c:v>
                </c:pt>
                <c:pt idx="5">
                  <c:v>180000</c:v>
                </c:pt>
                <c:pt idx="7">
                  <c:v>44</c:v>
                </c:pt>
                <c:pt idx="9">
                  <c:v>33.8883333333333</c:v>
                </c:pt>
                <c:pt idx="10">
                  <c:v>32</c:v>
                </c:pt>
              </c:numCache>
            </c:numRef>
          </c:val>
        </c:ser>
        <c:ser>
          <c:idx val="31"/>
          <c:order val="31"/>
          <c:spPr>
            <a:solidFill>
              <a:srgbClr val="AEC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Cleaned_Data!$A$32:$L$32</c:f>
              <c:numCache>
                <c:formatCode>General</c:formatCode>
                <c:ptCount val="12"/>
                <c:pt idx="4">
                  <c:v>61375</c:v>
                </c:pt>
                <c:pt idx="5">
                  <c:v>110000</c:v>
                </c:pt>
                <c:pt idx="7">
                  <c:v>49</c:v>
                </c:pt>
                <c:pt idx="9">
                  <c:v>55.7954545454546</c:v>
                </c:pt>
                <c:pt idx="10">
                  <c:v>32</c:v>
                </c:pt>
              </c:numCache>
            </c:numRef>
          </c:val>
        </c:ser>
        <c:ser>
          <c:idx val="32"/>
          <c:order val="32"/>
          <c:spPr>
            <a:solidFill>
              <a:srgbClr val="4B1F6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Cleaned_Data!$A$33:$L$33</c:f>
              <c:numCache>
                <c:formatCode>General</c:formatCode>
                <c:ptCount val="12"/>
                <c:pt idx="4">
                  <c:v>43347</c:v>
                </c:pt>
                <c:pt idx="5">
                  <c:v>140000</c:v>
                </c:pt>
                <c:pt idx="7">
                  <c:v>35</c:v>
                </c:pt>
                <c:pt idx="9">
                  <c:v>30.9621428571429</c:v>
                </c:pt>
                <c:pt idx="10">
                  <c:v>32</c:v>
                </c:pt>
              </c:numCache>
            </c:numRef>
          </c:val>
        </c:ser>
        <c:ser>
          <c:idx val="33"/>
          <c:order val="33"/>
          <c:spPr>
            <a:solidFill>
              <a:srgbClr val="FF95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Cleaned_Data!$A$34:$L$34</c:f>
              <c:numCache>
                <c:formatCode>General</c:formatCode>
                <c:ptCount val="12"/>
                <c:pt idx="4">
                  <c:v>57780</c:v>
                </c:pt>
                <c:pt idx="5">
                  <c:v>135000</c:v>
                </c:pt>
                <c:pt idx="7">
                  <c:v>50</c:v>
                </c:pt>
                <c:pt idx="9">
                  <c:v>42.8</c:v>
                </c:pt>
                <c:pt idx="10">
                  <c:v>32</c:v>
                </c:pt>
              </c:numCache>
            </c:numRef>
          </c:val>
        </c:ser>
        <c:ser>
          <c:idx val="34"/>
          <c:order val="34"/>
          <c:spPr>
            <a:solidFill>
              <a:srgbClr val="C500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Cleaned_Data!$A$35:$L$35</c:f>
              <c:numCache>
                <c:formatCode>General</c:formatCode>
                <c:ptCount val="12"/>
                <c:pt idx="4">
                  <c:v>37004</c:v>
                </c:pt>
                <c:pt idx="5">
                  <c:v>135000</c:v>
                </c:pt>
                <c:pt idx="7">
                  <c:v>33</c:v>
                </c:pt>
                <c:pt idx="9">
                  <c:v>27.4103703703704</c:v>
                </c:pt>
                <c:pt idx="10">
                  <c:v>32</c:v>
                </c:pt>
              </c:numCache>
            </c:numRef>
          </c:val>
        </c:ser>
        <c:ser>
          <c:idx val="35"/>
          <c:order val="35"/>
          <c:spPr>
            <a:solidFill>
              <a:srgbClr val="0084D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Cleaned_Data!$A$36:$L$36</c:f>
              <c:numCache>
                <c:formatCode>General</c:formatCode>
                <c:ptCount val="12"/>
                <c:pt idx="4">
                  <c:v>15297</c:v>
                </c:pt>
                <c:pt idx="5">
                  <c:v>140000</c:v>
                </c:pt>
                <c:pt idx="7">
                  <c:v>45</c:v>
                </c:pt>
                <c:pt idx="9">
                  <c:v>10.9264285714286</c:v>
                </c:pt>
                <c:pt idx="10">
                  <c:v>32</c:v>
                </c:pt>
              </c:numCache>
            </c:numRef>
          </c:val>
        </c:ser>
        <c:ser>
          <c:idx val="36"/>
          <c:order val="36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Cleaned_Data!$A$37:$L$37</c:f>
              <c:numCache>
                <c:formatCode>General</c:formatCode>
                <c:ptCount val="12"/>
                <c:pt idx="4">
                  <c:v>42367</c:v>
                </c:pt>
                <c:pt idx="5">
                  <c:v>140000</c:v>
                </c:pt>
                <c:pt idx="7">
                  <c:v>46</c:v>
                </c:pt>
                <c:pt idx="9">
                  <c:v>30.2621428571429</c:v>
                </c:pt>
                <c:pt idx="10">
                  <c:v>32</c:v>
                </c:pt>
              </c:numCache>
            </c:numRef>
          </c:val>
        </c:ser>
        <c:ser>
          <c:idx val="37"/>
          <c:order val="37"/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Cleaned_Data!$A$38:$L$38</c:f>
              <c:numCache>
                <c:formatCode>General</c:formatCode>
                <c:ptCount val="12"/>
                <c:pt idx="4">
                  <c:v>36160</c:v>
                </c:pt>
                <c:pt idx="5">
                  <c:v>120000</c:v>
                </c:pt>
                <c:pt idx="7">
                  <c:v>49</c:v>
                </c:pt>
                <c:pt idx="9">
                  <c:v>30.1333333333333</c:v>
                </c:pt>
                <c:pt idx="10">
                  <c:v>32</c:v>
                </c:pt>
              </c:numCache>
            </c:numRef>
          </c:val>
        </c:ser>
        <c:ser>
          <c:idx val="38"/>
          <c:order val="38"/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Cleaned_Data!$A$39:$L$39</c:f>
              <c:numCache>
                <c:formatCode>General</c:formatCode>
                <c:ptCount val="12"/>
                <c:pt idx="4">
                  <c:v>39532</c:v>
                </c:pt>
                <c:pt idx="5">
                  <c:v>145000</c:v>
                </c:pt>
                <c:pt idx="7">
                  <c:v>60</c:v>
                </c:pt>
                <c:pt idx="9">
                  <c:v>27.2634482758621</c:v>
                </c:pt>
                <c:pt idx="10">
                  <c:v>32</c:v>
                </c:pt>
              </c:numCache>
            </c:numRef>
          </c:val>
        </c:ser>
        <c:ser>
          <c:idx val="39"/>
          <c:order val="39"/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Cleaned_Data!$A$40:$L$40</c:f>
              <c:numCache>
                <c:formatCode>General</c:formatCode>
                <c:ptCount val="12"/>
                <c:pt idx="4">
                  <c:v>49695</c:v>
                </c:pt>
                <c:pt idx="5">
                  <c:v>160000</c:v>
                </c:pt>
                <c:pt idx="7">
                  <c:v>54</c:v>
                </c:pt>
                <c:pt idx="9">
                  <c:v>31.059375</c:v>
                </c:pt>
                <c:pt idx="10">
                  <c:v>32</c:v>
                </c:pt>
              </c:numCache>
            </c:numRef>
          </c:val>
        </c:ser>
        <c:ser>
          <c:idx val="40"/>
          <c:order val="40"/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Cleaned_Data!$A$41:$L$41</c:f>
              <c:numCache>
                <c:formatCode>General</c:formatCode>
                <c:ptCount val="12"/>
                <c:pt idx="4">
                  <c:v>33656</c:v>
                </c:pt>
                <c:pt idx="5">
                  <c:v>140000</c:v>
                </c:pt>
                <c:pt idx="7">
                  <c:v>34</c:v>
                </c:pt>
                <c:pt idx="9">
                  <c:v>24.04</c:v>
                </c:pt>
                <c:pt idx="10">
                  <c:v>32</c:v>
                </c:pt>
              </c:numCache>
            </c:numRef>
          </c:val>
        </c:ser>
        <c:ser>
          <c:idx val="41"/>
          <c:order val="41"/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Cleaned_Data!$A$42:$L$42</c:f>
              <c:numCache>
                <c:formatCode>General</c:formatCode>
                <c:ptCount val="12"/>
                <c:pt idx="4">
                  <c:v>63495</c:v>
                </c:pt>
                <c:pt idx="5">
                  <c:v>130000</c:v>
                </c:pt>
                <c:pt idx="7">
                  <c:v>44</c:v>
                </c:pt>
                <c:pt idx="9">
                  <c:v>48.8423076923077</c:v>
                </c:pt>
                <c:pt idx="10">
                  <c:v>32</c:v>
                </c:pt>
              </c:numCache>
            </c:numRef>
          </c:val>
        </c:ser>
        <c:ser>
          <c:idx val="42"/>
          <c:order val="42"/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Cleaned_Data!$A$43:$L$43</c:f>
              <c:numCache>
                <c:formatCode>General</c:formatCode>
                <c:ptCount val="12"/>
                <c:pt idx="4">
                  <c:v>66304</c:v>
                </c:pt>
                <c:pt idx="5">
                  <c:v>150000</c:v>
                </c:pt>
                <c:pt idx="7">
                  <c:v>48</c:v>
                </c:pt>
                <c:pt idx="9">
                  <c:v>44.2026666666667</c:v>
                </c:pt>
                <c:pt idx="10">
                  <c:v>32</c:v>
                </c:pt>
              </c:numCache>
            </c:numRef>
          </c:val>
        </c:ser>
        <c:ser>
          <c:idx val="43"/>
          <c:order val="43"/>
          <c:spPr>
            <a:solidFill>
              <a:srgbClr val="AEC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Cleaned_Data!$A$44:$L$44</c:f>
              <c:numCache>
                <c:formatCode>General</c:formatCode>
                <c:ptCount val="12"/>
                <c:pt idx="4">
                  <c:v>74026</c:v>
                </c:pt>
                <c:pt idx="5">
                  <c:v>110000</c:v>
                </c:pt>
                <c:pt idx="7">
                  <c:v>58</c:v>
                </c:pt>
                <c:pt idx="9">
                  <c:v>67.2963636363636</c:v>
                </c:pt>
                <c:pt idx="10">
                  <c:v>32</c:v>
                </c:pt>
              </c:numCache>
            </c:numRef>
          </c:val>
        </c:ser>
        <c:ser>
          <c:idx val="44"/>
          <c:order val="44"/>
          <c:spPr>
            <a:solidFill>
              <a:srgbClr val="4B1F6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Cleaned_Data!$A$45:$L$45</c:f>
              <c:numCache>
                <c:formatCode>General</c:formatCode>
                <c:ptCount val="12"/>
                <c:pt idx="4">
                  <c:v>24729</c:v>
                </c:pt>
                <c:pt idx="5">
                  <c:v>150000</c:v>
                </c:pt>
                <c:pt idx="7">
                  <c:v>32</c:v>
                </c:pt>
                <c:pt idx="9">
                  <c:v>16.486</c:v>
                </c:pt>
                <c:pt idx="10">
                  <c:v>32</c:v>
                </c:pt>
              </c:numCache>
            </c:numRef>
          </c:val>
        </c:ser>
        <c:ser>
          <c:idx val="45"/>
          <c:order val="45"/>
          <c:spPr>
            <a:solidFill>
              <a:srgbClr val="FF95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Cleaned_Data!$A$46:$L$46</c:f>
              <c:numCache>
                <c:formatCode>General</c:formatCode>
                <c:ptCount val="12"/>
                <c:pt idx="4">
                  <c:v>20437</c:v>
                </c:pt>
                <c:pt idx="5">
                  <c:v>110000</c:v>
                </c:pt>
                <c:pt idx="7">
                  <c:v>42</c:v>
                </c:pt>
                <c:pt idx="9">
                  <c:v>18.5790909090909</c:v>
                </c:pt>
                <c:pt idx="10">
                  <c:v>32</c:v>
                </c:pt>
              </c:numCache>
            </c:numRef>
          </c:val>
        </c:ser>
        <c:ser>
          <c:idx val="46"/>
          <c:order val="46"/>
          <c:spPr>
            <a:solidFill>
              <a:srgbClr val="C500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Cleaned_Data!$A$47:$L$47</c:f>
              <c:numCache>
                <c:formatCode>General</c:formatCode>
                <c:ptCount val="12"/>
                <c:pt idx="4">
                  <c:v>17801</c:v>
                </c:pt>
                <c:pt idx="5">
                  <c:v>110000</c:v>
                </c:pt>
                <c:pt idx="7">
                  <c:v>56</c:v>
                </c:pt>
                <c:pt idx="9">
                  <c:v>16.1827272727273</c:v>
                </c:pt>
                <c:pt idx="10">
                  <c:v>32</c:v>
                </c:pt>
              </c:numCache>
            </c:numRef>
          </c:val>
        </c:ser>
        <c:ser>
          <c:idx val="47"/>
          <c:order val="47"/>
          <c:spPr>
            <a:solidFill>
              <a:srgbClr val="0084D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Cleaned_Data!$A$48:$L$48</c:f>
              <c:numCache>
                <c:formatCode>General</c:formatCode>
                <c:ptCount val="12"/>
                <c:pt idx="4">
                  <c:v>67639</c:v>
                </c:pt>
                <c:pt idx="5">
                  <c:v>180000</c:v>
                </c:pt>
                <c:pt idx="7">
                  <c:v>44</c:v>
                </c:pt>
                <c:pt idx="9">
                  <c:v>37.5772222222222</c:v>
                </c:pt>
                <c:pt idx="10">
                  <c:v>32</c:v>
                </c:pt>
              </c:numCache>
            </c:numRef>
          </c:val>
        </c:ser>
        <c:ser>
          <c:idx val="48"/>
          <c:order val="48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Cleaned_Data!$A$49:$L$49</c:f>
              <c:numCache>
                <c:formatCode>General</c:formatCode>
                <c:ptCount val="12"/>
                <c:pt idx="4">
                  <c:v>74681</c:v>
                </c:pt>
                <c:pt idx="5">
                  <c:v>135000</c:v>
                </c:pt>
                <c:pt idx="7">
                  <c:v>42</c:v>
                </c:pt>
                <c:pt idx="9">
                  <c:v>55.3192592592593</c:v>
                </c:pt>
                <c:pt idx="10">
                  <c:v>32</c:v>
                </c:pt>
              </c:numCache>
            </c:numRef>
          </c:val>
        </c:ser>
        <c:ser>
          <c:idx val="49"/>
          <c:order val="49"/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Cleaned_Data!$A$50:$L$50</c:f>
              <c:numCache>
                <c:formatCode>General</c:formatCode>
                <c:ptCount val="12"/>
                <c:pt idx="4">
                  <c:v>55036</c:v>
                </c:pt>
                <c:pt idx="5">
                  <c:v>130000</c:v>
                </c:pt>
                <c:pt idx="7">
                  <c:v>33</c:v>
                </c:pt>
                <c:pt idx="9">
                  <c:v>42.3353846153846</c:v>
                </c:pt>
                <c:pt idx="10">
                  <c:v>32</c:v>
                </c:pt>
              </c:numCache>
            </c:numRef>
          </c:val>
        </c:ser>
        <c:ser>
          <c:idx val="50"/>
          <c:order val="50"/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Cleaned_Data!$A$51:$L$51</c:f>
              <c:numCache>
                <c:formatCode>General</c:formatCode>
                <c:ptCount val="12"/>
                <c:pt idx="4">
                  <c:v>22692</c:v>
                </c:pt>
                <c:pt idx="5">
                  <c:v>130000</c:v>
                </c:pt>
                <c:pt idx="7">
                  <c:v>54</c:v>
                </c:pt>
                <c:pt idx="9">
                  <c:v>17.4553846153846</c:v>
                </c:pt>
                <c:pt idx="10">
                  <c:v>32</c:v>
                </c:pt>
              </c:numCache>
            </c:numRef>
          </c:val>
        </c:ser>
        <c:ser>
          <c:idx val="51"/>
          <c:order val="51"/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Cleaned_Data!$A$52:$L$52</c:f>
              <c:numCache>
                <c:formatCode>General</c:formatCode>
                <c:ptCount val="12"/>
                <c:pt idx="4">
                  <c:v>74518</c:v>
                </c:pt>
                <c:pt idx="5">
                  <c:v>130000</c:v>
                </c:pt>
                <c:pt idx="7">
                  <c:v>58</c:v>
                </c:pt>
                <c:pt idx="9">
                  <c:v>57.3215384615385</c:v>
                </c:pt>
                <c:pt idx="10">
                  <c:v>32</c:v>
                </c:pt>
              </c:numCache>
            </c:numRef>
          </c:val>
        </c:ser>
        <c:ser>
          <c:idx val="52"/>
          <c:order val="52"/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Cleaned_Data!$A$53:$L$53</c:f>
              <c:numCache>
                <c:formatCode>General</c:formatCode>
                <c:ptCount val="12"/>
                <c:pt idx="4">
                  <c:v>67835</c:v>
                </c:pt>
                <c:pt idx="5">
                  <c:v>120000</c:v>
                </c:pt>
                <c:pt idx="7">
                  <c:v>46</c:v>
                </c:pt>
                <c:pt idx="9">
                  <c:v>56.5291666666667</c:v>
                </c:pt>
                <c:pt idx="10">
                  <c:v>32</c:v>
                </c:pt>
              </c:numCache>
            </c:numRef>
          </c:val>
        </c:ser>
        <c:ser>
          <c:idx val="53"/>
          <c:order val="53"/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Cleaned_Data!$A$54:$L$54</c:f>
              <c:numCache>
                <c:formatCode>General</c:formatCode>
                <c:ptCount val="12"/>
                <c:pt idx="4">
                  <c:v>44981</c:v>
                </c:pt>
                <c:pt idx="5">
                  <c:v>120000</c:v>
                </c:pt>
                <c:pt idx="7">
                  <c:v>35</c:v>
                </c:pt>
                <c:pt idx="9">
                  <c:v>37.4841666666667</c:v>
                </c:pt>
                <c:pt idx="10">
                  <c:v>32</c:v>
                </c:pt>
              </c:numCache>
            </c:numRef>
          </c:val>
        </c:ser>
        <c:ser>
          <c:idx val="54"/>
          <c:order val="54"/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Cleaned_Data!$A$55:$L$55</c:f>
              <c:numCache>
                <c:formatCode>General</c:formatCode>
                <c:ptCount val="12"/>
                <c:pt idx="4">
                  <c:v>37651</c:v>
                </c:pt>
                <c:pt idx="5">
                  <c:v>130000</c:v>
                </c:pt>
                <c:pt idx="7">
                  <c:v>49</c:v>
                </c:pt>
                <c:pt idx="9">
                  <c:v>28.9623076923077</c:v>
                </c:pt>
                <c:pt idx="10">
                  <c:v>32</c:v>
                </c:pt>
              </c:numCache>
            </c:numRef>
          </c:val>
        </c:ser>
        <c:ser>
          <c:idx val="55"/>
          <c:order val="55"/>
          <c:spPr>
            <a:solidFill>
              <a:srgbClr val="AEC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Cleaned_Data!$A$56:$L$56</c:f>
              <c:numCache>
                <c:formatCode>General</c:formatCode>
                <c:ptCount val="12"/>
                <c:pt idx="4">
                  <c:v>56457</c:v>
                </c:pt>
                <c:pt idx="5">
                  <c:v>150000</c:v>
                </c:pt>
                <c:pt idx="7">
                  <c:v>60</c:v>
                </c:pt>
                <c:pt idx="9">
                  <c:v>37.638</c:v>
                </c:pt>
                <c:pt idx="10">
                  <c:v>32</c:v>
                </c:pt>
              </c:numCache>
            </c:numRef>
          </c:val>
        </c:ser>
        <c:ser>
          <c:idx val="56"/>
          <c:order val="56"/>
          <c:spPr>
            <a:solidFill>
              <a:srgbClr val="4B1F6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Cleaned_Data!$A$57:$L$57</c:f>
              <c:numCache>
                <c:formatCode>General</c:formatCode>
                <c:ptCount val="12"/>
                <c:pt idx="4">
                  <c:v>45318</c:v>
                </c:pt>
                <c:pt idx="5">
                  <c:v>150000</c:v>
                </c:pt>
                <c:pt idx="7">
                  <c:v>32</c:v>
                </c:pt>
                <c:pt idx="9">
                  <c:v>30.212</c:v>
                </c:pt>
                <c:pt idx="10">
                  <c:v>32</c:v>
                </c:pt>
              </c:numCache>
            </c:numRef>
          </c:val>
        </c:ser>
        <c:ser>
          <c:idx val="57"/>
          <c:order val="57"/>
          <c:spPr>
            <a:solidFill>
              <a:srgbClr val="FF95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Cleaned_Data!$A$58:$L$58</c:f>
              <c:numCache>
                <c:formatCode>General</c:formatCode>
                <c:ptCount val="12"/>
                <c:pt idx="4">
                  <c:v>47898</c:v>
                </c:pt>
                <c:pt idx="5">
                  <c:v>180000</c:v>
                </c:pt>
                <c:pt idx="7">
                  <c:v>52</c:v>
                </c:pt>
                <c:pt idx="9">
                  <c:v>26.61</c:v>
                </c:pt>
                <c:pt idx="10">
                  <c:v>32</c:v>
                </c:pt>
              </c:numCache>
            </c:numRef>
          </c:val>
        </c:ser>
        <c:ser>
          <c:idx val="58"/>
          <c:order val="58"/>
          <c:spPr>
            <a:solidFill>
              <a:srgbClr val="C500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Cleaned_Data!$A$59:$L$59</c:f>
              <c:numCache>
                <c:formatCode>General</c:formatCode>
                <c:ptCount val="12"/>
                <c:pt idx="4">
                  <c:v>46327</c:v>
                </c:pt>
                <c:pt idx="5">
                  <c:v>120000</c:v>
                </c:pt>
                <c:pt idx="7">
                  <c:v>60</c:v>
                </c:pt>
                <c:pt idx="9">
                  <c:v>38.6058333333333</c:v>
                </c:pt>
                <c:pt idx="10">
                  <c:v>32</c:v>
                </c:pt>
              </c:numCache>
            </c:numRef>
          </c:val>
        </c:ser>
        <c:ser>
          <c:idx val="59"/>
          <c:order val="59"/>
          <c:spPr>
            <a:solidFill>
              <a:srgbClr val="0084D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Cleaned_Data!$A$60:$L$60</c:f>
              <c:numCache>
                <c:formatCode>General</c:formatCode>
                <c:ptCount val="12"/>
                <c:pt idx="4">
                  <c:v>35537</c:v>
                </c:pt>
                <c:pt idx="5">
                  <c:v>125000</c:v>
                </c:pt>
                <c:pt idx="7">
                  <c:v>55</c:v>
                </c:pt>
                <c:pt idx="9">
                  <c:v>28.4296</c:v>
                </c:pt>
                <c:pt idx="10">
                  <c:v>32</c:v>
                </c:pt>
              </c:numCache>
            </c:numRef>
          </c:val>
        </c:ser>
        <c:ser>
          <c:idx val="60"/>
          <c:order val="6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Cleaned_Data!$A$61:$L$61</c:f>
              <c:numCache>
                <c:formatCode>General</c:formatCode>
                <c:ptCount val="12"/>
                <c:pt idx="4">
                  <c:v>18433</c:v>
                </c:pt>
                <c:pt idx="5">
                  <c:v>130000</c:v>
                </c:pt>
                <c:pt idx="7">
                  <c:v>42</c:v>
                </c:pt>
                <c:pt idx="9">
                  <c:v>14.1792307692308</c:v>
                </c:pt>
                <c:pt idx="10">
                  <c:v>32</c:v>
                </c:pt>
              </c:numCache>
            </c:numRef>
          </c:val>
        </c:ser>
        <c:ser>
          <c:idx val="61"/>
          <c:order val="61"/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Cleaned_Data!$A$62:$L$62</c:f>
              <c:numCache>
                <c:formatCode>General</c:formatCode>
                <c:ptCount val="12"/>
                <c:pt idx="4">
                  <c:v>15309</c:v>
                </c:pt>
                <c:pt idx="5">
                  <c:v>135000</c:v>
                </c:pt>
                <c:pt idx="7">
                  <c:v>41</c:v>
                </c:pt>
                <c:pt idx="9">
                  <c:v>11.34</c:v>
                </c:pt>
                <c:pt idx="10">
                  <c:v>32</c:v>
                </c:pt>
              </c:numCache>
            </c:numRef>
          </c:val>
        </c:ser>
        <c:ser>
          <c:idx val="62"/>
          <c:order val="62"/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Cleaned_Data!$A$63:$L$63</c:f>
              <c:numCache>
                <c:formatCode>General</c:formatCode>
                <c:ptCount val="12"/>
                <c:pt idx="4">
                  <c:v>76918</c:v>
                </c:pt>
                <c:pt idx="5">
                  <c:v>120000</c:v>
                </c:pt>
                <c:pt idx="7">
                  <c:v>47</c:v>
                </c:pt>
                <c:pt idx="9">
                  <c:v>64.0983333333333</c:v>
                </c:pt>
                <c:pt idx="10">
                  <c:v>32</c:v>
                </c:pt>
              </c:numCache>
            </c:numRef>
          </c:val>
        </c:ser>
        <c:ser>
          <c:idx val="63"/>
          <c:order val="63"/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Cleaned_Data!$A$64:$L$64</c:f>
              <c:numCache>
                <c:formatCode>General</c:formatCode>
                <c:ptCount val="12"/>
                <c:pt idx="4">
                  <c:v>23352</c:v>
                </c:pt>
                <c:pt idx="5">
                  <c:v>120000</c:v>
                </c:pt>
                <c:pt idx="7">
                  <c:v>34</c:v>
                </c:pt>
                <c:pt idx="9">
                  <c:v>19.46</c:v>
                </c:pt>
                <c:pt idx="10">
                  <c:v>32</c:v>
                </c:pt>
              </c:numCache>
            </c:numRef>
          </c:val>
        </c:ser>
        <c:ser>
          <c:idx val="64"/>
          <c:order val="64"/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Cleaned_Data!$A$65:$L$65</c:f>
              <c:numCache>
                <c:formatCode>General</c:formatCode>
                <c:ptCount val="12"/>
                <c:pt idx="4">
                  <c:v>53781</c:v>
                </c:pt>
                <c:pt idx="5">
                  <c:v>110000</c:v>
                </c:pt>
                <c:pt idx="7">
                  <c:v>48</c:v>
                </c:pt>
                <c:pt idx="9">
                  <c:v>48.8918181818182</c:v>
                </c:pt>
                <c:pt idx="10">
                  <c:v>32</c:v>
                </c:pt>
              </c:numCache>
            </c:numRef>
          </c:val>
        </c:ser>
        <c:ser>
          <c:idx val="65"/>
          <c:order val="65"/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Cleaned_Data!$A$66:$L$66</c:f>
              <c:numCache>
                <c:formatCode>General</c:formatCode>
                <c:ptCount val="12"/>
                <c:pt idx="4">
                  <c:v>36385</c:v>
                </c:pt>
                <c:pt idx="5">
                  <c:v>125000</c:v>
                </c:pt>
                <c:pt idx="7">
                  <c:v>54</c:v>
                </c:pt>
                <c:pt idx="9">
                  <c:v>29.108</c:v>
                </c:pt>
                <c:pt idx="10">
                  <c:v>32</c:v>
                </c:pt>
              </c:numCache>
            </c:numRef>
          </c:val>
        </c:ser>
        <c:ser>
          <c:idx val="66"/>
          <c:order val="66"/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Cleaned_Data!$A$67:$L$67</c:f>
              <c:numCache>
                <c:formatCode>General</c:formatCode>
                <c:ptCount val="12"/>
                <c:pt idx="4">
                  <c:v>63898</c:v>
                </c:pt>
                <c:pt idx="5">
                  <c:v>150000</c:v>
                </c:pt>
                <c:pt idx="7">
                  <c:v>50</c:v>
                </c:pt>
                <c:pt idx="9">
                  <c:v>42.5986666666667</c:v>
                </c:pt>
                <c:pt idx="10">
                  <c:v>32</c:v>
                </c:pt>
              </c:numCache>
            </c:numRef>
          </c:val>
        </c:ser>
        <c:ser>
          <c:idx val="67"/>
          <c:order val="67"/>
          <c:spPr>
            <a:solidFill>
              <a:srgbClr val="AEC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Cleaned_Data!$A$68:$L$68</c:f>
              <c:numCache>
                <c:formatCode>General</c:formatCode>
                <c:ptCount val="12"/>
                <c:pt idx="4">
                  <c:v>35004</c:v>
                </c:pt>
                <c:pt idx="5">
                  <c:v>160000</c:v>
                </c:pt>
                <c:pt idx="7">
                  <c:v>56</c:v>
                </c:pt>
                <c:pt idx="9">
                  <c:v>21.8775</c:v>
                </c:pt>
                <c:pt idx="10">
                  <c:v>32</c:v>
                </c:pt>
              </c:numCache>
            </c:numRef>
          </c:val>
        </c:ser>
        <c:ser>
          <c:idx val="68"/>
          <c:order val="68"/>
          <c:spPr>
            <a:solidFill>
              <a:srgbClr val="4B1F6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Cleaned_Data!$A$69:$L$69</c:f>
              <c:numCache>
                <c:formatCode>General</c:formatCode>
                <c:ptCount val="12"/>
                <c:pt idx="4">
                  <c:v>18809</c:v>
                </c:pt>
                <c:pt idx="5">
                  <c:v>110000</c:v>
                </c:pt>
                <c:pt idx="7">
                  <c:v>40</c:v>
                </c:pt>
                <c:pt idx="9">
                  <c:v>17.0990909090909</c:v>
                </c:pt>
                <c:pt idx="10">
                  <c:v>32</c:v>
                </c:pt>
              </c:numCache>
            </c:numRef>
          </c:val>
        </c:ser>
        <c:ser>
          <c:idx val="69"/>
          <c:order val="69"/>
          <c:spPr>
            <a:solidFill>
              <a:srgbClr val="FF95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Cleaned_Data!$A$70:$L$70</c:f>
              <c:numCache>
                <c:formatCode>General</c:formatCode>
                <c:ptCount val="12"/>
                <c:pt idx="4">
                  <c:v>35123</c:v>
                </c:pt>
                <c:pt idx="5">
                  <c:v>180000</c:v>
                </c:pt>
                <c:pt idx="7">
                  <c:v>43</c:v>
                </c:pt>
                <c:pt idx="9">
                  <c:v>19.5127777777778</c:v>
                </c:pt>
                <c:pt idx="10">
                  <c:v>32</c:v>
                </c:pt>
              </c:numCache>
            </c:numRef>
          </c:val>
        </c:ser>
        <c:ser>
          <c:idx val="70"/>
          <c:order val="70"/>
          <c:spPr>
            <a:solidFill>
              <a:srgbClr val="C500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Cleaned_Data!$A$71:$L$71</c:f>
              <c:numCache>
                <c:formatCode>General</c:formatCode>
                <c:ptCount val="12"/>
                <c:pt idx="4">
                  <c:v>55919</c:v>
                </c:pt>
                <c:pt idx="5">
                  <c:v>180000</c:v>
                </c:pt>
                <c:pt idx="7">
                  <c:v>52</c:v>
                </c:pt>
                <c:pt idx="9">
                  <c:v>31.0661111111111</c:v>
                </c:pt>
                <c:pt idx="10">
                  <c:v>32</c:v>
                </c:pt>
              </c:numCache>
            </c:numRef>
          </c:val>
        </c:ser>
        <c:ser>
          <c:idx val="71"/>
          <c:order val="71"/>
          <c:spPr>
            <a:solidFill>
              <a:srgbClr val="0084D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Cleaned_Data!$A$72:$L$72</c:f>
              <c:numCache>
                <c:formatCode>General</c:formatCode>
                <c:ptCount val="12"/>
                <c:pt idx="4">
                  <c:v>68667</c:v>
                </c:pt>
                <c:pt idx="5">
                  <c:v>160000</c:v>
                </c:pt>
                <c:pt idx="7">
                  <c:v>60</c:v>
                </c:pt>
                <c:pt idx="9">
                  <c:v>42.916875</c:v>
                </c:pt>
                <c:pt idx="10">
                  <c:v>32</c:v>
                </c:pt>
              </c:numCache>
            </c:numRef>
          </c:val>
        </c:ser>
        <c:ser>
          <c:idx val="72"/>
          <c:order val="72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Cleaned_Data!$A$73:$L$73</c:f>
              <c:numCache>
                <c:formatCode>General</c:formatCode>
                <c:ptCount val="12"/>
                <c:pt idx="4">
                  <c:v>27489</c:v>
                </c:pt>
                <c:pt idx="5">
                  <c:v>150000</c:v>
                </c:pt>
                <c:pt idx="7">
                  <c:v>56</c:v>
                </c:pt>
                <c:pt idx="9">
                  <c:v>18.326</c:v>
                </c:pt>
                <c:pt idx="10">
                  <c:v>32</c:v>
                </c:pt>
              </c:numCache>
            </c:numRef>
          </c:val>
        </c:ser>
        <c:ser>
          <c:idx val="73"/>
          <c:order val="73"/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Cleaned_Data!$A$74:$L$74</c:f>
              <c:numCache>
                <c:formatCode>General</c:formatCode>
                <c:ptCount val="12"/>
                <c:pt idx="4">
                  <c:v>44876</c:v>
                </c:pt>
                <c:pt idx="5">
                  <c:v>135000</c:v>
                </c:pt>
                <c:pt idx="7">
                  <c:v>47</c:v>
                </c:pt>
                <c:pt idx="9">
                  <c:v>33.2414814814815</c:v>
                </c:pt>
                <c:pt idx="10">
                  <c:v>32</c:v>
                </c:pt>
              </c:numCache>
            </c:numRef>
          </c:val>
        </c:ser>
        <c:ser>
          <c:idx val="74"/>
          <c:order val="74"/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Cleaned_Data!$A$75:$L$75</c:f>
              <c:numCache>
                <c:formatCode>General</c:formatCode>
                <c:ptCount val="12"/>
                <c:pt idx="4">
                  <c:v>45634</c:v>
                </c:pt>
                <c:pt idx="5">
                  <c:v>140000</c:v>
                </c:pt>
                <c:pt idx="7">
                  <c:v>58</c:v>
                </c:pt>
                <c:pt idx="9">
                  <c:v>32.5957142857143</c:v>
                </c:pt>
                <c:pt idx="10">
                  <c:v>32</c:v>
                </c:pt>
              </c:numCache>
            </c:numRef>
          </c:val>
        </c:ser>
        <c:ser>
          <c:idx val="75"/>
          <c:order val="75"/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Cleaned_Data!$A$76:$L$76</c:f>
              <c:numCache>
                <c:formatCode>General</c:formatCode>
                <c:ptCount val="12"/>
                <c:pt idx="4">
                  <c:v>40513</c:v>
                </c:pt>
                <c:pt idx="5">
                  <c:v>125000</c:v>
                </c:pt>
                <c:pt idx="7">
                  <c:v>58</c:v>
                </c:pt>
                <c:pt idx="9">
                  <c:v>32.4104</c:v>
                </c:pt>
                <c:pt idx="10">
                  <c:v>32</c:v>
                </c:pt>
              </c:numCache>
            </c:numRef>
          </c:val>
        </c:ser>
        <c:ser>
          <c:idx val="76"/>
          <c:order val="76"/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Cleaned_Data!$A$77:$L$77</c:f>
              <c:numCache>
                <c:formatCode>General</c:formatCode>
                <c:ptCount val="12"/>
                <c:pt idx="4">
                  <c:v>75871</c:v>
                </c:pt>
                <c:pt idx="5">
                  <c:v>130000</c:v>
                </c:pt>
                <c:pt idx="7">
                  <c:v>36</c:v>
                </c:pt>
                <c:pt idx="9">
                  <c:v>58.3623076923077</c:v>
                </c:pt>
                <c:pt idx="10">
                  <c:v>32</c:v>
                </c:pt>
              </c:numCache>
            </c:numRef>
          </c:val>
        </c:ser>
        <c:ser>
          <c:idx val="77"/>
          <c:order val="77"/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Cleaned_Data!$A$78:$L$78</c:f>
              <c:numCache>
                <c:formatCode>General</c:formatCode>
                <c:ptCount val="12"/>
                <c:pt idx="4">
                  <c:v>20624</c:v>
                </c:pt>
                <c:pt idx="5">
                  <c:v>120000</c:v>
                </c:pt>
                <c:pt idx="7">
                  <c:v>59</c:v>
                </c:pt>
                <c:pt idx="9">
                  <c:v>17.1866666666667</c:v>
                </c:pt>
                <c:pt idx="10">
                  <c:v>32</c:v>
                </c:pt>
              </c:numCache>
            </c:numRef>
          </c:val>
        </c:ser>
        <c:ser>
          <c:idx val="78"/>
          <c:order val="78"/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Cleaned_Data!$A$79:$L$79</c:f>
              <c:numCache>
                <c:formatCode>General</c:formatCode>
                <c:ptCount val="12"/>
                <c:pt idx="4">
                  <c:v>42144</c:v>
                </c:pt>
                <c:pt idx="5">
                  <c:v>180000</c:v>
                </c:pt>
                <c:pt idx="7">
                  <c:v>50</c:v>
                </c:pt>
                <c:pt idx="9">
                  <c:v>23.4133333333333</c:v>
                </c:pt>
                <c:pt idx="10">
                  <c:v>32</c:v>
                </c:pt>
              </c:numCache>
            </c:numRef>
          </c:val>
        </c:ser>
        <c:ser>
          <c:idx val="79"/>
          <c:order val="79"/>
          <c:spPr>
            <a:solidFill>
              <a:srgbClr val="AEC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Cleaned_Data!$A$80:$L$80</c:f>
              <c:numCache>
                <c:formatCode>General</c:formatCode>
                <c:ptCount val="12"/>
                <c:pt idx="4">
                  <c:v>65434</c:v>
                </c:pt>
                <c:pt idx="5">
                  <c:v>110000</c:v>
                </c:pt>
                <c:pt idx="7">
                  <c:v>59</c:v>
                </c:pt>
                <c:pt idx="9">
                  <c:v>59.4854545454545</c:v>
                </c:pt>
                <c:pt idx="10">
                  <c:v>32</c:v>
                </c:pt>
              </c:numCache>
            </c:numRef>
          </c:val>
        </c:ser>
        <c:ser>
          <c:idx val="80"/>
          <c:order val="80"/>
          <c:spPr>
            <a:solidFill>
              <a:srgbClr val="4B1F6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Cleaned_Data!$A$81:$L$81</c:f>
              <c:numCache>
                <c:formatCode>General</c:formatCode>
                <c:ptCount val="12"/>
                <c:pt idx="4">
                  <c:v>39832</c:v>
                </c:pt>
                <c:pt idx="5">
                  <c:v>150000</c:v>
                </c:pt>
                <c:pt idx="7">
                  <c:v>54</c:v>
                </c:pt>
                <c:pt idx="9">
                  <c:v>26.5546666666667</c:v>
                </c:pt>
                <c:pt idx="10">
                  <c:v>32</c:v>
                </c:pt>
              </c:numCache>
            </c:numRef>
          </c:val>
        </c:ser>
        <c:ser>
          <c:idx val="81"/>
          <c:order val="81"/>
          <c:spPr>
            <a:solidFill>
              <a:srgbClr val="FF95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Cleaned_Data!$A$82:$L$82</c:f>
              <c:numCache>
                <c:formatCode>General</c:formatCode>
                <c:ptCount val="12"/>
                <c:pt idx="4">
                  <c:v>24935</c:v>
                </c:pt>
                <c:pt idx="5">
                  <c:v>120000</c:v>
                </c:pt>
                <c:pt idx="7">
                  <c:v>50</c:v>
                </c:pt>
                <c:pt idx="9">
                  <c:v>20.7791666666667</c:v>
                </c:pt>
                <c:pt idx="10">
                  <c:v>32</c:v>
                </c:pt>
              </c:numCache>
            </c:numRef>
          </c:val>
        </c:ser>
        <c:ser>
          <c:idx val="82"/>
          <c:order val="82"/>
          <c:spPr>
            <a:solidFill>
              <a:srgbClr val="C500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Cleaned_Data!$A$83:$L$83</c:f>
              <c:numCache>
                <c:formatCode>General</c:formatCode>
                <c:ptCount val="12"/>
                <c:pt idx="4">
                  <c:v>72994</c:v>
                </c:pt>
                <c:pt idx="5">
                  <c:v>125000</c:v>
                </c:pt>
                <c:pt idx="7">
                  <c:v>39</c:v>
                </c:pt>
                <c:pt idx="9">
                  <c:v>58.3952</c:v>
                </c:pt>
                <c:pt idx="10">
                  <c:v>32</c:v>
                </c:pt>
              </c:numCache>
            </c:numRef>
          </c:val>
        </c:ser>
        <c:ser>
          <c:idx val="83"/>
          <c:order val="83"/>
          <c:spPr>
            <a:solidFill>
              <a:srgbClr val="0084D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Cleaned_Data!$A$84:$L$84</c:f>
              <c:numCache>
                <c:formatCode>General</c:formatCode>
                <c:ptCount val="12"/>
                <c:pt idx="4">
                  <c:v>21180</c:v>
                </c:pt>
                <c:pt idx="5">
                  <c:v>130000</c:v>
                </c:pt>
                <c:pt idx="7">
                  <c:v>54</c:v>
                </c:pt>
                <c:pt idx="9">
                  <c:v>16.2923076923077</c:v>
                </c:pt>
                <c:pt idx="10">
                  <c:v>32</c:v>
                </c:pt>
              </c:numCache>
            </c:numRef>
          </c:val>
        </c:ser>
        <c:ser>
          <c:idx val="84"/>
          <c:order val="84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Cleaned_Data!$A$85:$L$85</c:f>
              <c:numCache>
                <c:formatCode>General</c:formatCode>
                <c:ptCount val="12"/>
                <c:pt idx="4">
                  <c:v>25649</c:v>
                </c:pt>
                <c:pt idx="5">
                  <c:v>150000</c:v>
                </c:pt>
                <c:pt idx="7">
                  <c:v>33</c:v>
                </c:pt>
                <c:pt idx="9">
                  <c:v>17.0993333333333</c:v>
                </c:pt>
                <c:pt idx="10">
                  <c:v>32</c:v>
                </c:pt>
              </c:numCache>
            </c:numRef>
          </c:val>
        </c:ser>
        <c:ser>
          <c:idx val="85"/>
          <c:order val="85"/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Cleaned_Data!$A$86:$L$86</c:f>
              <c:numCache>
                <c:formatCode>General</c:formatCode>
                <c:ptCount val="12"/>
                <c:pt idx="4">
                  <c:v>22558</c:v>
                </c:pt>
                <c:pt idx="5">
                  <c:v>125000</c:v>
                </c:pt>
                <c:pt idx="7">
                  <c:v>54</c:v>
                </c:pt>
                <c:pt idx="9">
                  <c:v>18.0464</c:v>
                </c:pt>
                <c:pt idx="10">
                  <c:v>32</c:v>
                </c:pt>
              </c:numCache>
            </c:numRef>
          </c:val>
        </c:ser>
        <c:ser>
          <c:idx val="86"/>
          <c:order val="86"/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Cleaned_Data!$A$87:$L$87</c:f>
              <c:numCache>
                <c:formatCode>General</c:formatCode>
                <c:ptCount val="12"/>
                <c:pt idx="4">
                  <c:v>21976</c:v>
                </c:pt>
                <c:pt idx="5">
                  <c:v>160000</c:v>
                </c:pt>
                <c:pt idx="7">
                  <c:v>53</c:v>
                </c:pt>
                <c:pt idx="9">
                  <c:v>13.735</c:v>
                </c:pt>
                <c:pt idx="10">
                  <c:v>32</c:v>
                </c:pt>
              </c:numCache>
            </c:numRef>
          </c:val>
        </c:ser>
        <c:ser>
          <c:idx val="87"/>
          <c:order val="87"/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Cleaned_Data!$A$88:$L$88</c:f>
              <c:numCache>
                <c:formatCode>General</c:formatCode>
                <c:ptCount val="12"/>
                <c:pt idx="4">
                  <c:v>61672</c:v>
                </c:pt>
                <c:pt idx="5">
                  <c:v>140000</c:v>
                </c:pt>
                <c:pt idx="7">
                  <c:v>48</c:v>
                </c:pt>
                <c:pt idx="9">
                  <c:v>44.0514285714286</c:v>
                </c:pt>
                <c:pt idx="10">
                  <c:v>32</c:v>
                </c:pt>
              </c:numCache>
            </c:numRef>
          </c:val>
        </c:ser>
        <c:ser>
          <c:idx val="88"/>
          <c:order val="88"/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Cleaned_Data!$A$89:$L$89</c:f>
              <c:numCache>
                <c:formatCode>General</c:formatCode>
                <c:ptCount val="12"/>
                <c:pt idx="4">
                  <c:v>17557</c:v>
                </c:pt>
                <c:pt idx="5">
                  <c:v>135000</c:v>
                </c:pt>
                <c:pt idx="7">
                  <c:v>48</c:v>
                </c:pt>
                <c:pt idx="9">
                  <c:v>13.0051851851852</c:v>
                </c:pt>
                <c:pt idx="10">
                  <c:v>32</c:v>
                </c:pt>
              </c:numCache>
            </c:numRef>
          </c:val>
        </c:ser>
        <c:ser>
          <c:idx val="89"/>
          <c:order val="89"/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Cleaned_Data!$A$90:$L$90</c:f>
              <c:numCache>
                <c:formatCode>General</c:formatCode>
                <c:ptCount val="12"/>
                <c:pt idx="4">
                  <c:v>32280</c:v>
                </c:pt>
                <c:pt idx="5">
                  <c:v>150000</c:v>
                </c:pt>
                <c:pt idx="7">
                  <c:v>34</c:v>
                </c:pt>
                <c:pt idx="9">
                  <c:v>21.52</c:v>
                </c:pt>
                <c:pt idx="10">
                  <c:v>32</c:v>
                </c:pt>
              </c:numCache>
            </c:numRef>
          </c:val>
        </c:ser>
        <c:ser>
          <c:idx val="90"/>
          <c:order val="90"/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Cleaned_Data!$A$91:$L$91</c:f>
              <c:numCache>
                <c:formatCode>General</c:formatCode>
                <c:ptCount val="12"/>
                <c:pt idx="4">
                  <c:v>35598</c:v>
                </c:pt>
                <c:pt idx="5">
                  <c:v>120000</c:v>
                </c:pt>
                <c:pt idx="7">
                  <c:v>47</c:v>
                </c:pt>
                <c:pt idx="9">
                  <c:v>29.665</c:v>
                </c:pt>
                <c:pt idx="10">
                  <c:v>32</c:v>
                </c:pt>
              </c:numCache>
            </c:numRef>
          </c:val>
        </c:ser>
        <c:ser>
          <c:idx val="91"/>
          <c:order val="91"/>
          <c:spPr>
            <a:solidFill>
              <a:srgbClr val="AEC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Cleaned_Data!$A$92:$L$92</c:f>
              <c:numCache>
                <c:formatCode>General</c:formatCode>
                <c:ptCount val="12"/>
                <c:pt idx="4">
                  <c:v>73832</c:v>
                </c:pt>
                <c:pt idx="5">
                  <c:v>130000</c:v>
                </c:pt>
                <c:pt idx="7">
                  <c:v>57</c:v>
                </c:pt>
                <c:pt idx="9">
                  <c:v>56.7938461538462</c:v>
                </c:pt>
                <c:pt idx="10">
                  <c:v>32</c:v>
                </c:pt>
              </c:numCache>
            </c:numRef>
          </c:val>
        </c:ser>
        <c:ser>
          <c:idx val="92"/>
          <c:order val="92"/>
          <c:spPr>
            <a:solidFill>
              <a:srgbClr val="4B1F6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Cleaned_Data!$A$93:$L$93</c:f>
              <c:numCache>
                <c:formatCode>General</c:formatCode>
                <c:ptCount val="12"/>
                <c:pt idx="4">
                  <c:v>76880</c:v>
                </c:pt>
                <c:pt idx="5">
                  <c:v>145000</c:v>
                </c:pt>
                <c:pt idx="7">
                  <c:v>38</c:v>
                </c:pt>
                <c:pt idx="9">
                  <c:v>53.0206896551724</c:v>
                </c:pt>
                <c:pt idx="10">
                  <c:v>32</c:v>
                </c:pt>
              </c:numCache>
            </c:numRef>
          </c:val>
        </c:ser>
        <c:ser>
          <c:idx val="93"/>
          <c:order val="93"/>
          <c:spPr>
            <a:solidFill>
              <a:srgbClr val="FF95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Cleaned_Data!$A$94:$L$94</c:f>
              <c:numCache>
                <c:formatCode>General</c:formatCode>
                <c:ptCount val="12"/>
                <c:pt idx="4">
                  <c:v>65178</c:v>
                </c:pt>
                <c:pt idx="5">
                  <c:v>180000</c:v>
                </c:pt>
                <c:pt idx="7">
                  <c:v>39</c:v>
                </c:pt>
                <c:pt idx="9">
                  <c:v>36.21</c:v>
                </c:pt>
                <c:pt idx="10">
                  <c:v>32</c:v>
                </c:pt>
              </c:numCache>
            </c:numRef>
          </c:val>
        </c:ser>
        <c:ser>
          <c:idx val="94"/>
          <c:order val="94"/>
          <c:spPr>
            <a:solidFill>
              <a:srgbClr val="C500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Cleaned_Data!$A$95:$L$95</c:f>
              <c:numCache>
                <c:formatCode>General</c:formatCode>
                <c:ptCount val="12"/>
                <c:pt idx="4">
                  <c:v>51532</c:v>
                </c:pt>
                <c:pt idx="5">
                  <c:v>150000</c:v>
                </c:pt>
                <c:pt idx="7">
                  <c:v>34</c:v>
                </c:pt>
                <c:pt idx="9">
                  <c:v>34.3546666666667</c:v>
                </c:pt>
                <c:pt idx="10">
                  <c:v>32</c:v>
                </c:pt>
              </c:numCache>
            </c:numRef>
          </c:val>
        </c:ser>
        <c:ser>
          <c:idx val="95"/>
          <c:order val="95"/>
          <c:spPr>
            <a:solidFill>
              <a:srgbClr val="0084D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Cleaned_Data!$A$96:$L$96</c:f>
              <c:numCache>
                <c:formatCode>General</c:formatCode>
                <c:ptCount val="12"/>
                <c:pt idx="4">
                  <c:v>15743</c:v>
                </c:pt>
                <c:pt idx="5">
                  <c:v>120000</c:v>
                </c:pt>
                <c:pt idx="7">
                  <c:v>52</c:v>
                </c:pt>
                <c:pt idx="9">
                  <c:v>13.1191666666667</c:v>
                </c:pt>
                <c:pt idx="10">
                  <c:v>32</c:v>
                </c:pt>
              </c:numCache>
            </c:numRef>
          </c:val>
        </c:ser>
        <c:ser>
          <c:idx val="96"/>
          <c:order val="96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Cleaned_Data!$A$97:$L$97</c:f>
              <c:numCache>
                <c:formatCode>General</c:formatCode>
                <c:ptCount val="12"/>
                <c:pt idx="4">
                  <c:v>62084</c:v>
                </c:pt>
                <c:pt idx="5">
                  <c:v>120000</c:v>
                </c:pt>
                <c:pt idx="7">
                  <c:v>43</c:v>
                </c:pt>
                <c:pt idx="9">
                  <c:v>51.7366666666667</c:v>
                </c:pt>
                <c:pt idx="10">
                  <c:v>32</c:v>
                </c:pt>
              </c:numCache>
            </c:numRef>
          </c:val>
        </c:ser>
        <c:ser>
          <c:idx val="97"/>
          <c:order val="97"/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Cleaned_Data!$A$98:$L$98</c:f>
              <c:numCache>
                <c:formatCode>General</c:formatCode>
                <c:ptCount val="12"/>
                <c:pt idx="4">
                  <c:v>16226</c:v>
                </c:pt>
                <c:pt idx="5">
                  <c:v>125000</c:v>
                </c:pt>
                <c:pt idx="7">
                  <c:v>39</c:v>
                </c:pt>
                <c:pt idx="9">
                  <c:v>12.9808</c:v>
                </c:pt>
                <c:pt idx="10">
                  <c:v>32</c:v>
                </c:pt>
              </c:numCache>
            </c:numRef>
          </c:val>
        </c:ser>
        <c:ser>
          <c:idx val="98"/>
          <c:order val="98"/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Cleaned_Data!$A$99:$L$99</c:f>
              <c:numCache>
                <c:formatCode>General</c:formatCode>
                <c:ptCount val="12"/>
                <c:pt idx="4">
                  <c:v>74633</c:v>
                </c:pt>
                <c:pt idx="5">
                  <c:v>160000</c:v>
                </c:pt>
                <c:pt idx="7">
                  <c:v>32</c:v>
                </c:pt>
                <c:pt idx="9">
                  <c:v>46.645625</c:v>
                </c:pt>
                <c:pt idx="10">
                  <c:v>32</c:v>
                </c:pt>
              </c:numCache>
            </c:numRef>
          </c:val>
        </c:ser>
        <c:ser>
          <c:idx val="99"/>
          <c:order val="99"/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Cleaned_Data!$A$100:$L$100</c:f>
              <c:numCache>
                <c:formatCode>General</c:formatCode>
                <c:ptCount val="12"/>
                <c:pt idx="4">
                  <c:v>20357</c:v>
                </c:pt>
                <c:pt idx="5">
                  <c:v>135000</c:v>
                </c:pt>
                <c:pt idx="7">
                  <c:v>51</c:v>
                </c:pt>
                <c:pt idx="9">
                  <c:v>15.0792592592593</c:v>
                </c:pt>
                <c:pt idx="10">
                  <c:v>32</c:v>
                </c:pt>
              </c:numCache>
            </c:numRef>
          </c:val>
        </c:ser>
        <c:ser>
          <c:idx val="100"/>
          <c:order val="100"/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Cleaned_Data!$A$101:$L$101</c:f>
              <c:numCache>
                <c:formatCode>General</c:formatCode>
                <c:ptCount val="12"/>
                <c:pt idx="4">
                  <c:v>19371</c:v>
                </c:pt>
                <c:pt idx="5">
                  <c:v>130000</c:v>
                </c:pt>
                <c:pt idx="7">
                  <c:v>54</c:v>
                </c:pt>
                <c:pt idx="9">
                  <c:v>14.9007692307692</c:v>
                </c:pt>
                <c:pt idx="10">
                  <c:v>32</c:v>
                </c:pt>
                <c:pt idx="11">
                  <c:v>32</c:v>
                </c:pt>
              </c:numCache>
            </c:numRef>
          </c:val>
        </c:ser>
        <c:gapWidth val="100"/>
        <c:overlap val="0"/>
        <c:axId val="63668870"/>
        <c:axId val="92659916"/>
      </c:barChart>
      <c:catAx>
        <c:axId val="6366887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2659916"/>
        <c:crosses val="autoZero"/>
        <c:auto val="1"/>
        <c:lblAlgn val="ctr"/>
        <c:lblOffset val="100"/>
        <c:noMultiLvlLbl val="0"/>
      </c:catAx>
      <c:valAx>
        <c:axId val="926599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366887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>Gender Vote Share
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</a:rPr>
              <a:t>Gender Vote Share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30"/>
      <c:rotY val="0"/>
      <c:rAngAx val="0"/>
      <c:perspective val="1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D9D9D9"/>
        </a:solidFill>
        <a:ln w="0">
          <a:noFill/>
        </a:ln>
      </c:spPr>
    </c:sideWall>
    <c:backWall>
      <c:spPr>
        <a:solidFill>
          <a:srgbClr val="D9D9D9"/>
        </a:solidFill>
        <a:ln w="0">
          <a:noFill/>
        </a:ln>
      </c:spPr>
    </c:backWall>
    <c:plotArea>
      <c:pie3DChart>
        <c:varyColors val="1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categories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2"/>
                <c:pt idx="0">
                  <c:v>2317882</c:v>
                </c:pt>
                <c:pt idx="1">
                  <c:v>2337803</c:v>
                </c:pt>
              </c:numCache>
            </c:numRef>
          </c:val>
        </c:ser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>Party vs Total Votes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299127544661404"/>
          <c:y val="0"/>
          <c:w val="0.877939343581221"/>
          <c:h val="0.647641769131951"/>
        </c:manualLayout>
      </c:layout>
      <c:barChart>
        <c:barDir val="col"/>
        <c:grouping val="clustered"/>
        <c:varyColors val="0"/>
        <c:axId val="80937798"/>
        <c:axId val="30696798"/>
      </c:barChart>
      <c:catAx>
        <c:axId val="80937798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sz="1800" b="0"/>
            </a:pPr>
          </a:p>
        </c:txPr>
        <c:crossAx val="30696798"/>
        <c:auto val="1"/>
        <c:lblAlgn val="ctr"/>
        <c:lblOffset val="100"/>
        <c:noMultiLvlLbl val="0"/>
      </c:catAx>
      <c:valAx>
        <c:axId val="30696798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sz="1800" b="0"/>
            </a:pPr>
          </a:p>
        </c:txPr>
        <c:crossAx val="80937798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551520</xdr:colOff>
      <xdr:row>39</xdr:row>
      <xdr:rowOff>182520</xdr:rowOff>
    </xdr:from>
    <xdr:to>
      <xdr:col>23</xdr:col>
      <xdr:colOff>290880</xdr:colOff>
      <xdr:row>56</xdr:row>
      <xdr:rowOff>182520</xdr:rowOff>
    </xdr:to>
    <xdr:graphicFrame>
      <xdr:nvGraphicFramePr>
        <xdr:cNvPr id="1" name=""/>
        <xdr:cNvGraphicFramePr/>
      </xdr:nvGraphicFramePr>
      <xdr:xfrm>
        <a:off x="10486080" y="7612200"/>
        <a:ext cx="575928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72360</xdr:colOff>
      <xdr:row>13</xdr:row>
      <xdr:rowOff>174600</xdr:rowOff>
    </xdr:from>
    <xdr:to>
      <xdr:col>22</xdr:col>
      <xdr:colOff>414000</xdr:colOff>
      <xdr:row>30</xdr:row>
      <xdr:rowOff>174240</xdr:rowOff>
    </xdr:to>
    <xdr:graphicFrame>
      <xdr:nvGraphicFramePr>
        <xdr:cNvPr id="2" name=""/>
        <xdr:cNvGraphicFramePr/>
      </xdr:nvGraphicFramePr>
      <xdr:xfrm>
        <a:off x="10006920" y="2651040"/>
        <a:ext cx="575964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230040</xdr:colOff>
      <xdr:row>6</xdr:row>
      <xdr:rowOff>23400</xdr:rowOff>
    </xdr:from>
    <xdr:to>
      <xdr:col>8</xdr:col>
      <xdr:colOff>107280</xdr:colOff>
      <xdr:row>23</xdr:row>
      <xdr:rowOff>132120</xdr:rowOff>
    </xdr:to>
    <xdr:graphicFrame>
      <xdr:nvGraphicFramePr>
        <xdr:cNvPr id="3" name=""/>
        <xdr:cNvGraphicFramePr/>
      </xdr:nvGraphicFramePr>
      <xdr:xfrm>
        <a:off x="1855800" y="1074960"/>
        <a:ext cx="4753800" cy="3088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651600</xdr:colOff>
      <xdr:row>8</xdr:row>
      <xdr:rowOff>4680</xdr:rowOff>
    </xdr:from>
    <xdr:to>
      <xdr:col>8</xdr:col>
      <xdr:colOff>107280</xdr:colOff>
      <xdr:row>19</xdr:row>
      <xdr:rowOff>38160</xdr:rowOff>
    </xdr:to>
    <xdr:graphicFrame>
      <xdr:nvGraphicFramePr>
        <xdr:cNvPr id="4" name=""/>
        <xdr:cNvGraphicFramePr/>
      </xdr:nvGraphicFramePr>
      <xdr:xfrm>
        <a:off x="2277360" y="1406880"/>
        <a:ext cx="4332240" cy="196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0" createdVersion="3">
  <cacheSource type="worksheet">
    <worksheetSource ref="A1:K101" sheet="Cleaned_Data"/>
  </cacheSource>
  <cacheFields count="11">
    <cacheField name="Constituency" numFmtId="0">
      <sharedItems count="10">
        <s v="Bangalore South"/>
        <s v="Belgaum"/>
        <s v="Bellary"/>
        <s v="Bijapur"/>
        <s v="Davanagere"/>
        <s v="Hubli"/>
        <s v="Mangalore"/>
        <s v="Mysore"/>
        <s v="Shimoga"/>
        <s v="Tumkur"/>
      </sharedItems>
    </cacheField>
    <cacheField name="State" numFmtId="0">
      <sharedItems count="1">
        <s v="Karnataka"/>
      </sharedItems>
    </cacheField>
    <cacheField name="Party" numFmtId="0">
      <sharedItems count="4">
        <s v="ABC"/>
        <s v="LMN"/>
        <s v="PQR"/>
        <s v="XYZ"/>
      </sharedItems>
    </cacheField>
    <cacheField name="Candidate" numFmtId="0">
      <sharedItems count="20">
        <s v="Amit Shah"/>
        <s v="Anita Desai"/>
        <s v="Arjun Rao"/>
        <s v="Asha Patil"/>
        <s v="Divya Sharma"/>
        <s v="Kavya Rao"/>
        <s v="Kiran Gowda"/>
        <s v="Manoj Singh"/>
        <s v="Meera Iyer"/>
        <s v="Neha Joshi"/>
        <s v="Nisha Kulkarni"/>
        <s v="Pooja Verma"/>
        <s v="Prakash Patil"/>
        <s v="Priya Menon"/>
        <s v="Rahul Verma"/>
        <s v="Rajeev Nair"/>
        <s v="Ravi Kumar"/>
        <s v="Sneha Reddy"/>
        <s v="Suresh Naik"/>
        <s v="Vikram Joshi"/>
      </sharedItems>
    </cacheField>
    <cacheField name="Column E" numFmtId="0">
      <sharedItems containsString="0" containsBlank="1" containsNumber="1" containsInteger="1" minValue="15297" maxValue="79722" count="100">
        <n v="15297"/>
        <n v="15309"/>
        <n v="15743"/>
        <n v="15823"/>
        <n v="16226"/>
        <n v="17557"/>
        <n v="17801"/>
        <n v="18433"/>
        <n v="18809"/>
        <n v="19249"/>
        <n v="19371"/>
        <n v="20357"/>
        <n v="20437"/>
        <n v="20624"/>
        <n v="21180"/>
        <n v="21976"/>
        <n v="22558"/>
        <n v="22692"/>
        <n v="23352"/>
        <n v="24729"/>
        <n v="24935"/>
        <n v="25649"/>
        <n v="25902"/>
        <n v="26889"/>
        <n v="27489"/>
        <n v="27605"/>
        <n v="32097"/>
        <n v="32280"/>
        <n v="33656"/>
        <n v="33998"/>
        <n v="35004"/>
        <n v="35123"/>
        <n v="35537"/>
        <n v="35598"/>
        <n v="35634"/>
        <n v="36160"/>
        <n v="36385"/>
        <n v="36753"/>
        <n v="37004"/>
        <n v="37651"/>
        <n v="39532"/>
        <n v="39832"/>
        <n v="40513"/>
        <n v="42144"/>
        <n v="42367"/>
        <n v="43347"/>
        <n v="44876"/>
        <n v="44981"/>
        <n v="45318"/>
        <n v="45634"/>
        <n v="46327"/>
        <n v="46375"/>
        <n v="47898"/>
        <n v="49467"/>
        <n v="49695"/>
        <n v="50504"/>
        <n v="50587"/>
        <n v="51532"/>
        <n v="51711"/>
        <n v="53781"/>
        <n v="54842"/>
        <n v="55036"/>
        <n v="55420"/>
        <n v="55919"/>
        <n v="56457"/>
        <n v="57780"/>
        <n v="60999"/>
        <n v="61375"/>
        <n v="61672"/>
        <n v="61711"/>
        <n v="62084"/>
        <n v="63495"/>
        <n v="63898"/>
        <n v="64450"/>
        <n v="65178"/>
        <n v="65434"/>
        <n v="66304"/>
        <n v="67639"/>
        <n v="67835"/>
        <n v="68667"/>
        <n v="68797"/>
        <n v="68944"/>
        <n v="70248"/>
        <n v="70647"/>
        <n v="70727"/>
        <n v="72994"/>
        <n v="73832"/>
        <n v="73871"/>
        <n v="74026"/>
        <n v="74518"/>
        <n v="74633"/>
        <n v="74681"/>
        <n v="75871"/>
        <n v="76432"/>
        <n v="76608"/>
        <n v="76880"/>
        <n v="76918"/>
        <n v="78508"/>
        <n v="79722"/>
        <m/>
      </sharedItems>
    </cacheField>
    <cacheField name="Total_Votes" numFmtId="0">
      <sharedItems containsSemiMixedTypes="0" containsString="0" containsNumber="1" containsInteger="1" minValue="110000" maxValue="180000" count="10">
        <n v="110000"/>
        <n v="120000"/>
        <n v="125000"/>
        <n v="130000"/>
        <n v="135000"/>
        <n v="140000"/>
        <n v="145000"/>
        <n v="150000"/>
        <n v="160000"/>
        <n v="180000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32" maxValue="60" count="29"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</sharedItems>
    </cacheField>
    <cacheField name="Validation " numFmtId="0">
      <sharedItems count="1">
        <s v="Correct"/>
      </sharedItems>
    </cacheField>
    <cacheField name="Vote %" numFmtId="0">
      <sharedItems containsSemiMixedTypes="0" containsString="0" containsNumber="1" minValue="0" maxValue="67.2963636363636" count="100">
        <n v="0"/>
        <n v="10.9264285714286"/>
        <n v="11.34"/>
        <n v="12.1715384615385"/>
        <n v="12.9808"/>
        <n v="13.0051851851852"/>
        <n v="13.1191666666667"/>
        <n v="13.735"/>
        <n v="14.1792307692308"/>
        <n v="14.9007692307692"/>
        <n v="15.0792592592593"/>
        <n v="15.3992"/>
        <n v="16.1827272727273"/>
        <n v="16.2923076923077"/>
        <n v="16.486"/>
        <n v="17.0990909090909"/>
        <n v="17.0993333333333"/>
        <n v="17.1866666666667"/>
        <n v="17.4553846153846"/>
        <n v="17.8316666666667"/>
        <n v="17.8634482758621"/>
        <n v="18.0464"/>
        <n v="18.326"/>
        <n v="18.5790909090909"/>
        <n v="19.46"/>
        <n v="19.5127777777778"/>
        <n v="19.7178571428571"/>
        <n v="20.6838461538462"/>
        <n v="20.7791666666667"/>
        <n v="21.52"/>
        <n v="21.8775"/>
        <n v="23.4133333333333"/>
        <n v="23.756"/>
        <n v="24.04"/>
        <n v="25.1837037037037"/>
        <n v="26.5546666666667"/>
        <n v="26.61"/>
        <n v="27.2634482758621"/>
        <n v="27.4103703703704"/>
        <n v="28.4296"/>
        <n v="28.7283333333333"/>
        <n v="28.9623076923077"/>
        <n v="29.108"/>
        <n v="29.665"/>
        <n v="30.1333333333333"/>
        <n v="30.212"/>
        <n v="30.2621428571429"/>
        <n v="30.6275"/>
        <n v="30.9621428571429"/>
        <n v="31.059375"/>
        <n v="31.0661111111111"/>
        <n v="32.4104"/>
        <n v="32.5957142857143"/>
        <n v="33.125"/>
        <n v="33.2414814814815"/>
        <n v="33.8883333333333"/>
        <n v="34.3546666666667"/>
        <n v="34.6375"/>
        <n v="34.8875862068966"/>
        <n v="36.21"/>
        <n v="37.4841666666667"/>
        <n v="37.5772222222222"/>
        <n v="37.638"/>
        <n v="38.6058333333333"/>
        <n v="39.1728571428571"/>
        <n v="39.5736"/>
        <n v="42.3353846153846"/>
        <n v="42.5986666666667"/>
        <n v="42.8"/>
        <n v="42.916875"/>
        <n v="44.0514285714286"/>
        <n v="44.154375"/>
        <n v="44.2026666666667"/>
        <n v="45.9127272727273"/>
        <n v="46.169375"/>
        <n v="46.645625"/>
        <n v="47.5475862068966"/>
        <n v="48.8423076923077"/>
        <n v="48.8918181818182"/>
        <n v="49.1407142857143"/>
        <n v="49.82625"/>
        <n v="50.5192857142857"/>
        <n v="51.4258333333333"/>
        <n v="51.7366666666667"/>
        <n v="52.711724137931"/>
        <n v="53.0206896551724"/>
        <n v="53.7083333333333"/>
        <n v="55.3192592592593"/>
        <n v="55.7954545454546"/>
        <n v="56.1984"/>
        <n v="56.5291666666667"/>
        <n v="56.7938461538462"/>
        <n v="57.3215384615385"/>
        <n v="58.3623076923077"/>
        <n v="58.3952"/>
        <n v="59.4854545454545"/>
        <n v="62.8064"/>
        <n v="63.84"/>
        <n v="64.0983333333333"/>
        <n v="67.2963636363636"/>
      </sharedItems>
    </cacheField>
    <cacheField name="Winner " numFmtId="0">
      <sharedItems containsSemiMixedTypes="0" containsString="0" containsNumber="1" containsInteger="1" minValue="32" maxValue="32" count="1">
        <n v="3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3"/>
    <x v="0"/>
    <x v="99"/>
    <x v="1"/>
    <x v="1"/>
    <x v="24"/>
    <x v="0"/>
    <x v="0"/>
    <x v="0"/>
  </r>
  <r>
    <x v="1"/>
    <x v="0"/>
    <x v="3"/>
    <x v="10"/>
    <x v="51"/>
    <x v="5"/>
    <x v="0"/>
    <x v="0"/>
    <x v="0"/>
    <x v="53"/>
    <x v="0"/>
  </r>
  <r>
    <x v="6"/>
    <x v="0"/>
    <x v="0"/>
    <x v="0"/>
    <x v="98"/>
    <x v="8"/>
    <x v="1"/>
    <x v="9"/>
    <x v="0"/>
    <x v="80"/>
    <x v="0"/>
  </r>
  <r>
    <x v="1"/>
    <x v="0"/>
    <x v="2"/>
    <x v="3"/>
    <x v="80"/>
    <x v="5"/>
    <x v="0"/>
    <x v="3"/>
    <x v="0"/>
    <x v="79"/>
    <x v="0"/>
  </r>
  <r>
    <x v="8"/>
    <x v="0"/>
    <x v="0"/>
    <x v="10"/>
    <x v="82"/>
    <x v="2"/>
    <x v="0"/>
    <x v="5"/>
    <x v="0"/>
    <x v="89"/>
    <x v="0"/>
  </r>
  <r>
    <x v="2"/>
    <x v="0"/>
    <x v="0"/>
    <x v="14"/>
    <x v="56"/>
    <x v="6"/>
    <x v="1"/>
    <x v="22"/>
    <x v="0"/>
    <x v="58"/>
    <x v="0"/>
  </r>
  <r>
    <x v="1"/>
    <x v="0"/>
    <x v="3"/>
    <x v="1"/>
    <x v="84"/>
    <x v="5"/>
    <x v="0"/>
    <x v="28"/>
    <x v="0"/>
    <x v="81"/>
    <x v="0"/>
  </r>
  <r>
    <x v="6"/>
    <x v="0"/>
    <x v="1"/>
    <x v="15"/>
    <x v="62"/>
    <x v="8"/>
    <x v="1"/>
    <x v="27"/>
    <x v="0"/>
    <x v="57"/>
    <x v="0"/>
  </r>
  <r>
    <x v="9"/>
    <x v="0"/>
    <x v="2"/>
    <x v="7"/>
    <x v="55"/>
    <x v="0"/>
    <x v="1"/>
    <x v="16"/>
    <x v="0"/>
    <x v="73"/>
    <x v="0"/>
  </r>
  <r>
    <x v="8"/>
    <x v="0"/>
    <x v="0"/>
    <x v="17"/>
    <x v="9"/>
    <x v="2"/>
    <x v="0"/>
    <x v="16"/>
    <x v="0"/>
    <x v="11"/>
    <x v="0"/>
  </r>
  <r>
    <x v="0"/>
    <x v="0"/>
    <x v="1"/>
    <x v="13"/>
    <x v="94"/>
    <x v="1"/>
    <x v="0"/>
    <x v="14"/>
    <x v="0"/>
    <x v="97"/>
    <x v="0"/>
  </r>
  <r>
    <x v="6"/>
    <x v="0"/>
    <x v="0"/>
    <x v="12"/>
    <x v="83"/>
    <x v="8"/>
    <x v="1"/>
    <x v="12"/>
    <x v="0"/>
    <x v="71"/>
    <x v="0"/>
  </r>
  <r>
    <x v="3"/>
    <x v="0"/>
    <x v="1"/>
    <x v="9"/>
    <x v="29"/>
    <x v="4"/>
    <x v="0"/>
    <x v="23"/>
    <x v="0"/>
    <x v="34"/>
    <x v="0"/>
  </r>
  <r>
    <x v="1"/>
    <x v="0"/>
    <x v="3"/>
    <x v="16"/>
    <x v="60"/>
    <x v="5"/>
    <x v="1"/>
    <x v="2"/>
    <x v="0"/>
    <x v="64"/>
    <x v="0"/>
  </r>
  <r>
    <x v="5"/>
    <x v="0"/>
    <x v="2"/>
    <x v="14"/>
    <x v="26"/>
    <x v="9"/>
    <x v="1"/>
    <x v="25"/>
    <x v="0"/>
    <x v="19"/>
    <x v="0"/>
  </r>
  <r>
    <x v="2"/>
    <x v="0"/>
    <x v="3"/>
    <x v="9"/>
    <x v="81"/>
    <x v="6"/>
    <x v="0"/>
    <x v="8"/>
    <x v="0"/>
    <x v="76"/>
    <x v="0"/>
  </r>
  <r>
    <x v="0"/>
    <x v="0"/>
    <x v="3"/>
    <x v="18"/>
    <x v="69"/>
    <x v="1"/>
    <x v="1"/>
    <x v="13"/>
    <x v="0"/>
    <x v="82"/>
    <x v="0"/>
  </r>
  <r>
    <x v="6"/>
    <x v="0"/>
    <x v="3"/>
    <x v="10"/>
    <x v="87"/>
    <x v="8"/>
    <x v="0"/>
    <x v="17"/>
    <x v="0"/>
    <x v="74"/>
    <x v="0"/>
  </r>
  <r>
    <x v="8"/>
    <x v="0"/>
    <x v="0"/>
    <x v="10"/>
    <x v="97"/>
    <x v="2"/>
    <x v="0"/>
    <x v="4"/>
    <x v="0"/>
    <x v="96"/>
    <x v="0"/>
  </r>
  <r>
    <x v="8"/>
    <x v="0"/>
    <x v="0"/>
    <x v="9"/>
    <x v="53"/>
    <x v="2"/>
    <x v="0"/>
    <x v="3"/>
    <x v="0"/>
    <x v="65"/>
    <x v="0"/>
  </r>
  <r>
    <x v="0"/>
    <x v="0"/>
    <x v="2"/>
    <x v="7"/>
    <x v="37"/>
    <x v="1"/>
    <x v="1"/>
    <x v="13"/>
    <x v="0"/>
    <x v="47"/>
    <x v="0"/>
  </r>
  <r>
    <x v="4"/>
    <x v="0"/>
    <x v="0"/>
    <x v="7"/>
    <x v="3"/>
    <x v="3"/>
    <x v="1"/>
    <x v="11"/>
    <x v="0"/>
    <x v="3"/>
    <x v="0"/>
  </r>
  <r>
    <x v="1"/>
    <x v="0"/>
    <x v="0"/>
    <x v="5"/>
    <x v="25"/>
    <x v="5"/>
    <x v="0"/>
    <x v="15"/>
    <x v="0"/>
    <x v="26"/>
    <x v="0"/>
  </r>
  <r>
    <x v="2"/>
    <x v="0"/>
    <x v="2"/>
    <x v="11"/>
    <x v="22"/>
    <x v="6"/>
    <x v="0"/>
    <x v="4"/>
    <x v="0"/>
    <x v="20"/>
    <x v="0"/>
  </r>
  <r>
    <x v="4"/>
    <x v="0"/>
    <x v="3"/>
    <x v="7"/>
    <x v="23"/>
    <x v="3"/>
    <x v="1"/>
    <x v="19"/>
    <x v="0"/>
    <x v="27"/>
    <x v="0"/>
  </r>
  <r>
    <x v="2"/>
    <x v="0"/>
    <x v="1"/>
    <x v="13"/>
    <x v="93"/>
    <x v="6"/>
    <x v="0"/>
    <x v="13"/>
    <x v="0"/>
    <x v="84"/>
    <x v="0"/>
  </r>
  <r>
    <x v="7"/>
    <x v="0"/>
    <x v="2"/>
    <x v="13"/>
    <x v="34"/>
    <x v="7"/>
    <x v="0"/>
    <x v="24"/>
    <x v="0"/>
    <x v="32"/>
    <x v="0"/>
  </r>
  <r>
    <x v="5"/>
    <x v="0"/>
    <x v="3"/>
    <x v="16"/>
    <x v="58"/>
    <x v="9"/>
    <x v="1"/>
    <x v="12"/>
    <x v="0"/>
    <x v="40"/>
    <x v="0"/>
  </r>
  <r>
    <x v="0"/>
    <x v="0"/>
    <x v="0"/>
    <x v="14"/>
    <x v="73"/>
    <x v="1"/>
    <x v="1"/>
    <x v="20"/>
    <x v="0"/>
    <x v="86"/>
    <x v="0"/>
  </r>
  <r>
    <x v="5"/>
    <x v="0"/>
    <x v="0"/>
    <x v="3"/>
    <x v="66"/>
    <x v="9"/>
    <x v="0"/>
    <x v="12"/>
    <x v="0"/>
    <x v="55"/>
    <x v="0"/>
  </r>
  <r>
    <x v="9"/>
    <x v="0"/>
    <x v="0"/>
    <x v="0"/>
    <x v="67"/>
    <x v="0"/>
    <x v="1"/>
    <x v="17"/>
    <x v="0"/>
    <x v="88"/>
    <x v="0"/>
  </r>
  <r>
    <x v="1"/>
    <x v="0"/>
    <x v="0"/>
    <x v="14"/>
    <x v="45"/>
    <x v="5"/>
    <x v="1"/>
    <x v="3"/>
    <x v="0"/>
    <x v="48"/>
    <x v="0"/>
  </r>
  <r>
    <x v="3"/>
    <x v="0"/>
    <x v="3"/>
    <x v="1"/>
    <x v="65"/>
    <x v="4"/>
    <x v="0"/>
    <x v="18"/>
    <x v="0"/>
    <x v="68"/>
    <x v="0"/>
  </r>
  <r>
    <x v="3"/>
    <x v="0"/>
    <x v="3"/>
    <x v="3"/>
    <x v="38"/>
    <x v="4"/>
    <x v="0"/>
    <x v="1"/>
    <x v="0"/>
    <x v="38"/>
    <x v="0"/>
  </r>
  <r>
    <x v="1"/>
    <x v="0"/>
    <x v="3"/>
    <x v="0"/>
    <x v="0"/>
    <x v="5"/>
    <x v="1"/>
    <x v="13"/>
    <x v="0"/>
    <x v="1"/>
    <x v="0"/>
  </r>
  <r>
    <x v="1"/>
    <x v="0"/>
    <x v="1"/>
    <x v="15"/>
    <x v="44"/>
    <x v="5"/>
    <x v="1"/>
    <x v="14"/>
    <x v="0"/>
    <x v="46"/>
    <x v="0"/>
  </r>
  <r>
    <x v="0"/>
    <x v="0"/>
    <x v="0"/>
    <x v="19"/>
    <x v="35"/>
    <x v="1"/>
    <x v="1"/>
    <x v="17"/>
    <x v="0"/>
    <x v="44"/>
    <x v="0"/>
  </r>
  <r>
    <x v="2"/>
    <x v="0"/>
    <x v="1"/>
    <x v="7"/>
    <x v="40"/>
    <x v="6"/>
    <x v="1"/>
    <x v="28"/>
    <x v="0"/>
    <x v="37"/>
    <x v="0"/>
  </r>
  <r>
    <x v="6"/>
    <x v="0"/>
    <x v="2"/>
    <x v="2"/>
    <x v="54"/>
    <x v="8"/>
    <x v="1"/>
    <x v="22"/>
    <x v="0"/>
    <x v="49"/>
    <x v="0"/>
  </r>
  <r>
    <x v="1"/>
    <x v="0"/>
    <x v="0"/>
    <x v="2"/>
    <x v="28"/>
    <x v="5"/>
    <x v="1"/>
    <x v="2"/>
    <x v="0"/>
    <x v="33"/>
    <x v="0"/>
  </r>
  <r>
    <x v="4"/>
    <x v="0"/>
    <x v="1"/>
    <x v="14"/>
    <x v="71"/>
    <x v="3"/>
    <x v="1"/>
    <x v="12"/>
    <x v="0"/>
    <x v="77"/>
    <x v="0"/>
  </r>
  <r>
    <x v="7"/>
    <x v="0"/>
    <x v="1"/>
    <x v="6"/>
    <x v="76"/>
    <x v="7"/>
    <x v="1"/>
    <x v="16"/>
    <x v="0"/>
    <x v="72"/>
    <x v="0"/>
  </r>
  <r>
    <x v="9"/>
    <x v="0"/>
    <x v="3"/>
    <x v="9"/>
    <x v="88"/>
    <x v="0"/>
    <x v="0"/>
    <x v="26"/>
    <x v="0"/>
    <x v="99"/>
    <x v="0"/>
  </r>
  <r>
    <x v="7"/>
    <x v="0"/>
    <x v="1"/>
    <x v="3"/>
    <x v="19"/>
    <x v="7"/>
    <x v="0"/>
    <x v="0"/>
    <x v="0"/>
    <x v="14"/>
    <x v="0"/>
  </r>
  <r>
    <x v="9"/>
    <x v="0"/>
    <x v="1"/>
    <x v="17"/>
    <x v="12"/>
    <x v="0"/>
    <x v="0"/>
    <x v="10"/>
    <x v="0"/>
    <x v="23"/>
    <x v="0"/>
  </r>
  <r>
    <x v="9"/>
    <x v="0"/>
    <x v="2"/>
    <x v="8"/>
    <x v="6"/>
    <x v="0"/>
    <x v="0"/>
    <x v="24"/>
    <x v="0"/>
    <x v="12"/>
    <x v="0"/>
  </r>
  <r>
    <x v="5"/>
    <x v="0"/>
    <x v="1"/>
    <x v="6"/>
    <x v="77"/>
    <x v="9"/>
    <x v="1"/>
    <x v="12"/>
    <x v="0"/>
    <x v="61"/>
    <x v="0"/>
  </r>
  <r>
    <x v="3"/>
    <x v="0"/>
    <x v="2"/>
    <x v="0"/>
    <x v="91"/>
    <x v="4"/>
    <x v="1"/>
    <x v="10"/>
    <x v="0"/>
    <x v="87"/>
    <x v="0"/>
  </r>
  <r>
    <x v="4"/>
    <x v="0"/>
    <x v="3"/>
    <x v="18"/>
    <x v="61"/>
    <x v="3"/>
    <x v="1"/>
    <x v="1"/>
    <x v="0"/>
    <x v="66"/>
    <x v="0"/>
  </r>
  <r>
    <x v="4"/>
    <x v="0"/>
    <x v="1"/>
    <x v="7"/>
    <x v="17"/>
    <x v="3"/>
    <x v="1"/>
    <x v="22"/>
    <x v="0"/>
    <x v="18"/>
    <x v="0"/>
  </r>
  <r>
    <x v="4"/>
    <x v="0"/>
    <x v="2"/>
    <x v="13"/>
    <x v="89"/>
    <x v="3"/>
    <x v="0"/>
    <x v="26"/>
    <x v="0"/>
    <x v="92"/>
    <x v="0"/>
  </r>
  <r>
    <x v="0"/>
    <x v="0"/>
    <x v="3"/>
    <x v="17"/>
    <x v="78"/>
    <x v="1"/>
    <x v="0"/>
    <x v="14"/>
    <x v="0"/>
    <x v="90"/>
    <x v="0"/>
  </r>
  <r>
    <x v="0"/>
    <x v="0"/>
    <x v="0"/>
    <x v="11"/>
    <x v="47"/>
    <x v="1"/>
    <x v="0"/>
    <x v="3"/>
    <x v="0"/>
    <x v="60"/>
    <x v="0"/>
  </r>
  <r>
    <x v="4"/>
    <x v="0"/>
    <x v="3"/>
    <x v="18"/>
    <x v="39"/>
    <x v="3"/>
    <x v="1"/>
    <x v="17"/>
    <x v="0"/>
    <x v="41"/>
    <x v="0"/>
  </r>
  <r>
    <x v="7"/>
    <x v="0"/>
    <x v="3"/>
    <x v="9"/>
    <x v="64"/>
    <x v="7"/>
    <x v="0"/>
    <x v="28"/>
    <x v="0"/>
    <x v="62"/>
    <x v="0"/>
  </r>
  <r>
    <x v="7"/>
    <x v="0"/>
    <x v="3"/>
    <x v="1"/>
    <x v="48"/>
    <x v="7"/>
    <x v="0"/>
    <x v="0"/>
    <x v="0"/>
    <x v="45"/>
    <x v="0"/>
  </r>
  <r>
    <x v="5"/>
    <x v="0"/>
    <x v="3"/>
    <x v="12"/>
    <x v="52"/>
    <x v="9"/>
    <x v="1"/>
    <x v="20"/>
    <x v="0"/>
    <x v="36"/>
    <x v="0"/>
  </r>
  <r>
    <x v="0"/>
    <x v="0"/>
    <x v="3"/>
    <x v="16"/>
    <x v="50"/>
    <x v="1"/>
    <x v="1"/>
    <x v="28"/>
    <x v="0"/>
    <x v="63"/>
    <x v="0"/>
  </r>
  <r>
    <x v="8"/>
    <x v="0"/>
    <x v="0"/>
    <x v="0"/>
    <x v="32"/>
    <x v="2"/>
    <x v="1"/>
    <x v="23"/>
    <x v="0"/>
    <x v="39"/>
    <x v="0"/>
  </r>
  <r>
    <x v="4"/>
    <x v="0"/>
    <x v="3"/>
    <x v="14"/>
    <x v="7"/>
    <x v="3"/>
    <x v="1"/>
    <x v="10"/>
    <x v="0"/>
    <x v="8"/>
    <x v="0"/>
  </r>
  <r>
    <x v="3"/>
    <x v="0"/>
    <x v="3"/>
    <x v="19"/>
    <x v="1"/>
    <x v="4"/>
    <x v="1"/>
    <x v="9"/>
    <x v="0"/>
    <x v="2"/>
    <x v="0"/>
  </r>
  <r>
    <x v="0"/>
    <x v="0"/>
    <x v="3"/>
    <x v="11"/>
    <x v="96"/>
    <x v="1"/>
    <x v="0"/>
    <x v="15"/>
    <x v="0"/>
    <x v="98"/>
    <x v="0"/>
  </r>
  <r>
    <x v="0"/>
    <x v="0"/>
    <x v="3"/>
    <x v="1"/>
    <x v="18"/>
    <x v="1"/>
    <x v="0"/>
    <x v="2"/>
    <x v="0"/>
    <x v="24"/>
    <x v="0"/>
  </r>
  <r>
    <x v="9"/>
    <x v="0"/>
    <x v="0"/>
    <x v="15"/>
    <x v="59"/>
    <x v="0"/>
    <x v="1"/>
    <x v="16"/>
    <x v="0"/>
    <x v="78"/>
    <x v="0"/>
  </r>
  <r>
    <x v="8"/>
    <x v="0"/>
    <x v="1"/>
    <x v="10"/>
    <x v="36"/>
    <x v="2"/>
    <x v="0"/>
    <x v="22"/>
    <x v="0"/>
    <x v="42"/>
    <x v="0"/>
  </r>
  <r>
    <x v="7"/>
    <x v="0"/>
    <x v="2"/>
    <x v="10"/>
    <x v="72"/>
    <x v="7"/>
    <x v="0"/>
    <x v="18"/>
    <x v="0"/>
    <x v="67"/>
    <x v="0"/>
  </r>
  <r>
    <x v="6"/>
    <x v="0"/>
    <x v="1"/>
    <x v="13"/>
    <x v="30"/>
    <x v="8"/>
    <x v="0"/>
    <x v="24"/>
    <x v="0"/>
    <x v="30"/>
    <x v="0"/>
  </r>
  <r>
    <x v="9"/>
    <x v="0"/>
    <x v="2"/>
    <x v="19"/>
    <x v="8"/>
    <x v="0"/>
    <x v="1"/>
    <x v="8"/>
    <x v="0"/>
    <x v="15"/>
    <x v="0"/>
  </r>
  <r>
    <x v="5"/>
    <x v="0"/>
    <x v="1"/>
    <x v="15"/>
    <x v="31"/>
    <x v="9"/>
    <x v="1"/>
    <x v="11"/>
    <x v="0"/>
    <x v="25"/>
    <x v="0"/>
  </r>
  <r>
    <x v="5"/>
    <x v="0"/>
    <x v="3"/>
    <x v="7"/>
    <x v="63"/>
    <x v="9"/>
    <x v="1"/>
    <x v="20"/>
    <x v="0"/>
    <x v="50"/>
    <x v="0"/>
  </r>
  <r>
    <x v="6"/>
    <x v="0"/>
    <x v="3"/>
    <x v="5"/>
    <x v="79"/>
    <x v="8"/>
    <x v="0"/>
    <x v="28"/>
    <x v="0"/>
    <x v="69"/>
    <x v="0"/>
  </r>
  <r>
    <x v="7"/>
    <x v="0"/>
    <x v="2"/>
    <x v="7"/>
    <x v="24"/>
    <x v="7"/>
    <x v="1"/>
    <x v="24"/>
    <x v="0"/>
    <x v="22"/>
    <x v="0"/>
  </r>
  <r>
    <x v="3"/>
    <x v="0"/>
    <x v="1"/>
    <x v="11"/>
    <x v="46"/>
    <x v="4"/>
    <x v="0"/>
    <x v="15"/>
    <x v="0"/>
    <x v="54"/>
    <x v="0"/>
  </r>
  <r>
    <x v="1"/>
    <x v="0"/>
    <x v="3"/>
    <x v="0"/>
    <x v="49"/>
    <x v="5"/>
    <x v="1"/>
    <x v="26"/>
    <x v="0"/>
    <x v="52"/>
    <x v="0"/>
  </r>
  <r>
    <x v="8"/>
    <x v="0"/>
    <x v="2"/>
    <x v="6"/>
    <x v="42"/>
    <x v="2"/>
    <x v="1"/>
    <x v="26"/>
    <x v="0"/>
    <x v="51"/>
    <x v="0"/>
  </r>
  <r>
    <x v="4"/>
    <x v="0"/>
    <x v="0"/>
    <x v="10"/>
    <x v="92"/>
    <x v="3"/>
    <x v="0"/>
    <x v="4"/>
    <x v="0"/>
    <x v="93"/>
    <x v="0"/>
  </r>
  <r>
    <x v="0"/>
    <x v="0"/>
    <x v="2"/>
    <x v="14"/>
    <x v="13"/>
    <x v="1"/>
    <x v="1"/>
    <x v="27"/>
    <x v="0"/>
    <x v="17"/>
    <x v="0"/>
  </r>
  <r>
    <x v="5"/>
    <x v="0"/>
    <x v="3"/>
    <x v="2"/>
    <x v="43"/>
    <x v="9"/>
    <x v="1"/>
    <x v="18"/>
    <x v="0"/>
    <x v="31"/>
    <x v="0"/>
  </r>
  <r>
    <x v="9"/>
    <x v="0"/>
    <x v="2"/>
    <x v="12"/>
    <x v="75"/>
    <x v="0"/>
    <x v="1"/>
    <x v="27"/>
    <x v="0"/>
    <x v="95"/>
    <x v="0"/>
  </r>
  <r>
    <x v="7"/>
    <x v="0"/>
    <x v="3"/>
    <x v="17"/>
    <x v="41"/>
    <x v="7"/>
    <x v="0"/>
    <x v="22"/>
    <x v="0"/>
    <x v="35"/>
    <x v="0"/>
  </r>
  <r>
    <x v="0"/>
    <x v="0"/>
    <x v="0"/>
    <x v="6"/>
    <x v="20"/>
    <x v="1"/>
    <x v="1"/>
    <x v="18"/>
    <x v="0"/>
    <x v="28"/>
    <x v="0"/>
  </r>
  <r>
    <x v="8"/>
    <x v="0"/>
    <x v="1"/>
    <x v="7"/>
    <x v="85"/>
    <x v="2"/>
    <x v="1"/>
    <x v="7"/>
    <x v="0"/>
    <x v="94"/>
    <x v="0"/>
  </r>
  <r>
    <x v="4"/>
    <x v="0"/>
    <x v="2"/>
    <x v="7"/>
    <x v="14"/>
    <x v="3"/>
    <x v="1"/>
    <x v="22"/>
    <x v="0"/>
    <x v="13"/>
    <x v="0"/>
  </r>
  <r>
    <x v="7"/>
    <x v="0"/>
    <x v="1"/>
    <x v="17"/>
    <x v="21"/>
    <x v="7"/>
    <x v="0"/>
    <x v="1"/>
    <x v="0"/>
    <x v="16"/>
    <x v="0"/>
  </r>
  <r>
    <x v="8"/>
    <x v="0"/>
    <x v="3"/>
    <x v="16"/>
    <x v="16"/>
    <x v="2"/>
    <x v="1"/>
    <x v="22"/>
    <x v="0"/>
    <x v="21"/>
    <x v="0"/>
  </r>
  <r>
    <x v="6"/>
    <x v="0"/>
    <x v="1"/>
    <x v="5"/>
    <x v="15"/>
    <x v="8"/>
    <x v="0"/>
    <x v="21"/>
    <x v="0"/>
    <x v="7"/>
    <x v="0"/>
  </r>
  <r>
    <x v="1"/>
    <x v="0"/>
    <x v="1"/>
    <x v="15"/>
    <x v="68"/>
    <x v="5"/>
    <x v="1"/>
    <x v="16"/>
    <x v="0"/>
    <x v="70"/>
    <x v="0"/>
  </r>
  <r>
    <x v="3"/>
    <x v="0"/>
    <x v="2"/>
    <x v="16"/>
    <x v="5"/>
    <x v="4"/>
    <x v="1"/>
    <x v="16"/>
    <x v="0"/>
    <x v="5"/>
    <x v="0"/>
  </r>
  <r>
    <x v="7"/>
    <x v="0"/>
    <x v="0"/>
    <x v="18"/>
    <x v="27"/>
    <x v="7"/>
    <x v="1"/>
    <x v="2"/>
    <x v="0"/>
    <x v="29"/>
    <x v="0"/>
  </r>
  <r>
    <x v="0"/>
    <x v="0"/>
    <x v="2"/>
    <x v="3"/>
    <x v="33"/>
    <x v="1"/>
    <x v="0"/>
    <x v="15"/>
    <x v="0"/>
    <x v="43"/>
    <x v="0"/>
  </r>
  <r>
    <x v="4"/>
    <x v="0"/>
    <x v="1"/>
    <x v="17"/>
    <x v="86"/>
    <x v="3"/>
    <x v="0"/>
    <x v="25"/>
    <x v="0"/>
    <x v="91"/>
    <x v="0"/>
  </r>
  <r>
    <x v="2"/>
    <x v="0"/>
    <x v="3"/>
    <x v="5"/>
    <x v="95"/>
    <x v="6"/>
    <x v="0"/>
    <x v="6"/>
    <x v="0"/>
    <x v="85"/>
    <x v="0"/>
  </r>
  <r>
    <x v="5"/>
    <x v="0"/>
    <x v="2"/>
    <x v="1"/>
    <x v="74"/>
    <x v="9"/>
    <x v="0"/>
    <x v="7"/>
    <x v="0"/>
    <x v="59"/>
    <x v="0"/>
  </r>
  <r>
    <x v="7"/>
    <x v="0"/>
    <x v="3"/>
    <x v="9"/>
    <x v="57"/>
    <x v="7"/>
    <x v="0"/>
    <x v="2"/>
    <x v="0"/>
    <x v="56"/>
    <x v="0"/>
  </r>
  <r>
    <x v="0"/>
    <x v="0"/>
    <x v="3"/>
    <x v="10"/>
    <x v="2"/>
    <x v="1"/>
    <x v="0"/>
    <x v="20"/>
    <x v="0"/>
    <x v="6"/>
    <x v="0"/>
  </r>
  <r>
    <x v="0"/>
    <x v="0"/>
    <x v="3"/>
    <x v="4"/>
    <x v="70"/>
    <x v="1"/>
    <x v="0"/>
    <x v="11"/>
    <x v="0"/>
    <x v="83"/>
    <x v="0"/>
  </r>
  <r>
    <x v="8"/>
    <x v="0"/>
    <x v="1"/>
    <x v="15"/>
    <x v="4"/>
    <x v="2"/>
    <x v="1"/>
    <x v="7"/>
    <x v="0"/>
    <x v="4"/>
    <x v="0"/>
  </r>
  <r>
    <x v="6"/>
    <x v="0"/>
    <x v="2"/>
    <x v="15"/>
    <x v="90"/>
    <x v="8"/>
    <x v="1"/>
    <x v="0"/>
    <x v="0"/>
    <x v="75"/>
    <x v="0"/>
  </r>
  <r>
    <x v="3"/>
    <x v="0"/>
    <x v="0"/>
    <x v="4"/>
    <x v="11"/>
    <x v="4"/>
    <x v="0"/>
    <x v="19"/>
    <x v="0"/>
    <x v="10"/>
    <x v="0"/>
  </r>
  <r>
    <x v="4"/>
    <x v="0"/>
    <x v="3"/>
    <x v="6"/>
    <x v="10"/>
    <x v="3"/>
    <x v="1"/>
    <x v="22"/>
    <x v="0"/>
    <x v="9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2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6" firstHeaderRow="1" firstDataRow="1" firstDataCol="1"/>
  <pivotFields count="11">
    <pivotField compact="0" showAll="0"/>
    <pivotField compact="0" showAll="0"/>
    <pivotField axis="axisRow" compact="0" outline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4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4" firstHeaderRow="1" firstDataRow="1" firstDataCol="1"/>
  <pivotFields count="11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6" firstHeaderRow="1" firstDataRow="1" firstDataCol="1"/>
  <pivotFields count="11">
    <pivotField compact="0" showAll="0"/>
    <pivotField compact="0" showAll="0"/>
    <pivotField axis="axisRow" compact="0" outline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C89" firstHeaderRow="1" firstDataRow="1" firstDataCol="2"/>
  <pivotFields count="11"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showAll="0"/>
    <pivotField compact="0" showAll="0"/>
    <pivotField axis="axisRow" compact="0" outline="0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0"/>
    <field x="3"/>
  </rowFields>
  <rowItems count="86">
    <i>
      <x/>
      <x/>
    </i>
    <i r="1">
      <x v="1"/>
    </i>
    <i r="1">
      <x v="3"/>
    </i>
    <i r="1">
      <x v="4"/>
    </i>
    <i r="1">
      <x v="6"/>
    </i>
    <i r="1">
      <x v="7"/>
    </i>
    <i r="1">
      <x v="10"/>
    </i>
    <i r="1">
      <x v="11"/>
    </i>
    <i r="1">
      <x v="13"/>
    </i>
    <i r="1">
      <x v="14"/>
    </i>
    <i r="1">
      <x v="16"/>
    </i>
    <i r="1">
      <x v="17"/>
    </i>
    <i r="1">
      <x v="18"/>
    </i>
    <i r="1">
      <x v="19"/>
    </i>
    <i>
      <x v="1"/>
      <x/>
    </i>
    <i r="1">
      <x v="1"/>
    </i>
    <i r="1">
      <x v="2"/>
    </i>
    <i r="1">
      <x v="3"/>
    </i>
    <i r="1">
      <x v="5"/>
    </i>
    <i r="1">
      <x v="10"/>
    </i>
    <i r="1">
      <x v="14"/>
    </i>
    <i r="1">
      <x v="15"/>
    </i>
    <i r="1">
      <x v="16"/>
    </i>
    <i>
      <x v="2"/>
      <x v="5"/>
    </i>
    <i r="1">
      <x v="7"/>
    </i>
    <i r="1">
      <x v="9"/>
    </i>
    <i r="1">
      <x v="11"/>
    </i>
    <i r="1">
      <x v="13"/>
    </i>
    <i r="1">
      <x v="14"/>
    </i>
    <i>
      <x v="3"/>
      <x/>
    </i>
    <i r="1">
      <x v="1"/>
    </i>
    <i r="1">
      <x v="3"/>
    </i>
    <i r="1">
      <x v="4"/>
    </i>
    <i r="1">
      <x v="9"/>
    </i>
    <i r="1">
      <x v="11"/>
    </i>
    <i r="1">
      <x v="16"/>
    </i>
    <i r="1">
      <x v="19"/>
    </i>
    <i>
      <x v="4"/>
      <x v="6"/>
    </i>
    <i r="1">
      <x v="7"/>
    </i>
    <i r="1">
      <x v="10"/>
    </i>
    <i r="1">
      <x v="13"/>
    </i>
    <i r="1">
      <x v="14"/>
    </i>
    <i r="1">
      <x v="17"/>
    </i>
    <i r="1">
      <x v="18"/>
    </i>
    <i>
      <x v="5"/>
      <x v="1"/>
    </i>
    <i r="1">
      <x v="2"/>
    </i>
    <i r="1">
      <x v="3"/>
    </i>
    <i r="1">
      <x v="6"/>
    </i>
    <i r="1">
      <x v="7"/>
    </i>
    <i r="1">
      <x v="12"/>
    </i>
    <i r="1">
      <x v="14"/>
    </i>
    <i r="1">
      <x v="15"/>
    </i>
    <i r="1">
      <x v="16"/>
    </i>
    <i>
      <x v="6"/>
      <x/>
    </i>
    <i r="1">
      <x v="2"/>
    </i>
    <i r="1">
      <x v="5"/>
    </i>
    <i r="1">
      <x v="10"/>
    </i>
    <i r="1">
      <x v="12"/>
    </i>
    <i r="1">
      <x v="13"/>
    </i>
    <i r="1">
      <x v="15"/>
    </i>
    <i>
      <x v="7"/>
      <x v="1"/>
    </i>
    <i r="1">
      <x v="3"/>
    </i>
    <i r="1">
      <x v="6"/>
    </i>
    <i r="1">
      <x v="7"/>
    </i>
    <i r="1">
      <x v="9"/>
    </i>
    <i r="1">
      <x v="10"/>
    </i>
    <i r="1">
      <x v="13"/>
    </i>
    <i r="1">
      <x v="17"/>
    </i>
    <i r="1">
      <x v="18"/>
    </i>
    <i>
      <x v="8"/>
      <x/>
    </i>
    <i r="1">
      <x v="6"/>
    </i>
    <i r="1">
      <x v="7"/>
    </i>
    <i r="1">
      <x v="9"/>
    </i>
    <i r="1">
      <x v="10"/>
    </i>
    <i r="1">
      <x v="15"/>
    </i>
    <i r="1">
      <x v="16"/>
    </i>
    <i r="1">
      <x v="17"/>
    </i>
    <i>
      <x v="9"/>
      <x/>
    </i>
    <i r="1">
      <x v="7"/>
    </i>
    <i r="1">
      <x v="8"/>
    </i>
    <i r="1">
      <x v="9"/>
    </i>
    <i r="1">
      <x v="12"/>
    </i>
    <i r="1">
      <x v="15"/>
    </i>
    <i r="1">
      <x v="17"/>
    </i>
    <i r="1">
      <x v="19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true" showOutlineSymbols="true" defaultGridColor="true" view="normal" topLeftCell="E19" colorId="64" zoomScale="100" zoomScaleNormal="100" zoomScalePageLayoutView="100" workbookViewId="0">
      <selection pane="topLeft" activeCell="Y31" activeCellId="0" sqref="Y3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4.85"/>
    <col collapsed="false" customWidth="true" hidden="false" outlineLevel="0" max="2" min="2" style="1" width="16.37"/>
    <col collapsed="false" customWidth="true" hidden="false" outlineLevel="0" max="4" min="4" style="1" width="14.63"/>
    <col collapsed="false" customWidth="true" hidden="false" outlineLevel="0" max="6" min="6" style="1" width="12.79"/>
    <col collapsed="false" customWidth="true" hidden="false" outlineLevel="0" max="9" min="9" style="1" width="13.9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n">
        <f aca="false">E2-F2</f>
        <v>-120000</v>
      </c>
      <c r="F1" s="2" t="s">
        <v>4</v>
      </c>
      <c r="G1" s="2" t="s">
        <v>5</v>
      </c>
      <c r="H1" s="2" t="s">
        <v>6</v>
      </c>
      <c r="I1" s="3" t="s">
        <v>7</v>
      </c>
      <c r="J1" s="4" t="s">
        <v>8</v>
      </c>
      <c r="K1" s="3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F2" s="1" t="n">
        <v>120000</v>
      </c>
      <c r="G2" s="1" t="s">
        <v>14</v>
      </c>
      <c r="H2" s="1" t="n">
        <v>56</v>
      </c>
      <c r="I2" s="1" t="str">
        <f aca="false">IF(COUNTIFS(A:A,A2,F:F,F2)=COUNTIF(A:A,A2),"Correct","Mismatch")</f>
        <v>Correct</v>
      </c>
      <c r="J2" s="1" t="n">
        <f aca="false">(E2/F2)*100</f>
        <v>0</v>
      </c>
      <c r="K2" s="1" t="n">
        <f aca="false">MIN(H:H)</f>
        <v>32</v>
      </c>
    </row>
    <row r="3" customFormat="false" ht="15" hidden="false" customHeight="false" outlineLevel="0" collapsed="false">
      <c r="A3" s="1" t="s">
        <v>15</v>
      </c>
      <c r="B3" s="1" t="s">
        <v>11</v>
      </c>
      <c r="C3" s="1" t="s">
        <v>12</v>
      </c>
      <c r="D3" s="1" t="s">
        <v>16</v>
      </c>
      <c r="E3" s="1" t="n">
        <v>46375</v>
      </c>
      <c r="F3" s="1" t="n">
        <v>140000</v>
      </c>
      <c r="G3" s="1" t="s">
        <v>17</v>
      </c>
      <c r="H3" s="1" t="n">
        <v>32</v>
      </c>
      <c r="I3" s="1" t="str">
        <f aca="false">IF(COUNTIFS(A:A,A3,F:F,F3)=COUNTIF(A:A,A3),"Correct","Mismatch")</f>
        <v>Correct</v>
      </c>
      <c r="J3" s="1" t="n">
        <f aca="false">(E3/F3)*100</f>
        <v>33.125</v>
      </c>
      <c r="K3" s="1" t="n">
        <f aca="false">MIN(H:H)</f>
        <v>32</v>
      </c>
    </row>
    <row r="4" customFormat="false" ht="15" hidden="false" customHeight="false" outlineLevel="0" collapsed="false">
      <c r="A4" s="1" t="s">
        <v>18</v>
      </c>
      <c r="B4" s="1" t="s">
        <v>11</v>
      </c>
      <c r="C4" s="1" t="s">
        <v>19</v>
      </c>
      <c r="D4" s="1" t="s">
        <v>13</v>
      </c>
      <c r="E4" s="1" t="n">
        <v>79722</v>
      </c>
      <c r="F4" s="1" t="n">
        <v>160000</v>
      </c>
      <c r="G4" s="1" t="s">
        <v>14</v>
      </c>
      <c r="H4" s="1" t="n">
        <v>41</v>
      </c>
      <c r="I4" s="1" t="str">
        <f aca="false">IF(COUNTIFS(A:A,A4,F:F,F4)=COUNTIF(A:A,A4),"Correct","Mismatch")</f>
        <v>Correct</v>
      </c>
      <c r="J4" s="1" t="n">
        <f aca="false">(E4/F4)*100</f>
        <v>49.82625</v>
      </c>
      <c r="K4" s="1" t="n">
        <f aca="false">MIN(H:H)</f>
        <v>32</v>
      </c>
    </row>
    <row r="5" customFormat="false" ht="15" hidden="false" customHeight="false" outlineLevel="0" collapsed="false">
      <c r="A5" s="1" t="s">
        <v>15</v>
      </c>
      <c r="B5" s="1" t="s">
        <v>11</v>
      </c>
      <c r="C5" s="1" t="s">
        <v>20</v>
      </c>
      <c r="D5" s="1" t="s">
        <v>21</v>
      </c>
      <c r="E5" s="1" t="n">
        <v>68797</v>
      </c>
      <c r="F5" s="1" t="n">
        <v>140000</v>
      </c>
      <c r="G5" s="1" t="s">
        <v>17</v>
      </c>
      <c r="H5" s="1" t="n">
        <v>35</v>
      </c>
      <c r="I5" s="1" t="str">
        <f aca="false">IF(COUNTIFS(A:A,A5,F:F,F5)=COUNTIF(A:A,A5),"Correct","Mismatch")</f>
        <v>Correct</v>
      </c>
      <c r="J5" s="1" t="n">
        <f aca="false">(E5/F5)*100</f>
        <v>49.1407142857143</v>
      </c>
      <c r="K5" s="1" t="n">
        <f aca="false">MIN(H:H)</f>
        <v>32</v>
      </c>
    </row>
    <row r="6" customFormat="false" ht="15" hidden="false" customHeight="false" outlineLevel="0" collapsed="false">
      <c r="A6" s="1" t="s">
        <v>22</v>
      </c>
      <c r="B6" s="1" t="s">
        <v>11</v>
      </c>
      <c r="C6" s="1" t="s">
        <v>19</v>
      </c>
      <c r="D6" s="1" t="s">
        <v>16</v>
      </c>
      <c r="E6" s="1" t="n">
        <v>70248</v>
      </c>
      <c r="F6" s="1" t="n">
        <v>125000</v>
      </c>
      <c r="G6" s="1" t="s">
        <v>17</v>
      </c>
      <c r="H6" s="1" t="n">
        <v>37</v>
      </c>
      <c r="I6" s="1" t="str">
        <f aca="false">IF(COUNTIFS(A:A,A6,F:F,F6)=COUNTIF(A:A,A6),"Correct","Mismatch")</f>
        <v>Correct</v>
      </c>
      <c r="J6" s="1" t="n">
        <f aca="false">(E6/F6)*100</f>
        <v>56.1984</v>
      </c>
      <c r="K6" s="1" t="n">
        <f aca="false">MIN(H:H)</f>
        <v>32</v>
      </c>
    </row>
    <row r="7" customFormat="false" ht="15" hidden="false" customHeight="false" outlineLevel="0" collapsed="false">
      <c r="A7" s="1" t="s">
        <v>23</v>
      </c>
      <c r="B7" s="1" t="s">
        <v>11</v>
      </c>
      <c r="C7" s="1" t="s">
        <v>19</v>
      </c>
      <c r="D7" s="1" t="s">
        <v>24</v>
      </c>
      <c r="E7" s="1" t="n">
        <v>50587</v>
      </c>
      <c r="F7" s="1" t="n">
        <v>145000</v>
      </c>
      <c r="G7" s="1" t="s">
        <v>14</v>
      </c>
      <c r="H7" s="1" t="n">
        <v>54</v>
      </c>
      <c r="I7" s="1" t="str">
        <f aca="false">IF(COUNTIFS(A:A,A7,F:F,F7)=COUNTIF(A:A,A7),"Correct","Mismatch")</f>
        <v>Correct</v>
      </c>
      <c r="J7" s="1" t="n">
        <f aca="false">(E7/F7)*100</f>
        <v>34.8875862068966</v>
      </c>
      <c r="K7" s="1" t="n">
        <f aca="false">MIN(H:H)</f>
        <v>32</v>
      </c>
    </row>
    <row r="8" customFormat="false" ht="15" hidden="false" customHeight="false" outlineLevel="0" collapsed="false">
      <c r="A8" s="1" t="s">
        <v>15</v>
      </c>
      <c r="B8" s="1" t="s">
        <v>11</v>
      </c>
      <c r="C8" s="1" t="s">
        <v>12</v>
      </c>
      <c r="D8" s="1" t="s">
        <v>25</v>
      </c>
      <c r="E8" s="1" t="n">
        <v>70727</v>
      </c>
      <c r="F8" s="1" t="n">
        <v>140000</v>
      </c>
      <c r="G8" s="1" t="s">
        <v>17</v>
      </c>
      <c r="H8" s="1" t="n">
        <v>60</v>
      </c>
      <c r="I8" s="1" t="str">
        <f aca="false">IF(COUNTIFS(A:A,A8,F:F,F8)=COUNTIF(A:A,A8),"Correct","Mismatch")</f>
        <v>Correct</v>
      </c>
      <c r="J8" s="1" t="n">
        <f aca="false">(E8/F8)*100</f>
        <v>50.5192857142857</v>
      </c>
      <c r="K8" s="1" t="n">
        <f aca="false">MIN(H:H)</f>
        <v>32</v>
      </c>
    </row>
    <row r="9" customFormat="false" ht="15" hidden="false" customHeight="false" outlineLevel="0" collapsed="false">
      <c r="A9" s="1" t="s">
        <v>18</v>
      </c>
      <c r="B9" s="1" t="s">
        <v>11</v>
      </c>
      <c r="C9" s="1" t="s">
        <v>26</v>
      </c>
      <c r="D9" s="1" t="s">
        <v>27</v>
      </c>
      <c r="E9" s="1" t="n">
        <v>55420</v>
      </c>
      <c r="F9" s="1" t="n">
        <v>160000</v>
      </c>
      <c r="G9" s="1" t="s">
        <v>14</v>
      </c>
      <c r="H9" s="1" t="n">
        <v>59</v>
      </c>
      <c r="I9" s="1" t="str">
        <f aca="false">IF(COUNTIFS(A:A,A9,F:F,F9)=COUNTIF(A:A,A9),"Correct","Mismatch")</f>
        <v>Correct</v>
      </c>
      <c r="J9" s="1" t="n">
        <f aca="false">(E9/F9)*100</f>
        <v>34.6375</v>
      </c>
      <c r="K9" s="1" t="n">
        <f aca="false">MIN(H:H)</f>
        <v>32</v>
      </c>
    </row>
    <row r="10" customFormat="false" ht="15" hidden="false" customHeight="false" outlineLevel="0" collapsed="false">
      <c r="A10" s="1" t="s">
        <v>28</v>
      </c>
      <c r="B10" s="1" t="s">
        <v>11</v>
      </c>
      <c r="C10" s="1" t="s">
        <v>20</v>
      </c>
      <c r="D10" s="1" t="s">
        <v>29</v>
      </c>
      <c r="E10" s="1" t="n">
        <v>50504</v>
      </c>
      <c r="F10" s="1" t="n">
        <v>110000</v>
      </c>
      <c r="G10" s="1" t="s">
        <v>14</v>
      </c>
      <c r="H10" s="1" t="n">
        <v>48</v>
      </c>
      <c r="I10" s="1" t="str">
        <f aca="false">IF(COUNTIFS(A:A,A10,F:F,F10)=COUNTIF(A:A,A10),"Correct","Mismatch")</f>
        <v>Correct</v>
      </c>
      <c r="J10" s="1" t="n">
        <f aca="false">(E10/F10)*100</f>
        <v>45.9127272727273</v>
      </c>
      <c r="K10" s="1" t="n">
        <f aca="false">MIN(H:H)</f>
        <v>32</v>
      </c>
    </row>
    <row r="11" customFormat="false" ht="15" hidden="false" customHeight="false" outlineLevel="0" collapsed="false">
      <c r="A11" s="1" t="s">
        <v>22</v>
      </c>
      <c r="B11" s="1" t="s">
        <v>11</v>
      </c>
      <c r="C11" s="1" t="s">
        <v>19</v>
      </c>
      <c r="D11" s="1" t="s">
        <v>30</v>
      </c>
      <c r="E11" s="1" t="n">
        <v>19249</v>
      </c>
      <c r="F11" s="1" t="n">
        <v>125000</v>
      </c>
      <c r="G11" s="1" t="s">
        <v>17</v>
      </c>
      <c r="H11" s="1" t="n">
        <v>48</v>
      </c>
      <c r="I11" s="1" t="str">
        <f aca="false">IF(COUNTIFS(A:A,A11,F:F,F11)=COUNTIF(A:A,A11),"Correct","Mismatch")</f>
        <v>Correct</v>
      </c>
      <c r="J11" s="1" t="n">
        <f aca="false">(E11/F11)*100</f>
        <v>15.3992</v>
      </c>
      <c r="K11" s="1" t="n">
        <f aca="false">MIN(H:H)</f>
        <v>32</v>
      </c>
    </row>
    <row r="12" customFormat="false" ht="15" hidden="false" customHeight="false" outlineLevel="0" collapsed="false">
      <c r="A12" s="1" t="s">
        <v>10</v>
      </c>
      <c r="B12" s="1" t="s">
        <v>11</v>
      </c>
      <c r="C12" s="1" t="s">
        <v>26</v>
      </c>
      <c r="D12" s="1" t="s">
        <v>31</v>
      </c>
      <c r="E12" s="1" t="n">
        <v>76608</v>
      </c>
      <c r="F12" s="1" t="n">
        <v>120000</v>
      </c>
      <c r="G12" s="1" t="s">
        <v>17</v>
      </c>
      <c r="H12" s="1" t="n">
        <v>46</v>
      </c>
      <c r="I12" s="1" t="str">
        <f aca="false">IF(COUNTIFS(A:A,A12,F:F,F12)=COUNTIF(A:A,A12),"Correct","Mismatch")</f>
        <v>Correct</v>
      </c>
      <c r="J12" s="1" t="n">
        <f aca="false">(E12/F12)*100</f>
        <v>63.84</v>
      </c>
      <c r="K12" s="1" t="n">
        <f aca="false">MIN(H:H)</f>
        <v>32</v>
      </c>
    </row>
    <row r="13" customFormat="false" ht="15" hidden="false" customHeight="false" outlineLevel="0" collapsed="false">
      <c r="A13" s="1" t="s">
        <v>18</v>
      </c>
      <c r="B13" s="1" t="s">
        <v>11</v>
      </c>
      <c r="C13" s="1" t="s">
        <v>19</v>
      </c>
      <c r="D13" s="1" t="s">
        <v>32</v>
      </c>
      <c r="E13" s="1" t="n">
        <v>70647</v>
      </c>
      <c r="F13" s="1" t="n">
        <v>160000</v>
      </c>
      <c r="G13" s="1" t="s">
        <v>14</v>
      </c>
      <c r="H13" s="1" t="n">
        <v>44</v>
      </c>
      <c r="I13" s="1" t="str">
        <f aca="false">IF(COUNTIFS(A:A,A13,F:F,F13)=COUNTIF(A:A,A13),"Correct","Mismatch")</f>
        <v>Correct</v>
      </c>
      <c r="J13" s="1" t="n">
        <f aca="false">(E13/F13)*100</f>
        <v>44.154375</v>
      </c>
      <c r="K13" s="1" t="n">
        <f aca="false">MIN(H:H)</f>
        <v>32</v>
      </c>
    </row>
    <row r="14" customFormat="false" ht="15" hidden="false" customHeight="false" outlineLevel="0" collapsed="false">
      <c r="A14" s="1" t="s">
        <v>33</v>
      </c>
      <c r="B14" s="1" t="s">
        <v>11</v>
      </c>
      <c r="C14" s="1" t="s">
        <v>26</v>
      </c>
      <c r="D14" s="1" t="s">
        <v>34</v>
      </c>
      <c r="E14" s="1" t="n">
        <v>33998</v>
      </c>
      <c r="F14" s="1" t="n">
        <v>135000</v>
      </c>
      <c r="G14" s="1" t="s">
        <v>17</v>
      </c>
      <c r="H14" s="1" t="n">
        <v>55</v>
      </c>
      <c r="I14" s="1" t="str">
        <f aca="false">IF(COUNTIFS(A:A,A14,F:F,F14)=COUNTIF(A:A,A14),"Correct","Mismatch")</f>
        <v>Correct</v>
      </c>
      <c r="J14" s="1" t="n">
        <f aca="false">(E14/F14)*100</f>
        <v>25.1837037037037</v>
      </c>
      <c r="K14" s="1" t="n">
        <f aca="false">MIN(H:H)</f>
        <v>32</v>
      </c>
    </row>
    <row r="15" customFormat="false" ht="15" hidden="false" customHeight="false" outlineLevel="0" collapsed="false">
      <c r="A15" s="1" t="s">
        <v>15</v>
      </c>
      <c r="B15" s="1" t="s">
        <v>11</v>
      </c>
      <c r="C15" s="1" t="s">
        <v>12</v>
      </c>
      <c r="D15" s="1" t="s">
        <v>35</v>
      </c>
      <c r="E15" s="1" t="n">
        <v>54842</v>
      </c>
      <c r="F15" s="1" t="n">
        <v>140000</v>
      </c>
      <c r="G15" s="1" t="s">
        <v>14</v>
      </c>
      <c r="H15" s="1" t="n">
        <v>34</v>
      </c>
      <c r="I15" s="1" t="str">
        <f aca="false">IF(COUNTIFS(A:A,A15,F:F,F15)=COUNTIF(A:A,A15),"Correct","Mismatch")</f>
        <v>Correct</v>
      </c>
      <c r="J15" s="1" t="n">
        <f aca="false">(E15/F15)*100</f>
        <v>39.1728571428571</v>
      </c>
      <c r="K15" s="1" t="n">
        <f aca="false">MIN(H:H)</f>
        <v>32</v>
      </c>
    </row>
    <row r="16" customFormat="false" ht="15" hidden="false" customHeight="false" outlineLevel="0" collapsed="false">
      <c r="A16" s="1" t="s">
        <v>36</v>
      </c>
      <c r="B16" s="1" t="s">
        <v>11</v>
      </c>
      <c r="C16" s="1" t="s">
        <v>20</v>
      </c>
      <c r="D16" s="1" t="s">
        <v>24</v>
      </c>
      <c r="E16" s="1" t="n">
        <v>32097</v>
      </c>
      <c r="F16" s="1" t="n">
        <v>180000</v>
      </c>
      <c r="G16" s="1" t="s">
        <v>14</v>
      </c>
      <c r="H16" s="1" t="n">
        <v>57</v>
      </c>
      <c r="I16" s="1" t="str">
        <f aca="false">IF(COUNTIFS(A:A,A16,F:F,F16)=COUNTIF(A:A,A16),"Correct","Mismatch")</f>
        <v>Correct</v>
      </c>
      <c r="J16" s="1" t="n">
        <f aca="false">(E16/F16)*100</f>
        <v>17.8316666666667</v>
      </c>
      <c r="K16" s="1" t="n">
        <f aca="false">MIN(H:H)</f>
        <v>32</v>
      </c>
    </row>
    <row r="17" customFormat="false" ht="15" hidden="false" customHeight="false" outlineLevel="0" collapsed="false">
      <c r="A17" s="1" t="s">
        <v>23</v>
      </c>
      <c r="B17" s="1" t="s">
        <v>11</v>
      </c>
      <c r="C17" s="1" t="s">
        <v>12</v>
      </c>
      <c r="D17" s="1" t="s">
        <v>34</v>
      </c>
      <c r="E17" s="1" t="n">
        <v>68944</v>
      </c>
      <c r="F17" s="1" t="n">
        <v>145000</v>
      </c>
      <c r="G17" s="1" t="s">
        <v>17</v>
      </c>
      <c r="H17" s="1" t="n">
        <v>40</v>
      </c>
      <c r="I17" s="1" t="str">
        <f aca="false">IF(COUNTIFS(A:A,A17,F:F,F17)=COUNTIF(A:A,A17),"Correct","Mismatch")</f>
        <v>Correct</v>
      </c>
      <c r="J17" s="1" t="n">
        <f aca="false">(E17/F17)*100</f>
        <v>47.5475862068966</v>
      </c>
      <c r="K17" s="1" t="n">
        <f aca="false">MIN(H:H)</f>
        <v>32</v>
      </c>
    </row>
    <row r="18" customFormat="false" ht="15" hidden="false" customHeight="false" outlineLevel="0" collapsed="false">
      <c r="A18" s="1" t="s">
        <v>10</v>
      </c>
      <c r="B18" s="1" t="s">
        <v>11</v>
      </c>
      <c r="C18" s="1" t="s">
        <v>12</v>
      </c>
      <c r="D18" s="1" t="s">
        <v>37</v>
      </c>
      <c r="E18" s="1" t="n">
        <v>61711</v>
      </c>
      <c r="F18" s="1" t="n">
        <v>120000</v>
      </c>
      <c r="G18" s="1" t="s">
        <v>14</v>
      </c>
      <c r="H18" s="1" t="n">
        <v>45</v>
      </c>
      <c r="I18" s="1" t="str">
        <f aca="false">IF(COUNTIFS(A:A,A18,F:F,F18)=COUNTIF(A:A,A18),"Correct","Mismatch")</f>
        <v>Correct</v>
      </c>
      <c r="J18" s="1" t="n">
        <f aca="false">(E18/F18)*100</f>
        <v>51.4258333333333</v>
      </c>
      <c r="K18" s="1" t="n">
        <f aca="false">MIN(H:H)</f>
        <v>32</v>
      </c>
    </row>
    <row r="19" customFormat="false" ht="15" hidden="false" customHeight="false" outlineLevel="0" collapsed="false">
      <c r="A19" s="1" t="s">
        <v>18</v>
      </c>
      <c r="B19" s="1" t="s">
        <v>11</v>
      </c>
      <c r="C19" s="1" t="s">
        <v>12</v>
      </c>
      <c r="D19" s="1" t="s">
        <v>16</v>
      </c>
      <c r="E19" s="1" t="n">
        <v>73871</v>
      </c>
      <c r="F19" s="1" t="n">
        <v>160000</v>
      </c>
      <c r="G19" s="1" t="s">
        <v>17</v>
      </c>
      <c r="H19" s="1" t="n">
        <v>49</v>
      </c>
      <c r="I19" s="1" t="str">
        <f aca="false">IF(COUNTIFS(A:A,A19,F:F,F19)=COUNTIF(A:A,A19),"Correct","Mismatch")</f>
        <v>Correct</v>
      </c>
      <c r="J19" s="1" t="n">
        <f aca="false">(E19/F19)*100</f>
        <v>46.169375</v>
      </c>
      <c r="K19" s="1" t="n">
        <f aca="false">MIN(H:H)</f>
        <v>32</v>
      </c>
    </row>
    <row r="20" customFormat="false" ht="15" hidden="false" customHeight="false" outlineLevel="0" collapsed="false">
      <c r="A20" s="1" t="s">
        <v>22</v>
      </c>
      <c r="B20" s="1" t="s">
        <v>11</v>
      </c>
      <c r="C20" s="1" t="s">
        <v>19</v>
      </c>
      <c r="D20" s="1" t="s">
        <v>16</v>
      </c>
      <c r="E20" s="1" t="n">
        <v>78508</v>
      </c>
      <c r="F20" s="1" t="n">
        <v>125000</v>
      </c>
      <c r="G20" s="1" t="s">
        <v>17</v>
      </c>
      <c r="H20" s="1" t="n">
        <v>36</v>
      </c>
      <c r="I20" s="1" t="str">
        <f aca="false">IF(COUNTIFS(A:A,A20,F:F,F20)=COUNTIF(A:A,A20),"Correct","Mismatch")</f>
        <v>Correct</v>
      </c>
      <c r="J20" s="1" t="n">
        <f aca="false">(E20/F20)*100</f>
        <v>62.8064</v>
      </c>
      <c r="K20" s="1" t="n">
        <f aca="false">MIN(H:H)</f>
        <v>32</v>
      </c>
    </row>
    <row r="21" customFormat="false" ht="15" hidden="false" customHeight="false" outlineLevel="0" collapsed="false">
      <c r="A21" s="1" t="s">
        <v>22</v>
      </c>
      <c r="B21" s="1" t="s">
        <v>11</v>
      </c>
      <c r="C21" s="1" t="s">
        <v>19</v>
      </c>
      <c r="D21" s="1" t="s">
        <v>34</v>
      </c>
      <c r="E21" s="1" t="n">
        <v>49467</v>
      </c>
      <c r="F21" s="1" t="n">
        <v>125000</v>
      </c>
      <c r="G21" s="1" t="s">
        <v>17</v>
      </c>
      <c r="H21" s="1" t="n">
        <v>35</v>
      </c>
      <c r="I21" s="1" t="str">
        <f aca="false">IF(COUNTIFS(A:A,A21,F:F,F21)=COUNTIF(A:A,A21),"Correct","Mismatch")</f>
        <v>Correct</v>
      </c>
      <c r="J21" s="1" t="n">
        <f aca="false">(E21/F21)*100</f>
        <v>39.5736</v>
      </c>
      <c r="K21" s="1" t="n">
        <f aca="false">MIN(H:H)</f>
        <v>32</v>
      </c>
    </row>
    <row r="22" customFormat="false" ht="15" hidden="false" customHeight="false" outlineLevel="0" collapsed="false">
      <c r="A22" s="1" t="s">
        <v>10</v>
      </c>
      <c r="B22" s="1" t="s">
        <v>11</v>
      </c>
      <c r="C22" s="1" t="s">
        <v>20</v>
      </c>
      <c r="D22" s="1" t="s">
        <v>29</v>
      </c>
      <c r="E22" s="1" t="n">
        <v>36753</v>
      </c>
      <c r="F22" s="1" t="n">
        <v>120000</v>
      </c>
      <c r="G22" s="1" t="s">
        <v>14</v>
      </c>
      <c r="H22" s="1" t="n">
        <v>45</v>
      </c>
      <c r="I22" s="1" t="str">
        <f aca="false">IF(COUNTIFS(A:A,A22,F:F,F22)=COUNTIF(A:A,A22),"Correct","Mismatch")</f>
        <v>Correct</v>
      </c>
      <c r="J22" s="1" t="n">
        <f aca="false">(E22/F22)*100</f>
        <v>30.6275</v>
      </c>
      <c r="K22" s="1" t="n">
        <f aca="false">MIN(H:H)</f>
        <v>32</v>
      </c>
    </row>
    <row r="23" customFormat="false" ht="15" hidden="false" customHeight="false" outlineLevel="0" collapsed="false">
      <c r="A23" s="1" t="s">
        <v>38</v>
      </c>
      <c r="B23" s="1" t="s">
        <v>11</v>
      </c>
      <c r="C23" s="1" t="s">
        <v>19</v>
      </c>
      <c r="D23" s="1" t="s">
        <v>29</v>
      </c>
      <c r="E23" s="1" t="n">
        <v>15823</v>
      </c>
      <c r="F23" s="1" t="n">
        <v>130000</v>
      </c>
      <c r="G23" s="1" t="s">
        <v>14</v>
      </c>
      <c r="H23" s="1" t="n">
        <v>43</v>
      </c>
      <c r="I23" s="1" t="str">
        <f aca="false">IF(COUNTIFS(A:A,A23,F:F,F23)=COUNTIF(A:A,A23),"Correct","Mismatch")</f>
        <v>Correct</v>
      </c>
      <c r="J23" s="1" t="n">
        <f aca="false">(E23/F23)*100</f>
        <v>12.1715384615385</v>
      </c>
      <c r="K23" s="1" t="n">
        <f aca="false">MIN(H:H)</f>
        <v>32</v>
      </c>
    </row>
    <row r="24" customFormat="false" ht="15" hidden="false" customHeight="false" outlineLevel="0" collapsed="false">
      <c r="A24" s="1" t="s">
        <v>15</v>
      </c>
      <c r="B24" s="1" t="s">
        <v>11</v>
      </c>
      <c r="C24" s="1" t="s">
        <v>19</v>
      </c>
      <c r="D24" s="1" t="s">
        <v>39</v>
      </c>
      <c r="E24" s="1" t="n">
        <v>27605</v>
      </c>
      <c r="F24" s="1" t="n">
        <v>140000</v>
      </c>
      <c r="G24" s="1" t="s">
        <v>17</v>
      </c>
      <c r="H24" s="1" t="n">
        <v>47</v>
      </c>
      <c r="I24" s="1" t="str">
        <f aca="false">IF(COUNTIFS(A:A,A24,F:F,F24)=COUNTIF(A:A,A24),"Correct","Mismatch")</f>
        <v>Correct</v>
      </c>
      <c r="J24" s="1" t="n">
        <f aca="false">(E24/F24)*100</f>
        <v>19.7178571428571</v>
      </c>
      <c r="K24" s="1" t="n">
        <f aca="false">MIN(H:H)</f>
        <v>32</v>
      </c>
    </row>
    <row r="25" customFormat="false" ht="15" hidden="false" customHeight="false" outlineLevel="0" collapsed="false">
      <c r="A25" s="1" t="s">
        <v>23</v>
      </c>
      <c r="B25" s="1" t="s">
        <v>11</v>
      </c>
      <c r="C25" s="1" t="s">
        <v>20</v>
      </c>
      <c r="D25" s="1" t="s">
        <v>40</v>
      </c>
      <c r="E25" s="1" t="n">
        <v>25902</v>
      </c>
      <c r="F25" s="1" t="n">
        <v>145000</v>
      </c>
      <c r="G25" s="1" t="s">
        <v>17</v>
      </c>
      <c r="H25" s="1" t="n">
        <v>36</v>
      </c>
      <c r="I25" s="1" t="str">
        <f aca="false">IF(COUNTIFS(A:A,A25,F:F,F25)=COUNTIF(A:A,A25),"Correct","Mismatch")</f>
        <v>Correct</v>
      </c>
      <c r="J25" s="1" t="n">
        <f aca="false">(E25/F25)*100</f>
        <v>17.8634482758621</v>
      </c>
      <c r="K25" s="1" t="n">
        <f aca="false">MIN(H:H)</f>
        <v>32</v>
      </c>
    </row>
    <row r="26" customFormat="false" ht="15" hidden="false" customHeight="false" outlineLevel="0" collapsed="false">
      <c r="A26" s="1" t="s">
        <v>38</v>
      </c>
      <c r="B26" s="1" t="s">
        <v>11</v>
      </c>
      <c r="C26" s="1" t="s">
        <v>12</v>
      </c>
      <c r="D26" s="1" t="s">
        <v>29</v>
      </c>
      <c r="E26" s="1" t="n">
        <v>26889</v>
      </c>
      <c r="F26" s="1" t="n">
        <v>130000</v>
      </c>
      <c r="G26" s="1" t="s">
        <v>14</v>
      </c>
      <c r="H26" s="1" t="n">
        <v>51</v>
      </c>
      <c r="I26" s="1" t="str">
        <f aca="false">IF(COUNTIFS(A:A,A26,F:F,F26)=COUNTIF(A:A,A26),"Correct","Mismatch")</f>
        <v>Correct</v>
      </c>
      <c r="J26" s="1" t="n">
        <f aca="false">(E26/F26)*100</f>
        <v>20.6838461538462</v>
      </c>
      <c r="K26" s="1" t="n">
        <f aca="false">MIN(H:H)</f>
        <v>32</v>
      </c>
    </row>
    <row r="27" customFormat="false" ht="15" hidden="false" customHeight="false" outlineLevel="0" collapsed="false">
      <c r="A27" s="1" t="s">
        <v>23</v>
      </c>
      <c r="B27" s="1" t="s">
        <v>11</v>
      </c>
      <c r="C27" s="1" t="s">
        <v>26</v>
      </c>
      <c r="D27" s="1" t="s">
        <v>31</v>
      </c>
      <c r="E27" s="1" t="n">
        <v>76432</v>
      </c>
      <c r="F27" s="1" t="n">
        <v>145000</v>
      </c>
      <c r="G27" s="1" t="s">
        <v>17</v>
      </c>
      <c r="H27" s="1" t="n">
        <v>45</v>
      </c>
      <c r="I27" s="1" t="str">
        <f aca="false">IF(COUNTIFS(A:A,A27,F:F,F27)=COUNTIF(A:A,A27),"Correct","Mismatch")</f>
        <v>Correct</v>
      </c>
      <c r="J27" s="1" t="n">
        <f aca="false">(E27/F27)*100</f>
        <v>52.711724137931</v>
      </c>
      <c r="K27" s="1" t="n">
        <f aca="false">MIN(H:H)</f>
        <v>32</v>
      </c>
    </row>
    <row r="28" customFormat="false" ht="15" hidden="false" customHeight="false" outlineLevel="0" collapsed="false">
      <c r="A28" s="1" t="s">
        <v>41</v>
      </c>
      <c r="B28" s="1" t="s">
        <v>11</v>
      </c>
      <c r="C28" s="1" t="s">
        <v>20</v>
      </c>
      <c r="D28" s="1" t="s">
        <v>31</v>
      </c>
      <c r="E28" s="1" t="n">
        <v>35634</v>
      </c>
      <c r="F28" s="1" t="n">
        <v>150000</v>
      </c>
      <c r="G28" s="1" t="s">
        <v>17</v>
      </c>
      <c r="H28" s="1" t="n">
        <v>56</v>
      </c>
      <c r="I28" s="1" t="str">
        <f aca="false">IF(COUNTIFS(A:A,A28,F:F,F28)=COUNTIF(A:A,A28),"Correct","Mismatch")</f>
        <v>Correct</v>
      </c>
      <c r="J28" s="1" t="n">
        <f aca="false">(E28/F28)*100</f>
        <v>23.756</v>
      </c>
      <c r="K28" s="1" t="n">
        <f aca="false">MIN(H:H)</f>
        <v>32</v>
      </c>
    </row>
    <row r="29" customFormat="false" ht="15" hidden="false" customHeight="false" outlineLevel="0" collapsed="false">
      <c r="A29" s="1" t="s">
        <v>36</v>
      </c>
      <c r="B29" s="1" t="s">
        <v>11</v>
      </c>
      <c r="C29" s="1" t="s">
        <v>12</v>
      </c>
      <c r="D29" s="1" t="s">
        <v>35</v>
      </c>
      <c r="E29" s="1" t="n">
        <v>51711</v>
      </c>
      <c r="F29" s="1" t="n">
        <v>180000</v>
      </c>
      <c r="G29" s="1" t="s">
        <v>14</v>
      </c>
      <c r="H29" s="1" t="n">
        <v>44</v>
      </c>
      <c r="I29" s="1" t="str">
        <f aca="false">IF(COUNTIFS(A:A,A29,F:F,F29)=COUNTIF(A:A,A29),"Correct","Mismatch")</f>
        <v>Correct</v>
      </c>
      <c r="J29" s="1" t="n">
        <f aca="false">(E29/F29)*100</f>
        <v>28.7283333333333</v>
      </c>
      <c r="K29" s="1" t="n">
        <f aca="false">MIN(H:H)</f>
        <v>32</v>
      </c>
    </row>
    <row r="30" customFormat="false" ht="15" hidden="false" customHeight="false" outlineLevel="0" collapsed="false">
      <c r="A30" s="1" t="s">
        <v>10</v>
      </c>
      <c r="B30" s="1" t="s">
        <v>11</v>
      </c>
      <c r="C30" s="1" t="s">
        <v>19</v>
      </c>
      <c r="D30" s="1" t="s">
        <v>24</v>
      </c>
      <c r="E30" s="1" t="n">
        <v>64450</v>
      </c>
      <c r="F30" s="1" t="n">
        <v>120000</v>
      </c>
      <c r="G30" s="1" t="s">
        <v>14</v>
      </c>
      <c r="H30" s="1" t="n">
        <v>52</v>
      </c>
      <c r="I30" s="1" t="str">
        <f aca="false">IF(COUNTIFS(A:A,A30,F:F,F30)=COUNTIF(A:A,A30),"Correct","Mismatch")</f>
        <v>Correct</v>
      </c>
      <c r="J30" s="1" t="n">
        <f aca="false">(E30/F30)*100</f>
        <v>53.7083333333333</v>
      </c>
      <c r="K30" s="1" t="n">
        <f aca="false">MIN(H:H)</f>
        <v>32</v>
      </c>
    </row>
    <row r="31" customFormat="false" ht="15" hidden="false" customHeight="false" outlineLevel="0" collapsed="false">
      <c r="A31" s="1" t="s">
        <v>36</v>
      </c>
      <c r="B31" s="1" t="s">
        <v>11</v>
      </c>
      <c r="C31" s="1" t="s">
        <v>19</v>
      </c>
      <c r="D31" s="1" t="s">
        <v>21</v>
      </c>
      <c r="E31" s="1" t="n">
        <v>60999</v>
      </c>
      <c r="F31" s="1" t="n">
        <v>180000</v>
      </c>
      <c r="G31" s="1" t="s">
        <v>17</v>
      </c>
      <c r="H31" s="1" t="n">
        <v>44</v>
      </c>
      <c r="I31" s="1" t="str">
        <f aca="false">IF(COUNTIFS(A:A,A31,F:F,F31)=COUNTIF(A:A,A31),"Correct","Mismatch")</f>
        <v>Correct</v>
      </c>
      <c r="J31" s="1" t="n">
        <f aca="false">(E31/F31)*100</f>
        <v>33.8883333333333</v>
      </c>
      <c r="K31" s="1" t="n">
        <f aca="false">MIN(H:H)</f>
        <v>32</v>
      </c>
    </row>
    <row r="32" customFormat="false" ht="15" hidden="false" customHeight="false" outlineLevel="0" collapsed="false">
      <c r="A32" s="1" t="s">
        <v>28</v>
      </c>
      <c r="B32" s="1" t="s">
        <v>11</v>
      </c>
      <c r="C32" s="1" t="s">
        <v>19</v>
      </c>
      <c r="D32" s="1" t="s">
        <v>13</v>
      </c>
      <c r="E32" s="1" t="n">
        <v>61375</v>
      </c>
      <c r="F32" s="1" t="n">
        <v>110000</v>
      </c>
      <c r="G32" s="1" t="s">
        <v>14</v>
      </c>
      <c r="H32" s="1" t="n">
        <v>49</v>
      </c>
      <c r="I32" s="1" t="str">
        <f aca="false">IF(COUNTIFS(A:A,A32,F:F,F32)=COUNTIF(A:A,A32),"Correct","Mismatch")</f>
        <v>Correct</v>
      </c>
      <c r="J32" s="1" t="n">
        <f aca="false">(E32/F32)*100</f>
        <v>55.7954545454546</v>
      </c>
      <c r="K32" s="1" t="n">
        <f aca="false">MIN(H:H)</f>
        <v>32</v>
      </c>
    </row>
    <row r="33" customFormat="false" ht="15" hidden="false" customHeight="false" outlineLevel="0" collapsed="false">
      <c r="A33" s="1" t="s">
        <v>15</v>
      </c>
      <c r="B33" s="1" t="s">
        <v>11</v>
      </c>
      <c r="C33" s="1" t="s">
        <v>19</v>
      </c>
      <c r="D33" s="1" t="s">
        <v>24</v>
      </c>
      <c r="E33" s="1" t="n">
        <v>43347</v>
      </c>
      <c r="F33" s="1" t="n">
        <v>140000</v>
      </c>
      <c r="G33" s="1" t="s">
        <v>14</v>
      </c>
      <c r="H33" s="1" t="n">
        <v>35</v>
      </c>
      <c r="I33" s="1" t="str">
        <f aca="false">IF(COUNTIFS(A:A,A33,F:F,F33)=COUNTIF(A:A,A33),"Correct","Mismatch")</f>
        <v>Correct</v>
      </c>
      <c r="J33" s="1" t="n">
        <f aca="false">(E33/F33)*100</f>
        <v>30.9621428571429</v>
      </c>
      <c r="K33" s="1" t="n">
        <f aca="false">MIN(H:H)</f>
        <v>32</v>
      </c>
    </row>
    <row r="34" customFormat="false" ht="15" hidden="false" customHeight="false" outlineLevel="0" collapsed="false">
      <c r="A34" s="1" t="s">
        <v>33</v>
      </c>
      <c r="B34" s="1" t="s">
        <v>11</v>
      </c>
      <c r="C34" s="1" t="s">
        <v>12</v>
      </c>
      <c r="D34" s="1" t="s">
        <v>25</v>
      </c>
      <c r="E34" s="1" t="n">
        <v>57780</v>
      </c>
      <c r="F34" s="1" t="n">
        <v>135000</v>
      </c>
      <c r="G34" s="1" t="s">
        <v>17</v>
      </c>
      <c r="H34" s="1" t="n">
        <v>50</v>
      </c>
      <c r="I34" s="1" t="str">
        <f aca="false">IF(COUNTIFS(A:A,A34,F:F,F34)=COUNTIF(A:A,A34),"Correct","Mismatch")</f>
        <v>Correct</v>
      </c>
      <c r="J34" s="1" t="n">
        <f aca="false">(E34/F34)*100</f>
        <v>42.8</v>
      </c>
      <c r="K34" s="1" t="n">
        <f aca="false">MIN(H:H)</f>
        <v>32</v>
      </c>
    </row>
    <row r="35" customFormat="false" ht="15" hidden="false" customHeight="false" outlineLevel="0" collapsed="false">
      <c r="A35" s="1" t="s">
        <v>33</v>
      </c>
      <c r="B35" s="1" t="s">
        <v>11</v>
      </c>
      <c r="C35" s="1" t="s">
        <v>12</v>
      </c>
      <c r="D35" s="1" t="s">
        <v>21</v>
      </c>
      <c r="E35" s="1" t="n">
        <v>37004</v>
      </c>
      <c r="F35" s="1" t="n">
        <v>135000</v>
      </c>
      <c r="G35" s="1" t="s">
        <v>17</v>
      </c>
      <c r="H35" s="1" t="n">
        <v>33</v>
      </c>
      <c r="I35" s="1" t="str">
        <f aca="false">IF(COUNTIFS(A:A,A35,F:F,F35)=COUNTIF(A:A,A35),"Correct","Mismatch")</f>
        <v>Correct</v>
      </c>
      <c r="J35" s="1" t="n">
        <f aca="false">(E35/F35)*100</f>
        <v>27.4103703703704</v>
      </c>
      <c r="K35" s="1" t="n">
        <f aca="false">MIN(H:H)</f>
        <v>32</v>
      </c>
    </row>
    <row r="36" customFormat="false" ht="15" hidden="false" customHeight="false" outlineLevel="0" collapsed="false">
      <c r="A36" s="1" t="s">
        <v>15</v>
      </c>
      <c r="B36" s="1" t="s">
        <v>11</v>
      </c>
      <c r="C36" s="1" t="s">
        <v>12</v>
      </c>
      <c r="D36" s="1" t="s">
        <v>13</v>
      </c>
      <c r="E36" s="1" t="n">
        <v>15297</v>
      </c>
      <c r="F36" s="1" t="n">
        <v>140000</v>
      </c>
      <c r="G36" s="1" t="s">
        <v>14</v>
      </c>
      <c r="H36" s="1" t="n">
        <v>45</v>
      </c>
      <c r="I36" s="1" t="str">
        <f aca="false">IF(COUNTIFS(A:A,A36,F:F,F36)=COUNTIF(A:A,A36),"Correct","Mismatch")</f>
        <v>Correct</v>
      </c>
      <c r="J36" s="1" t="n">
        <f aca="false">(E36/F36)*100</f>
        <v>10.9264285714286</v>
      </c>
      <c r="K36" s="1" t="n">
        <f aca="false">MIN(H:H)</f>
        <v>32</v>
      </c>
    </row>
    <row r="37" customFormat="false" ht="15" hidden="false" customHeight="false" outlineLevel="0" collapsed="false">
      <c r="A37" s="1" t="s">
        <v>15</v>
      </c>
      <c r="B37" s="1" t="s">
        <v>11</v>
      </c>
      <c r="C37" s="1" t="s">
        <v>26</v>
      </c>
      <c r="D37" s="1" t="s">
        <v>27</v>
      </c>
      <c r="E37" s="1" t="n">
        <v>42367</v>
      </c>
      <c r="F37" s="1" t="n">
        <v>140000</v>
      </c>
      <c r="G37" s="1" t="s">
        <v>14</v>
      </c>
      <c r="H37" s="1" t="n">
        <v>46</v>
      </c>
      <c r="I37" s="1" t="str">
        <f aca="false">IF(COUNTIFS(A:A,A37,F:F,F37)=COUNTIF(A:A,A37),"Correct","Mismatch")</f>
        <v>Correct</v>
      </c>
      <c r="J37" s="1" t="n">
        <f aca="false">(E37/F37)*100</f>
        <v>30.2621428571429</v>
      </c>
      <c r="K37" s="1" t="n">
        <f aca="false">MIN(H:H)</f>
        <v>32</v>
      </c>
    </row>
    <row r="38" customFormat="false" ht="15" hidden="false" customHeight="false" outlineLevel="0" collapsed="false">
      <c r="A38" s="1" t="s">
        <v>10</v>
      </c>
      <c r="B38" s="1" t="s">
        <v>11</v>
      </c>
      <c r="C38" s="1" t="s">
        <v>19</v>
      </c>
      <c r="D38" s="1" t="s">
        <v>42</v>
      </c>
      <c r="E38" s="1" t="n">
        <v>36160</v>
      </c>
      <c r="F38" s="1" t="n">
        <v>120000</v>
      </c>
      <c r="G38" s="1" t="s">
        <v>14</v>
      </c>
      <c r="H38" s="1" t="n">
        <v>49</v>
      </c>
      <c r="I38" s="1" t="str">
        <f aca="false">IF(COUNTIFS(A:A,A38,F:F,F38)=COUNTIF(A:A,A38),"Correct","Mismatch")</f>
        <v>Correct</v>
      </c>
      <c r="J38" s="1" t="n">
        <f aca="false">(E38/F38)*100</f>
        <v>30.1333333333333</v>
      </c>
      <c r="K38" s="1" t="n">
        <f aca="false">MIN(H:H)</f>
        <v>32</v>
      </c>
    </row>
    <row r="39" customFormat="false" ht="15" hidden="false" customHeight="false" outlineLevel="0" collapsed="false">
      <c r="A39" s="1" t="s">
        <v>23</v>
      </c>
      <c r="B39" s="1" t="s">
        <v>11</v>
      </c>
      <c r="C39" s="1" t="s">
        <v>26</v>
      </c>
      <c r="D39" s="1" t="s">
        <v>29</v>
      </c>
      <c r="E39" s="1" t="n">
        <v>39532</v>
      </c>
      <c r="F39" s="1" t="n">
        <v>145000</v>
      </c>
      <c r="G39" s="1" t="s">
        <v>14</v>
      </c>
      <c r="H39" s="1" t="n">
        <v>60</v>
      </c>
      <c r="I39" s="1" t="str">
        <f aca="false">IF(COUNTIFS(A:A,A39,F:F,F39)=COUNTIF(A:A,A39),"Correct","Mismatch")</f>
        <v>Correct</v>
      </c>
      <c r="J39" s="1" t="n">
        <f aca="false">(E39/F39)*100</f>
        <v>27.2634482758621</v>
      </c>
      <c r="K39" s="1" t="n">
        <f aca="false">MIN(H:H)</f>
        <v>32</v>
      </c>
    </row>
    <row r="40" customFormat="false" ht="15" hidden="false" customHeight="false" outlineLevel="0" collapsed="false">
      <c r="A40" s="1" t="s">
        <v>18</v>
      </c>
      <c r="B40" s="1" t="s">
        <v>11</v>
      </c>
      <c r="C40" s="1" t="s">
        <v>20</v>
      </c>
      <c r="D40" s="1" t="s">
        <v>43</v>
      </c>
      <c r="E40" s="1" t="n">
        <v>49695</v>
      </c>
      <c r="F40" s="1" t="n">
        <v>160000</v>
      </c>
      <c r="G40" s="1" t="s">
        <v>14</v>
      </c>
      <c r="H40" s="1" t="n">
        <v>54</v>
      </c>
      <c r="I40" s="1" t="str">
        <f aca="false">IF(COUNTIFS(A:A,A40,F:F,F40)=COUNTIF(A:A,A40),"Correct","Mismatch")</f>
        <v>Correct</v>
      </c>
      <c r="J40" s="1" t="n">
        <f aca="false">(E40/F40)*100</f>
        <v>31.059375</v>
      </c>
      <c r="K40" s="1" t="n">
        <f aca="false">MIN(H:H)</f>
        <v>32</v>
      </c>
    </row>
    <row r="41" customFormat="false" ht="15" hidden="false" customHeight="false" outlineLevel="0" collapsed="false">
      <c r="A41" s="1" t="s">
        <v>15</v>
      </c>
      <c r="B41" s="1" t="s">
        <v>11</v>
      </c>
      <c r="C41" s="1" t="s">
        <v>19</v>
      </c>
      <c r="D41" s="1" t="s">
        <v>43</v>
      </c>
      <c r="E41" s="1" t="n">
        <v>33656</v>
      </c>
      <c r="F41" s="1" t="n">
        <v>140000</v>
      </c>
      <c r="G41" s="1" t="s">
        <v>14</v>
      </c>
      <c r="H41" s="1" t="n">
        <v>34</v>
      </c>
      <c r="I41" s="1" t="str">
        <f aca="false">IF(COUNTIFS(A:A,A41,F:F,F41)=COUNTIF(A:A,A41),"Correct","Mismatch")</f>
        <v>Correct</v>
      </c>
      <c r="J41" s="1" t="n">
        <f aca="false">(E41/F41)*100</f>
        <v>24.04</v>
      </c>
      <c r="K41" s="1" t="n">
        <f aca="false">MIN(H:H)</f>
        <v>32</v>
      </c>
    </row>
    <row r="42" customFormat="false" ht="15" hidden="false" customHeight="false" outlineLevel="0" collapsed="false">
      <c r="A42" s="1" t="s">
        <v>38</v>
      </c>
      <c r="B42" s="1" t="s">
        <v>11</v>
      </c>
      <c r="C42" s="1" t="s">
        <v>26</v>
      </c>
      <c r="D42" s="1" t="s">
        <v>24</v>
      </c>
      <c r="E42" s="1" t="n">
        <v>63495</v>
      </c>
      <c r="F42" s="1" t="n">
        <v>130000</v>
      </c>
      <c r="G42" s="1" t="s">
        <v>14</v>
      </c>
      <c r="H42" s="1" t="n">
        <v>44</v>
      </c>
      <c r="I42" s="1" t="str">
        <f aca="false">IF(COUNTIFS(A:A,A42,F:F,F42)=COUNTIF(A:A,A42),"Correct","Mismatch")</f>
        <v>Correct</v>
      </c>
      <c r="J42" s="1" t="n">
        <f aca="false">(E42/F42)*100</f>
        <v>48.8423076923077</v>
      </c>
      <c r="K42" s="1" t="n">
        <f aca="false">MIN(H:H)</f>
        <v>32</v>
      </c>
    </row>
    <row r="43" customFormat="false" ht="15" hidden="false" customHeight="false" outlineLevel="0" collapsed="false">
      <c r="A43" s="1" t="s">
        <v>41</v>
      </c>
      <c r="B43" s="1" t="s">
        <v>11</v>
      </c>
      <c r="C43" s="1" t="s">
        <v>26</v>
      </c>
      <c r="D43" s="1" t="s">
        <v>44</v>
      </c>
      <c r="E43" s="1" t="n">
        <v>66304</v>
      </c>
      <c r="F43" s="1" t="n">
        <v>150000</v>
      </c>
      <c r="G43" s="1" t="s">
        <v>14</v>
      </c>
      <c r="H43" s="1" t="n">
        <v>48</v>
      </c>
      <c r="I43" s="1" t="str">
        <f aca="false">IF(COUNTIFS(A:A,A43,F:F,F43)=COUNTIF(A:A,A43),"Correct","Mismatch")</f>
        <v>Correct</v>
      </c>
      <c r="J43" s="1" t="n">
        <f aca="false">(E43/F43)*100</f>
        <v>44.2026666666667</v>
      </c>
      <c r="K43" s="1" t="n">
        <f aca="false">MIN(H:H)</f>
        <v>32</v>
      </c>
    </row>
    <row r="44" customFormat="false" ht="15" hidden="false" customHeight="false" outlineLevel="0" collapsed="false">
      <c r="A44" s="1" t="s">
        <v>28</v>
      </c>
      <c r="B44" s="1" t="s">
        <v>11</v>
      </c>
      <c r="C44" s="1" t="s">
        <v>12</v>
      </c>
      <c r="D44" s="1" t="s">
        <v>34</v>
      </c>
      <c r="E44" s="1" t="n">
        <v>74026</v>
      </c>
      <c r="F44" s="1" t="n">
        <v>110000</v>
      </c>
      <c r="G44" s="1" t="s">
        <v>17</v>
      </c>
      <c r="H44" s="1" t="n">
        <v>58</v>
      </c>
      <c r="I44" s="1" t="str">
        <f aca="false">IF(COUNTIFS(A:A,A44,F:F,F44)=COUNTIF(A:A,A44),"Correct","Mismatch")</f>
        <v>Correct</v>
      </c>
      <c r="J44" s="1" t="n">
        <f aca="false">(E44/F44)*100</f>
        <v>67.2963636363636</v>
      </c>
      <c r="K44" s="1" t="n">
        <f aca="false">MIN(H:H)</f>
        <v>32</v>
      </c>
    </row>
    <row r="45" customFormat="false" ht="15" hidden="false" customHeight="false" outlineLevel="0" collapsed="false">
      <c r="A45" s="1" t="s">
        <v>41</v>
      </c>
      <c r="B45" s="1" t="s">
        <v>11</v>
      </c>
      <c r="C45" s="1" t="s">
        <v>26</v>
      </c>
      <c r="D45" s="1" t="s">
        <v>21</v>
      </c>
      <c r="E45" s="1" t="n">
        <v>24729</v>
      </c>
      <c r="F45" s="1" t="n">
        <v>150000</v>
      </c>
      <c r="G45" s="1" t="s">
        <v>17</v>
      </c>
      <c r="H45" s="1" t="n">
        <v>32</v>
      </c>
      <c r="I45" s="1" t="str">
        <f aca="false">IF(COUNTIFS(A:A,A45,F:F,F45)=COUNTIF(A:A,A45),"Correct","Mismatch")</f>
        <v>Correct</v>
      </c>
      <c r="J45" s="1" t="n">
        <f aca="false">(E45/F45)*100</f>
        <v>16.486</v>
      </c>
      <c r="K45" s="1" t="n">
        <f aca="false">MIN(H:H)</f>
        <v>32</v>
      </c>
    </row>
    <row r="46" customFormat="false" ht="15" hidden="false" customHeight="false" outlineLevel="0" collapsed="false">
      <c r="A46" s="1" t="s">
        <v>28</v>
      </c>
      <c r="B46" s="1" t="s">
        <v>11</v>
      </c>
      <c r="C46" s="1" t="s">
        <v>26</v>
      </c>
      <c r="D46" s="1" t="s">
        <v>30</v>
      </c>
      <c r="E46" s="1" t="n">
        <v>20437</v>
      </c>
      <c r="F46" s="1" t="n">
        <v>110000</v>
      </c>
      <c r="G46" s="1" t="s">
        <v>17</v>
      </c>
      <c r="H46" s="1" t="n">
        <v>42</v>
      </c>
      <c r="I46" s="1" t="str">
        <f aca="false">IF(COUNTIFS(A:A,A46,F:F,F46)=COUNTIF(A:A,A46),"Correct","Mismatch")</f>
        <v>Correct</v>
      </c>
      <c r="J46" s="1" t="n">
        <f aca="false">(E46/F46)*100</f>
        <v>18.5790909090909</v>
      </c>
      <c r="K46" s="1" t="n">
        <f aca="false">MIN(H:H)</f>
        <v>32</v>
      </c>
    </row>
    <row r="47" customFormat="false" ht="15" hidden="false" customHeight="false" outlineLevel="0" collapsed="false">
      <c r="A47" s="1" t="s">
        <v>28</v>
      </c>
      <c r="B47" s="1" t="s">
        <v>11</v>
      </c>
      <c r="C47" s="1" t="s">
        <v>20</v>
      </c>
      <c r="D47" s="1" t="s">
        <v>45</v>
      </c>
      <c r="E47" s="1" t="n">
        <v>17801</v>
      </c>
      <c r="F47" s="1" t="n">
        <v>110000</v>
      </c>
      <c r="G47" s="1" t="s">
        <v>17</v>
      </c>
      <c r="H47" s="1" t="n">
        <v>56</v>
      </c>
      <c r="I47" s="1" t="str">
        <f aca="false">IF(COUNTIFS(A:A,A47,F:F,F47)=COUNTIF(A:A,A47),"Correct","Mismatch")</f>
        <v>Correct</v>
      </c>
      <c r="J47" s="1" t="n">
        <f aca="false">(E47/F47)*100</f>
        <v>16.1827272727273</v>
      </c>
      <c r="K47" s="1" t="n">
        <f aca="false">MIN(H:H)</f>
        <v>32</v>
      </c>
    </row>
    <row r="48" customFormat="false" ht="15" hidden="false" customHeight="false" outlineLevel="0" collapsed="false">
      <c r="A48" s="1" t="s">
        <v>36</v>
      </c>
      <c r="B48" s="1" t="s">
        <v>11</v>
      </c>
      <c r="C48" s="1" t="s">
        <v>26</v>
      </c>
      <c r="D48" s="1" t="s">
        <v>44</v>
      </c>
      <c r="E48" s="1" t="n">
        <v>67639</v>
      </c>
      <c r="F48" s="1" t="n">
        <v>180000</v>
      </c>
      <c r="G48" s="1" t="s">
        <v>14</v>
      </c>
      <c r="H48" s="1" t="n">
        <v>44</v>
      </c>
      <c r="I48" s="1" t="str">
        <f aca="false">IF(COUNTIFS(A:A,A48,F:F,F48)=COUNTIF(A:A,A48),"Correct","Mismatch")</f>
        <v>Correct</v>
      </c>
      <c r="J48" s="1" t="n">
        <f aca="false">(E48/F48)*100</f>
        <v>37.5772222222222</v>
      </c>
      <c r="K48" s="1" t="n">
        <f aca="false">MIN(H:H)</f>
        <v>32</v>
      </c>
    </row>
    <row r="49" customFormat="false" ht="15" hidden="false" customHeight="false" outlineLevel="0" collapsed="false">
      <c r="A49" s="1" t="s">
        <v>33</v>
      </c>
      <c r="B49" s="1" t="s">
        <v>11</v>
      </c>
      <c r="C49" s="1" t="s">
        <v>20</v>
      </c>
      <c r="D49" s="1" t="s">
        <v>13</v>
      </c>
      <c r="E49" s="1" t="n">
        <v>74681</v>
      </c>
      <c r="F49" s="1" t="n">
        <v>135000</v>
      </c>
      <c r="G49" s="1" t="s">
        <v>14</v>
      </c>
      <c r="H49" s="1" t="n">
        <v>42</v>
      </c>
      <c r="I49" s="1" t="str">
        <f aca="false">IF(COUNTIFS(A:A,A49,F:F,F49)=COUNTIF(A:A,A49),"Correct","Mismatch")</f>
        <v>Correct</v>
      </c>
      <c r="J49" s="1" t="n">
        <f aca="false">(E49/F49)*100</f>
        <v>55.3192592592593</v>
      </c>
      <c r="K49" s="1" t="n">
        <f aca="false">MIN(H:H)</f>
        <v>32</v>
      </c>
    </row>
    <row r="50" customFormat="false" ht="15" hidden="false" customHeight="false" outlineLevel="0" collapsed="false">
      <c r="A50" s="1" t="s">
        <v>38</v>
      </c>
      <c r="B50" s="1" t="s">
        <v>11</v>
      </c>
      <c r="C50" s="1" t="s">
        <v>12</v>
      </c>
      <c r="D50" s="1" t="s">
        <v>37</v>
      </c>
      <c r="E50" s="1" t="n">
        <v>55036</v>
      </c>
      <c r="F50" s="1" t="n">
        <v>130000</v>
      </c>
      <c r="G50" s="1" t="s">
        <v>14</v>
      </c>
      <c r="H50" s="1" t="n">
        <v>33</v>
      </c>
      <c r="I50" s="1" t="str">
        <f aca="false">IF(COUNTIFS(A:A,A50,F:F,F50)=COUNTIF(A:A,A50),"Correct","Mismatch")</f>
        <v>Correct</v>
      </c>
      <c r="J50" s="1" t="n">
        <f aca="false">(E50/F50)*100</f>
        <v>42.3353846153846</v>
      </c>
      <c r="K50" s="1" t="n">
        <f aca="false">MIN(H:H)</f>
        <v>32</v>
      </c>
    </row>
    <row r="51" customFormat="false" ht="15" hidden="false" customHeight="false" outlineLevel="0" collapsed="false">
      <c r="A51" s="1" t="s">
        <v>38</v>
      </c>
      <c r="B51" s="1" t="s">
        <v>11</v>
      </c>
      <c r="C51" s="1" t="s">
        <v>26</v>
      </c>
      <c r="D51" s="1" t="s">
        <v>29</v>
      </c>
      <c r="E51" s="1" t="n">
        <v>22692</v>
      </c>
      <c r="F51" s="1" t="n">
        <v>130000</v>
      </c>
      <c r="G51" s="1" t="s">
        <v>14</v>
      </c>
      <c r="H51" s="1" t="n">
        <v>54</v>
      </c>
      <c r="I51" s="1" t="str">
        <f aca="false">IF(COUNTIFS(A:A,A51,F:F,F51)=COUNTIF(A:A,A51),"Correct","Mismatch")</f>
        <v>Correct</v>
      </c>
      <c r="J51" s="1" t="n">
        <f aca="false">(E51/F51)*100</f>
        <v>17.4553846153846</v>
      </c>
      <c r="K51" s="1" t="n">
        <f aca="false">MIN(H:H)</f>
        <v>32</v>
      </c>
    </row>
    <row r="52" customFormat="false" ht="15" hidden="false" customHeight="false" outlineLevel="0" collapsed="false">
      <c r="A52" s="1" t="s">
        <v>38</v>
      </c>
      <c r="B52" s="1" t="s">
        <v>11</v>
      </c>
      <c r="C52" s="1" t="s">
        <v>20</v>
      </c>
      <c r="D52" s="1" t="s">
        <v>31</v>
      </c>
      <c r="E52" s="1" t="n">
        <v>74518</v>
      </c>
      <c r="F52" s="1" t="n">
        <v>130000</v>
      </c>
      <c r="G52" s="1" t="s">
        <v>17</v>
      </c>
      <c r="H52" s="1" t="n">
        <v>58</v>
      </c>
      <c r="I52" s="1" t="str">
        <f aca="false">IF(COUNTIFS(A:A,A52,F:F,F52)=COUNTIF(A:A,A52),"Correct","Mismatch")</f>
        <v>Correct</v>
      </c>
      <c r="J52" s="1" t="n">
        <f aca="false">(E52/F52)*100</f>
        <v>57.3215384615385</v>
      </c>
      <c r="K52" s="1" t="n">
        <f aca="false">MIN(H:H)</f>
        <v>32</v>
      </c>
    </row>
    <row r="53" customFormat="false" ht="15" hidden="false" customHeight="false" outlineLevel="0" collapsed="false">
      <c r="A53" s="1" t="s">
        <v>10</v>
      </c>
      <c r="B53" s="1" t="s">
        <v>11</v>
      </c>
      <c r="C53" s="1" t="s">
        <v>12</v>
      </c>
      <c r="D53" s="1" t="s">
        <v>30</v>
      </c>
      <c r="E53" s="1" t="n">
        <v>67835</v>
      </c>
      <c r="F53" s="1" t="n">
        <v>120000</v>
      </c>
      <c r="G53" s="1" t="s">
        <v>17</v>
      </c>
      <c r="H53" s="1" t="n">
        <v>46</v>
      </c>
      <c r="I53" s="1" t="str">
        <f aca="false">IF(COUNTIFS(A:A,A53,F:F,F53)=COUNTIF(A:A,A53),"Correct","Mismatch")</f>
        <v>Correct</v>
      </c>
      <c r="J53" s="1" t="n">
        <f aca="false">(E53/F53)*100</f>
        <v>56.5291666666667</v>
      </c>
      <c r="K53" s="1" t="n">
        <f aca="false">MIN(H:H)</f>
        <v>32</v>
      </c>
    </row>
    <row r="54" customFormat="false" ht="15" hidden="false" customHeight="false" outlineLevel="0" collapsed="false">
      <c r="A54" s="1" t="s">
        <v>10</v>
      </c>
      <c r="B54" s="1" t="s">
        <v>11</v>
      </c>
      <c r="C54" s="1" t="s">
        <v>19</v>
      </c>
      <c r="D54" s="1" t="s">
        <v>40</v>
      </c>
      <c r="E54" s="1" t="n">
        <v>44981</v>
      </c>
      <c r="F54" s="1" t="n">
        <v>120000</v>
      </c>
      <c r="G54" s="1" t="s">
        <v>17</v>
      </c>
      <c r="H54" s="1" t="n">
        <v>35</v>
      </c>
      <c r="I54" s="1" t="str">
        <f aca="false">IF(COUNTIFS(A:A,A54,F:F,F54)=COUNTIF(A:A,A54),"Correct","Mismatch")</f>
        <v>Correct</v>
      </c>
      <c r="J54" s="1" t="n">
        <f aca="false">(E54/F54)*100</f>
        <v>37.4841666666667</v>
      </c>
      <c r="K54" s="1" t="n">
        <f aca="false">MIN(H:H)</f>
        <v>32</v>
      </c>
    </row>
    <row r="55" customFormat="false" ht="15" hidden="false" customHeight="false" outlineLevel="0" collapsed="false">
      <c r="A55" s="1" t="s">
        <v>38</v>
      </c>
      <c r="B55" s="1" t="s">
        <v>11</v>
      </c>
      <c r="C55" s="1" t="s">
        <v>12</v>
      </c>
      <c r="D55" s="1" t="s">
        <v>37</v>
      </c>
      <c r="E55" s="1" t="n">
        <v>37651</v>
      </c>
      <c r="F55" s="1" t="n">
        <v>130000</v>
      </c>
      <c r="G55" s="1" t="s">
        <v>14</v>
      </c>
      <c r="H55" s="1" t="n">
        <v>49</v>
      </c>
      <c r="I55" s="1" t="str">
        <f aca="false">IF(COUNTIFS(A:A,A55,F:F,F55)=COUNTIF(A:A,A55),"Correct","Mismatch")</f>
        <v>Correct</v>
      </c>
      <c r="J55" s="1" t="n">
        <f aca="false">(E55/F55)*100</f>
        <v>28.9623076923077</v>
      </c>
      <c r="K55" s="1" t="n">
        <f aca="false">MIN(H:H)</f>
        <v>32</v>
      </c>
    </row>
    <row r="56" customFormat="false" ht="15" hidden="false" customHeight="false" outlineLevel="0" collapsed="false">
      <c r="A56" s="1" t="s">
        <v>41</v>
      </c>
      <c r="B56" s="1" t="s">
        <v>11</v>
      </c>
      <c r="C56" s="1" t="s">
        <v>12</v>
      </c>
      <c r="D56" s="1" t="s">
        <v>34</v>
      </c>
      <c r="E56" s="1" t="n">
        <v>56457</v>
      </c>
      <c r="F56" s="1" t="n">
        <v>150000</v>
      </c>
      <c r="G56" s="1" t="s">
        <v>17</v>
      </c>
      <c r="H56" s="1" t="n">
        <v>60</v>
      </c>
      <c r="I56" s="1" t="str">
        <f aca="false">IF(COUNTIFS(A:A,A56,F:F,F56)=COUNTIF(A:A,A56),"Correct","Mismatch")</f>
        <v>Correct</v>
      </c>
      <c r="J56" s="1" t="n">
        <f aca="false">(E56/F56)*100</f>
        <v>37.638</v>
      </c>
      <c r="K56" s="1" t="n">
        <f aca="false">MIN(H:H)</f>
        <v>32</v>
      </c>
    </row>
    <row r="57" customFormat="false" ht="15" hidden="false" customHeight="false" outlineLevel="0" collapsed="false">
      <c r="A57" s="1" t="s">
        <v>41</v>
      </c>
      <c r="B57" s="1" t="s">
        <v>11</v>
      </c>
      <c r="C57" s="1" t="s">
        <v>12</v>
      </c>
      <c r="D57" s="1" t="s">
        <v>25</v>
      </c>
      <c r="E57" s="1" t="n">
        <v>45318</v>
      </c>
      <c r="F57" s="1" t="n">
        <v>150000</v>
      </c>
      <c r="G57" s="1" t="s">
        <v>17</v>
      </c>
      <c r="H57" s="1" t="n">
        <v>32</v>
      </c>
      <c r="I57" s="1" t="str">
        <f aca="false">IF(COUNTIFS(A:A,A57,F:F,F57)=COUNTIF(A:A,A57),"Correct","Mismatch")</f>
        <v>Correct</v>
      </c>
      <c r="J57" s="1" t="n">
        <f aca="false">(E57/F57)*100</f>
        <v>30.212</v>
      </c>
      <c r="K57" s="1" t="n">
        <f aca="false">MIN(H:H)</f>
        <v>32</v>
      </c>
    </row>
    <row r="58" customFormat="false" ht="15" hidden="false" customHeight="false" outlineLevel="0" collapsed="false">
      <c r="A58" s="1" t="s">
        <v>36</v>
      </c>
      <c r="B58" s="1" t="s">
        <v>11</v>
      </c>
      <c r="C58" s="1" t="s">
        <v>12</v>
      </c>
      <c r="D58" s="1" t="s">
        <v>32</v>
      </c>
      <c r="E58" s="1" t="n">
        <v>47898</v>
      </c>
      <c r="F58" s="1" t="n">
        <v>180000</v>
      </c>
      <c r="G58" s="1" t="s">
        <v>14</v>
      </c>
      <c r="H58" s="1" t="n">
        <v>52</v>
      </c>
      <c r="I58" s="1" t="str">
        <f aca="false">IF(COUNTIFS(A:A,A58,F:F,F58)=COUNTIF(A:A,A58),"Correct","Mismatch")</f>
        <v>Correct</v>
      </c>
      <c r="J58" s="1" t="n">
        <f aca="false">(E58/F58)*100</f>
        <v>26.61</v>
      </c>
      <c r="K58" s="1" t="n">
        <f aca="false">MIN(H:H)</f>
        <v>32</v>
      </c>
    </row>
    <row r="59" customFormat="false" ht="15" hidden="false" customHeight="false" outlineLevel="0" collapsed="false">
      <c r="A59" s="1" t="s">
        <v>10</v>
      </c>
      <c r="B59" s="1" t="s">
        <v>11</v>
      </c>
      <c r="C59" s="1" t="s">
        <v>12</v>
      </c>
      <c r="D59" s="1" t="s">
        <v>35</v>
      </c>
      <c r="E59" s="1" t="n">
        <v>46327</v>
      </c>
      <c r="F59" s="1" t="n">
        <v>120000</v>
      </c>
      <c r="G59" s="1" t="s">
        <v>14</v>
      </c>
      <c r="H59" s="1" t="n">
        <v>60</v>
      </c>
      <c r="I59" s="1" t="str">
        <f aca="false">IF(COUNTIFS(A:A,A59,F:F,F59)=COUNTIF(A:A,A59),"Correct","Mismatch")</f>
        <v>Correct</v>
      </c>
      <c r="J59" s="1" t="n">
        <f aca="false">(E59/F59)*100</f>
        <v>38.6058333333333</v>
      </c>
      <c r="K59" s="1" t="n">
        <f aca="false">MIN(H:H)</f>
        <v>32</v>
      </c>
    </row>
    <row r="60" customFormat="false" ht="15" hidden="false" customHeight="false" outlineLevel="0" collapsed="false">
      <c r="A60" s="1" t="s">
        <v>22</v>
      </c>
      <c r="B60" s="1" t="s">
        <v>11</v>
      </c>
      <c r="C60" s="1" t="s">
        <v>19</v>
      </c>
      <c r="D60" s="1" t="s">
        <v>13</v>
      </c>
      <c r="E60" s="1" t="n">
        <v>35537</v>
      </c>
      <c r="F60" s="1" t="n">
        <v>125000</v>
      </c>
      <c r="G60" s="1" t="s">
        <v>14</v>
      </c>
      <c r="H60" s="1" t="n">
        <v>55</v>
      </c>
      <c r="I60" s="1" t="str">
        <f aca="false">IF(COUNTIFS(A:A,A60,F:F,F60)=COUNTIF(A:A,A60),"Correct","Mismatch")</f>
        <v>Correct</v>
      </c>
      <c r="J60" s="1" t="n">
        <f aca="false">(E60/F60)*100</f>
        <v>28.4296</v>
      </c>
      <c r="K60" s="1" t="n">
        <f aca="false">MIN(H:H)</f>
        <v>32</v>
      </c>
    </row>
    <row r="61" customFormat="false" ht="15" hidden="false" customHeight="false" outlineLevel="0" collapsed="false">
      <c r="A61" s="1" t="s">
        <v>38</v>
      </c>
      <c r="B61" s="1" t="s">
        <v>11</v>
      </c>
      <c r="C61" s="1" t="s">
        <v>12</v>
      </c>
      <c r="D61" s="1" t="s">
        <v>24</v>
      </c>
      <c r="E61" s="1" t="n">
        <v>18433</v>
      </c>
      <c r="F61" s="1" t="n">
        <v>130000</v>
      </c>
      <c r="G61" s="1" t="s">
        <v>14</v>
      </c>
      <c r="H61" s="1" t="n">
        <v>42</v>
      </c>
      <c r="I61" s="1" t="str">
        <f aca="false">IF(COUNTIFS(A:A,A61,F:F,F61)=COUNTIF(A:A,A61),"Correct","Mismatch")</f>
        <v>Correct</v>
      </c>
      <c r="J61" s="1" t="n">
        <f aca="false">(E61/F61)*100</f>
        <v>14.1792307692308</v>
      </c>
      <c r="K61" s="1" t="n">
        <f aca="false">MIN(H:H)</f>
        <v>32</v>
      </c>
    </row>
    <row r="62" customFormat="false" ht="15" hidden="false" customHeight="false" outlineLevel="0" collapsed="false">
      <c r="A62" s="1" t="s">
        <v>33</v>
      </c>
      <c r="B62" s="1" t="s">
        <v>11</v>
      </c>
      <c r="C62" s="1" t="s">
        <v>12</v>
      </c>
      <c r="D62" s="1" t="s">
        <v>42</v>
      </c>
      <c r="E62" s="1" t="n">
        <v>15309</v>
      </c>
      <c r="F62" s="1" t="n">
        <v>135000</v>
      </c>
      <c r="G62" s="1" t="s">
        <v>14</v>
      </c>
      <c r="H62" s="1" t="n">
        <v>41</v>
      </c>
      <c r="I62" s="1" t="str">
        <f aca="false">IF(COUNTIFS(A:A,A62,F:F,F62)=COUNTIF(A:A,A62),"Correct","Mismatch")</f>
        <v>Correct</v>
      </c>
      <c r="J62" s="1" t="n">
        <f aca="false">(E62/F62)*100</f>
        <v>11.34</v>
      </c>
      <c r="K62" s="1" t="n">
        <f aca="false">MIN(H:H)</f>
        <v>32</v>
      </c>
    </row>
    <row r="63" customFormat="false" ht="15" hidden="false" customHeight="false" outlineLevel="0" collapsed="false">
      <c r="A63" s="1" t="s">
        <v>10</v>
      </c>
      <c r="B63" s="1" t="s">
        <v>11</v>
      </c>
      <c r="C63" s="1" t="s">
        <v>12</v>
      </c>
      <c r="D63" s="1" t="s">
        <v>40</v>
      </c>
      <c r="E63" s="1" t="n">
        <v>76918</v>
      </c>
      <c r="F63" s="1" t="n">
        <v>120000</v>
      </c>
      <c r="G63" s="1" t="s">
        <v>17</v>
      </c>
      <c r="H63" s="1" t="n">
        <v>47</v>
      </c>
      <c r="I63" s="1" t="str">
        <f aca="false">IF(COUNTIFS(A:A,A63,F:F,F63)=COUNTIF(A:A,A63),"Correct","Mismatch")</f>
        <v>Correct</v>
      </c>
      <c r="J63" s="1" t="n">
        <f aca="false">(E63/F63)*100</f>
        <v>64.0983333333333</v>
      </c>
      <c r="K63" s="1" t="n">
        <f aca="false">MIN(H:H)</f>
        <v>32</v>
      </c>
    </row>
    <row r="64" customFormat="false" ht="15" hidden="false" customHeight="false" outlineLevel="0" collapsed="false">
      <c r="A64" s="1" t="s">
        <v>10</v>
      </c>
      <c r="B64" s="1" t="s">
        <v>11</v>
      </c>
      <c r="C64" s="1" t="s">
        <v>12</v>
      </c>
      <c r="D64" s="1" t="s">
        <v>25</v>
      </c>
      <c r="E64" s="1" t="n">
        <v>23352</v>
      </c>
      <c r="F64" s="1" t="n">
        <v>120000</v>
      </c>
      <c r="G64" s="1" t="s">
        <v>17</v>
      </c>
      <c r="H64" s="1" t="n">
        <v>34</v>
      </c>
      <c r="I64" s="1" t="str">
        <f aca="false">IF(COUNTIFS(A:A,A64,F:F,F64)=COUNTIF(A:A,A64),"Correct","Mismatch")</f>
        <v>Correct</v>
      </c>
      <c r="J64" s="1" t="n">
        <f aca="false">(E64/F64)*100</f>
        <v>19.46</v>
      </c>
      <c r="K64" s="1" t="n">
        <f aca="false">MIN(H:H)</f>
        <v>32</v>
      </c>
    </row>
    <row r="65" customFormat="false" ht="15" hidden="false" customHeight="false" outlineLevel="0" collapsed="false">
      <c r="A65" s="1" t="s">
        <v>28</v>
      </c>
      <c r="B65" s="1" t="s">
        <v>11</v>
      </c>
      <c r="C65" s="1" t="s">
        <v>19</v>
      </c>
      <c r="D65" s="1" t="s">
        <v>27</v>
      </c>
      <c r="E65" s="1" t="n">
        <v>53781</v>
      </c>
      <c r="F65" s="1" t="n">
        <v>110000</v>
      </c>
      <c r="G65" s="1" t="s">
        <v>14</v>
      </c>
      <c r="H65" s="1" t="n">
        <v>48</v>
      </c>
      <c r="I65" s="1" t="str">
        <f aca="false">IF(COUNTIFS(A:A,A65,F:F,F65)=COUNTIF(A:A,A65),"Correct","Mismatch")</f>
        <v>Correct</v>
      </c>
      <c r="J65" s="1" t="n">
        <f aca="false">(E65/F65)*100</f>
        <v>48.8918181818182</v>
      </c>
      <c r="K65" s="1" t="n">
        <f aca="false">MIN(H:H)</f>
        <v>32</v>
      </c>
    </row>
    <row r="66" customFormat="false" ht="15" hidden="false" customHeight="false" outlineLevel="0" collapsed="false">
      <c r="A66" s="1" t="s">
        <v>22</v>
      </c>
      <c r="B66" s="1" t="s">
        <v>11</v>
      </c>
      <c r="C66" s="1" t="s">
        <v>26</v>
      </c>
      <c r="D66" s="1" t="s">
        <v>16</v>
      </c>
      <c r="E66" s="1" t="n">
        <v>36385</v>
      </c>
      <c r="F66" s="1" t="n">
        <v>125000</v>
      </c>
      <c r="G66" s="1" t="s">
        <v>17</v>
      </c>
      <c r="H66" s="1" t="n">
        <v>54</v>
      </c>
      <c r="I66" s="1" t="str">
        <f aca="false">IF(COUNTIFS(A:A,A66,F:F,F66)=COUNTIF(A:A,A66),"Correct","Mismatch")</f>
        <v>Correct</v>
      </c>
      <c r="J66" s="1" t="n">
        <f aca="false">(E66/F66)*100</f>
        <v>29.108</v>
      </c>
      <c r="K66" s="1" t="n">
        <f aca="false">MIN(H:H)</f>
        <v>32</v>
      </c>
    </row>
    <row r="67" customFormat="false" ht="15" hidden="false" customHeight="false" outlineLevel="0" collapsed="false">
      <c r="A67" s="1" t="s">
        <v>41</v>
      </c>
      <c r="B67" s="1" t="s">
        <v>11</v>
      </c>
      <c r="C67" s="1" t="s">
        <v>20</v>
      </c>
      <c r="D67" s="1" t="s">
        <v>16</v>
      </c>
      <c r="E67" s="1" t="n">
        <v>63898</v>
      </c>
      <c r="F67" s="1" t="n">
        <v>150000</v>
      </c>
      <c r="G67" s="1" t="s">
        <v>17</v>
      </c>
      <c r="H67" s="1" t="n">
        <v>50</v>
      </c>
      <c r="I67" s="1" t="str">
        <f aca="false">IF(COUNTIFS(A:A,A67,F:F,F67)=COUNTIF(A:A,A67),"Correct","Mismatch")</f>
        <v>Correct</v>
      </c>
      <c r="J67" s="1" t="n">
        <f aca="false">(E67/F67)*100</f>
        <v>42.5986666666667</v>
      </c>
      <c r="K67" s="1" t="n">
        <f aca="false">MIN(H:H)</f>
        <v>32</v>
      </c>
    </row>
    <row r="68" customFormat="false" ht="15" hidden="false" customHeight="false" outlineLevel="0" collapsed="false">
      <c r="A68" s="1" t="s">
        <v>18</v>
      </c>
      <c r="B68" s="1" t="s">
        <v>11</v>
      </c>
      <c r="C68" s="1" t="s">
        <v>26</v>
      </c>
      <c r="D68" s="1" t="s">
        <v>31</v>
      </c>
      <c r="E68" s="1" t="n">
        <v>35004</v>
      </c>
      <c r="F68" s="1" t="n">
        <v>160000</v>
      </c>
      <c r="G68" s="1" t="s">
        <v>17</v>
      </c>
      <c r="H68" s="1" t="n">
        <v>56</v>
      </c>
      <c r="I68" s="1" t="str">
        <f aca="false">IF(COUNTIFS(A:A,A68,F:F,F68)=COUNTIF(A:A,A68),"Correct","Mismatch")</f>
        <v>Correct</v>
      </c>
      <c r="J68" s="1" t="n">
        <f aca="false">(E68/F68)*100</f>
        <v>21.8775</v>
      </c>
      <c r="K68" s="1" t="n">
        <f aca="false">MIN(H:H)</f>
        <v>32</v>
      </c>
    </row>
    <row r="69" customFormat="false" ht="15" hidden="false" customHeight="false" outlineLevel="0" collapsed="false">
      <c r="A69" s="1" t="s">
        <v>28</v>
      </c>
      <c r="B69" s="1" t="s">
        <v>11</v>
      </c>
      <c r="C69" s="1" t="s">
        <v>20</v>
      </c>
      <c r="D69" s="1" t="s">
        <v>42</v>
      </c>
      <c r="E69" s="1" t="n">
        <v>18809</v>
      </c>
      <c r="F69" s="1" t="n">
        <v>110000</v>
      </c>
      <c r="G69" s="1" t="s">
        <v>14</v>
      </c>
      <c r="H69" s="1" t="n">
        <v>40</v>
      </c>
      <c r="I69" s="1" t="str">
        <f aca="false">IF(COUNTIFS(A:A,A69,F:F,F69)=COUNTIF(A:A,A69),"Correct","Mismatch")</f>
        <v>Correct</v>
      </c>
      <c r="J69" s="1" t="n">
        <f aca="false">(E69/F69)*100</f>
        <v>17.0990909090909</v>
      </c>
      <c r="K69" s="1" t="n">
        <f aca="false">MIN(H:H)</f>
        <v>32</v>
      </c>
    </row>
    <row r="70" customFormat="false" ht="15" hidden="false" customHeight="false" outlineLevel="0" collapsed="false">
      <c r="A70" s="1" t="s">
        <v>36</v>
      </c>
      <c r="B70" s="1" t="s">
        <v>11</v>
      </c>
      <c r="C70" s="1" t="s">
        <v>26</v>
      </c>
      <c r="D70" s="1" t="s">
        <v>27</v>
      </c>
      <c r="E70" s="1" t="n">
        <v>35123</v>
      </c>
      <c r="F70" s="1" t="n">
        <v>180000</v>
      </c>
      <c r="G70" s="1" t="s">
        <v>14</v>
      </c>
      <c r="H70" s="1" t="n">
        <v>43</v>
      </c>
      <c r="I70" s="1" t="str">
        <f aca="false">IF(COUNTIFS(A:A,A70,F:F,F70)=COUNTIF(A:A,A70),"Correct","Mismatch")</f>
        <v>Correct</v>
      </c>
      <c r="J70" s="1" t="n">
        <f aca="false">(E70/F70)*100</f>
        <v>19.5127777777778</v>
      </c>
      <c r="K70" s="1" t="n">
        <f aca="false">MIN(H:H)</f>
        <v>32</v>
      </c>
    </row>
    <row r="71" customFormat="false" ht="15" hidden="false" customHeight="false" outlineLevel="0" collapsed="false">
      <c r="A71" s="1" t="s">
        <v>36</v>
      </c>
      <c r="B71" s="1" t="s">
        <v>11</v>
      </c>
      <c r="C71" s="1" t="s">
        <v>12</v>
      </c>
      <c r="D71" s="1" t="s">
        <v>29</v>
      </c>
      <c r="E71" s="1" t="n">
        <v>55919</v>
      </c>
      <c r="F71" s="1" t="n">
        <v>180000</v>
      </c>
      <c r="G71" s="1" t="s">
        <v>14</v>
      </c>
      <c r="H71" s="1" t="n">
        <v>52</v>
      </c>
      <c r="I71" s="1" t="str">
        <f aca="false">IF(COUNTIFS(A:A,A71,F:F,F71)=COUNTIF(A:A,A71),"Correct","Mismatch")</f>
        <v>Correct</v>
      </c>
      <c r="J71" s="1" t="n">
        <f aca="false">(E71/F71)*100</f>
        <v>31.0661111111111</v>
      </c>
      <c r="K71" s="1" t="n">
        <f aca="false">MIN(H:H)</f>
        <v>32</v>
      </c>
    </row>
    <row r="72" customFormat="false" ht="15" hidden="false" customHeight="false" outlineLevel="0" collapsed="false">
      <c r="A72" s="1" t="s">
        <v>18</v>
      </c>
      <c r="B72" s="1" t="s">
        <v>11</v>
      </c>
      <c r="C72" s="1" t="s">
        <v>12</v>
      </c>
      <c r="D72" s="1" t="s">
        <v>39</v>
      </c>
      <c r="E72" s="1" t="n">
        <v>68667</v>
      </c>
      <c r="F72" s="1" t="n">
        <v>160000</v>
      </c>
      <c r="G72" s="1" t="s">
        <v>17</v>
      </c>
      <c r="H72" s="1" t="n">
        <v>60</v>
      </c>
      <c r="I72" s="1" t="str">
        <f aca="false">IF(COUNTIFS(A:A,A72,F:F,F72)=COUNTIF(A:A,A72),"Correct","Mismatch")</f>
        <v>Correct</v>
      </c>
      <c r="J72" s="1" t="n">
        <f aca="false">(E72/F72)*100</f>
        <v>42.916875</v>
      </c>
      <c r="K72" s="1" t="n">
        <f aca="false">MIN(H:H)</f>
        <v>32</v>
      </c>
    </row>
    <row r="73" customFormat="false" ht="15" hidden="false" customHeight="false" outlineLevel="0" collapsed="false">
      <c r="A73" s="1" t="s">
        <v>41</v>
      </c>
      <c r="B73" s="1" t="s">
        <v>11</v>
      </c>
      <c r="C73" s="1" t="s">
        <v>20</v>
      </c>
      <c r="D73" s="1" t="s">
        <v>29</v>
      </c>
      <c r="E73" s="1" t="n">
        <v>27489</v>
      </c>
      <c r="F73" s="1" t="n">
        <v>150000</v>
      </c>
      <c r="G73" s="1" t="s">
        <v>14</v>
      </c>
      <c r="H73" s="1" t="n">
        <v>56</v>
      </c>
      <c r="I73" s="1" t="str">
        <f aca="false">IF(COUNTIFS(A:A,A73,F:F,F73)=COUNTIF(A:A,A73),"Correct","Mismatch")</f>
        <v>Correct</v>
      </c>
      <c r="J73" s="1" t="n">
        <f aca="false">(E73/F73)*100</f>
        <v>18.326</v>
      </c>
      <c r="K73" s="1" t="n">
        <f aca="false">MIN(H:H)</f>
        <v>32</v>
      </c>
    </row>
    <row r="74" customFormat="false" ht="15" hidden="false" customHeight="false" outlineLevel="0" collapsed="false">
      <c r="A74" s="1" t="s">
        <v>33</v>
      </c>
      <c r="B74" s="1" t="s">
        <v>11</v>
      </c>
      <c r="C74" s="1" t="s">
        <v>26</v>
      </c>
      <c r="D74" s="1" t="s">
        <v>40</v>
      </c>
      <c r="E74" s="1" t="n">
        <v>44876</v>
      </c>
      <c r="F74" s="1" t="n">
        <v>135000</v>
      </c>
      <c r="G74" s="1" t="s">
        <v>17</v>
      </c>
      <c r="H74" s="1" t="n">
        <v>47</v>
      </c>
      <c r="I74" s="1" t="str">
        <f aca="false">IF(COUNTIFS(A:A,A74,F:F,F74)=COUNTIF(A:A,A74),"Correct","Mismatch")</f>
        <v>Correct</v>
      </c>
      <c r="J74" s="1" t="n">
        <f aca="false">(E74/F74)*100</f>
        <v>33.2414814814815</v>
      </c>
      <c r="K74" s="1" t="n">
        <f aca="false">MIN(H:H)</f>
        <v>32</v>
      </c>
    </row>
    <row r="75" customFormat="false" ht="15" hidden="false" customHeight="false" outlineLevel="0" collapsed="false">
      <c r="A75" s="1" t="s">
        <v>15</v>
      </c>
      <c r="B75" s="1" t="s">
        <v>11</v>
      </c>
      <c r="C75" s="1" t="s">
        <v>12</v>
      </c>
      <c r="D75" s="1" t="s">
        <v>13</v>
      </c>
      <c r="E75" s="1" t="n">
        <v>45634</v>
      </c>
      <c r="F75" s="1" t="n">
        <v>140000</v>
      </c>
      <c r="G75" s="1" t="s">
        <v>14</v>
      </c>
      <c r="H75" s="1" t="n">
        <v>58</v>
      </c>
      <c r="I75" s="1" t="str">
        <f aca="false">IF(COUNTIFS(A:A,A75,F:F,F75)=COUNTIF(A:A,A75),"Correct","Mismatch")</f>
        <v>Correct</v>
      </c>
      <c r="J75" s="1" t="n">
        <f aca="false">(E75/F75)*100</f>
        <v>32.5957142857143</v>
      </c>
      <c r="K75" s="1" t="n">
        <f aca="false">MIN(H:H)</f>
        <v>32</v>
      </c>
    </row>
    <row r="76" customFormat="false" ht="15" hidden="false" customHeight="false" outlineLevel="0" collapsed="false">
      <c r="A76" s="1" t="s">
        <v>22</v>
      </c>
      <c r="B76" s="1" t="s">
        <v>11</v>
      </c>
      <c r="C76" s="1" t="s">
        <v>20</v>
      </c>
      <c r="D76" s="1" t="s">
        <v>44</v>
      </c>
      <c r="E76" s="1" t="n">
        <v>40513</v>
      </c>
      <c r="F76" s="1" t="n">
        <v>125000</v>
      </c>
      <c r="G76" s="1" t="s">
        <v>14</v>
      </c>
      <c r="H76" s="1" t="n">
        <v>58</v>
      </c>
      <c r="I76" s="1" t="str">
        <f aca="false">IF(COUNTIFS(A:A,A76,F:F,F76)=COUNTIF(A:A,A76),"Correct","Mismatch")</f>
        <v>Correct</v>
      </c>
      <c r="J76" s="1" t="n">
        <f aca="false">(E76/F76)*100</f>
        <v>32.4104</v>
      </c>
      <c r="K76" s="1" t="n">
        <f aca="false">MIN(H:H)</f>
        <v>32</v>
      </c>
    </row>
    <row r="77" customFormat="false" ht="15" hidden="false" customHeight="false" outlineLevel="0" collapsed="false">
      <c r="A77" s="1" t="s">
        <v>38</v>
      </c>
      <c r="B77" s="1" t="s">
        <v>11</v>
      </c>
      <c r="C77" s="1" t="s">
        <v>19</v>
      </c>
      <c r="D77" s="1" t="s">
        <v>16</v>
      </c>
      <c r="E77" s="1" t="n">
        <v>75871</v>
      </c>
      <c r="F77" s="1" t="n">
        <v>130000</v>
      </c>
      <c r="G77" s="1" t="s">
        <v>17</v>
      </c>
      <c r="H77" s="1" t="n">
        <v>36</v>
      </c>
      <c r="I77" s="1" t="str">
        <f aca="false">IF(COUNTIFS(A:A,A77,F:F,F77)=COUNTIF(A:A,A77),"Correct","Mismatch")</f>
        <v>Correct</v>
      </c>
      <c r="J77" s="1" t="n">
        <f aca="false">(E77/F77)*100</f>
        <v>58.3623076923077</v>
      </c>
      <c r="K77" s="1" t="n">
        <f aca="false">MIN(H:H)</f>
        <v>32</v>
      </c>
    </row>
    <row r="78" customFormat="false" ht="15" hidden="false" customHeight="false" outlineLevel="0" collapsed="false">
      <c r="A78" s="1" t="s">
        <v>10</v>
      </c>
      <c r="B78" s="1" t="s">
        <v>11</v>
      </c>
      <c r="C78" s="1" t="s">
        <v>20</v>
      </c>
      <c r="D78" s="1" t="s">
        <v>24</v>
      </c>
      <c r="E78" s="1" t="n">
        <v>20624</v>
      </c>
      <c r="F78" s="1" t="n">
        <v>120000</v>
      </c>
      <c r="G78" s="1" t="s">
        <v>14</v>
      </c>
      <c r="H78" s="1" t="n">
        <v>59</v>
      </c>
      <c r="I78" s="1" t="str">
        <f aca="false">IF(COUNTIFS(A:A,A78,F:F,F78)=COUNTIF(A:A,A78),"Correct","Mismatch")</f>
        <v>Correct</v>
      </c>
      <c r="J78" s="1" t="n">
        <f aca="false">(E78/F78)*100</f>
        <v>17.1866666666667</v>
      </c>
      <c r="K78" s="1" t="n">
        <f aca="false">MIN(H:H)</f>
        <v>32</v>
      </c>
    </row>
    <row r="79" customFormat="false" ht="15" hidden="false" customHeight="false" outlineLevel="0" collapsed="false">
      <c r="A79" s="1" t="s">
        <v>36</v>
      </c>
      <c r="B79" s="1" t="s">
        <v>11</v>
      </c>
      <c r="C79" s="1" t="s">
        <v>12</v>
      </c>
      <c r="D79" s="1" t="s">
        <v>43</v>
      </c>
      <c r="E79" s="1" t="n">
        <v>42144</v>
      </c>
      <c r="F79" s="1" t="n">
        <v>180000</v>
      </c>
      <c r="G79" s="1" t="s">
        <v>14</v>
      </c>
      <c r="H79" s="1" t="n">
        <v>50</v>
      </c>
      <c r="I79" s="1" t="str">
        <f aca="false">IF(COUNTIFS(A:A,A79,F:F,F79)=COUNTIF(A:A,A79),"Correct","Mismatch")</f>
        <v>Correct</v>
      </c>
      <c r="J79" s="1" t="n">
        <f aca="false">(E79/F79)*100</f>
        <v>23.4133333333333</v>
      </c>
      <c r="K79" s="1" t="n">
        <f aca="false">MIN(H:H)</f>
        <v>32</v>
      </c>
    </row>
    <row r="80" customFormat="false" ht="15" hidden="false" customHeight="false" outlineLevel="0" collapsed="false">
      <c r="A80" s="1" t="s">
        <v>28</v>
      </c>
      <c r="B80" s="1" t="s">
        <v>11</v>
      </c>
      <c r="C80" s="1" t="s">
        <v>20</v>
      </c>
      <c r="D80" s="1" t="s">
        <v>32</v>
      </c>
      <c r="E80" s="1" t="n">
        <v>65434</v>
      </c>
      <c r="F80" s="1" t="n">
        <v>110000</v>
      </c>
      <c r="G80" s="1" t="s">
        <v>14</v>
      </c>
      <c r="H80" s="1" t="n">
        <v>59</v>
      </c>
      <c r="I80" s="1" t="str">
        <f aca="false">IF(COUNTIFS(A:A,A80,F:F,F80)=COUNTIF(A:A,A80),"Correct","Mismatch")</f>
        <v>Correct</v>
      </c>
      <c r="J80" s="1" t="n">
        <f aca="false">(E80/F80)*100</f>
        <v>59.4854545454545</v>
      </c>
      <c r="K80" s="1" t="n">
        <f aca="false">MIN(H:H)</f>
        <v>32</v>
      </c>
    </row>
    <row r="81" customFormat="false" ht="15" hidden="false" customHeight="false" outlineLevel="0" collapsed="false">
      <c r="A81" s="1" t="s">
        <v>41</v>
      </c>
      <c r="B81" s="1" t="s">
        <v>11</v>
      </c>
      <c r="C81" s="1" t="s">
        <v>12</v>
      </c>
      <c r="D81" s="1" t="s">
        <v>30</v>
      </c>
      <c r="E81" s="1" t="n">
        <v>39832</v>
      </c>
      <c r="F81" s="1" t="n">
        <v>150000</v>
      </c>
      <c r="G81" s="1" t="s">
        <v>17</v>
      </c>
      <c r="H81" s="1" t="n">
        <v>54</v>
      </c>
      <c r="I81" s="1" t="str">
        <f aca="false">IF(COUNTIFS(A:A,A81,F:F,F81)=COUNTIF(A:A,A81),"Correct","Mismatch")</f>
        <v>Correct</v>
      </c>
      <c r="J81" s="1" t="n">
        <f aca="false">(E81/F81)*100</f>
        <v>26.5546666666667</v>
      </c>
      <c r="K81" s="1" t="n">
        <f aca="false">MIN(H:H)</f>
        <v>32</v>
      </c>
    </row>
    <row r="82" customFormat="false" ht="15" hidden="false" customHeight="false" outlineLevel="0" collapsed="false">
      <c r="A82" s="1" t="s">
        <v>10</v>
      </c>
      <c r="B82" s="1" t="s">
        <v>11</v>
      </c>
      <c r="C82" s="1" t="s">
        <v>19</v>
      </c>
      <c r="D82" s="1" t="s">
        <v>44</v>
      </c>
      <c r="E82" s="1" t="n">
        <v>24935</v>
      </c>
      <c r="F82" s="1" t="n">
        <v>120000</v>
      </c>
      <c r="G82" s="1" t="s">
        <v>14</v>
      </c>
      <c r="H82" s="1" t="n">
        <v>50</v>
      </c>
      <c r="I82" s="1" t="str">
        <f aca="false">IF(COUNTIFS(A:A,A82,F:F,F82)=COUNTIF(A:A,A82),"Correct","Mismatch")</f>
        <v>Correct</v>
      </c>
      <c r="J82" s="1" t="n">
        <f aca="false">(E82/F82)*100</f>
        <v>20.7791666666667</v>
      </c>
      <c r="K82" s="1" t="n">
        <f aca="false">MIN(H:H)</f>
        <v>32</v>
      </c>
    </row>
    <row r="83" customFormat="false" ht="15" hidden="false" customHeight="false" outlineLevel="0" collapsed="false">
      <c r="A83" s="1" t="s">
        <v>22</v>
      </c>
      <c r="B83" s="1" t="s">
        <v>11</v>
      </c>
      <c r="C83" s="1" t="s">
        <v>26</v>
      </c>
      <c r="D83" s="1" t="s">
        <v>29</v>
      </c>
      <c r="E83" s="1" t="n">
        <v>72994</v>
      </c>
      <c r="F83" s="1" t="n">
        <v>125000</v>
      </c>
      <c r="G83" s="1" t="s">
        <v>14</v>
      </c>
      <c r="H83" s="1" t="n">
        <v>39</v>
      </c>
      <c r="I83" s="1" t="str">
        <f aca="false">IF(COUNTIFS(A:A,A83,F:F,F83)=COUNTIF(A:A,A83),"Correct","Mismatch")</f>
        <v>Correct</v>
      </c>
      <c r="J83" s="1" t="n">
        <f aca="false">(E83/F83)*100</f>
        <v>58.3952</v>
      </c>
      <c r="K83" s="1" t="n">
        <f aca="false">MIN(H:H)</f>
        <v>32</v>
      </c>
    </row>
    <row r="84" customFormat="false" ht="15" hidden="false" customHeight="false" outlineLevel="0" collapsed="false">
      <c r="A84" s="1" t="s">
        <v>38</v>
      </c>
      <c r="B84" s="1" t="s">
        <v>11</v>
      </c>
      <c r="C84" s="1" t="s">
        <v>20</v>
      </c>
      <c r="D84" s="1" t="s">
        <v>29</v>
      </c>
      <c r="E84" s="1" t="n">
        <v>21180</v>
      </c>
      <c r="F84" s="1" t="n">
        <v>130000</v>
      </c>
      <c r="G84" s="1" t="s">
        <v>14</v>
      </c>
      <c r="H84" s="1" t="n">
        <v>54</v>
      </c>
      <c r="I84" s="1" t="str">
        <f aca="false">IF(COUNTIFS(A:A,A84,F:F,F84)=COUNTIF(A:A,A84),"Correct","Mismatch")</f>
        <v>Correct</v>
      </c>
      <c r="J84" s="1" t="n">
        <f aca="false">(E84/F84)*100</f>
        <v>16.2923076923077</v>
      </c>
      <c r="K84" s="1" t="n">
        <f aca="false">MIN(H:H)</f>
        <v>32</v>
      </c>
    </row>
    <row r="85" customFormat="false" ht="15" hidden="false" customHeight="false" outlineLevel="0" collapsed="false">
      <c r="A85" s="1" t="s">
        <v>41</v>
      </c>
      <c r="B85" s="1" t="s">
        <v>11</v>
      </c>
      <c r="C85" s="1" t="s">
        <v>26</v>
      </c>
      <c r="D85" s="1" t="s">
        <v>30</v>
      </c>
      <c r="E85" s="1" t="n">
        <v>25649</v>
      </c>
      <c r="F85" s="1" t="n">
        <v>150000</v>
      </c>
      <c r="G85" s="1" t="s">
        <v>17</v>
      </c>
      <c r="H85" s="1" t="n">
        <v>33</v>
      </c>
      <c r="I85" s="1" t="str">
        <f aca="false">IF(COUNTIFS(A:A,A85,F:F,F85)=COUNTIF(A:A,A85),"Correct","Mismatch")</f>
        <v>Correct</v>
      </c>
      <c r="J85" s="1" t="n">
        <f aca="false">(E85/F85)*100</f>
        <v>17.0993333333333</v>
      </c>
      <c r="K85" s="1" t="n">
        <f aca="false">MIN(H:H)</f>
        <v>32</v>
      </c>
    </row>
    <row r="86" customFormat="false" ht="15" hidden="false" customHeight="false" outlineLevel="0" collapsed="false">
      <c r="A86" s="1" t="s">
        <v>22</v>
      </c>
      <c r="B86" s="1" t="s">
        <v>11</v>
      </c>
      <c r="C86" s="1" t="s">
        <v>12</v>
      </c>
      <c r="D86" s="1" t="s">
        <v>35</v>
      </c>
      <c r="E86" s="1" t="n">
        <v>22558</v>
      </c>
      <c r="F86" s="1" t="n">
        <v>125000</v>
      </c>
      <c r="G86" s="1" t="s">
        <v>14</v>
      </c>
      <c r="H86" s="1" t="n">
        <v>54</v>
      </c>
      <c r="I86" s="1" t="str">
        <f aca="false">IF(COUNTIFS(A:A,A86,F:F,F86)=COUNTIF(A:A,A86),"Correct","Mismatch")</f>
        <v>Correct</v>
      </c>
      <c r="J86" s="1" t="n">
        <f aca="false">(E86/F86)*100</f>
        <v>18.0464</v>
      </c>
      <c r="K86" s="1" t="n">
        <f aca="false">MIN(H:H)</f>
        <v>32</v>
      </c>
    </row>
    <row r="87" customFormat="false" ht="15" hidden="false" customHeight="false" outlineLevel="0" collapsed="false">
      <c r="A87" s="1" t="s">
        <v>18</v>
      </c>
      <c r="B87" s="1" t="s">
        <v>11</v>
      </c>
      <c r="C87" s="1" t="s">
        <v>26</v>
      </c>
      <c r="D87" s="1" t="s">
        <v>39</v>
      </c>
      <c r="E87" s="1" t="n">
        <v>21976</v>
      </c>
      <c r="F87" s="1" t="n">
        <v>160000</v>
      </c>
      <c r="G87" s="1" t="s">
        <v>17</v>
      </c>
      <c r="H87" s="1" t="n">
        <v>53</v>
      </c>
      <c r="I87" s="1" t="str">
        <f aca="false">IF(COUNTIFS(A:A,A87,F:F,F87)=COUNTIF(A:A,A87),"Correct","Mismatch")</f>
        <v>Correct</v>
      </c>
      <c r="J87" s="1" t="n">
        <f aca="false">(E87/F87)*100</f>
        <v>13.735</v>
      </c>
      <c r="K87" s="1" t="n">
        <f aca="false">MIN(H:H)</f>
        <v>32</v>
      </c>
    </row>
    <row r="88" customFormat="false" ht="15" hidden="false" customHeight="false" outlineLevel="0" collapsed="false">
      <c r="A88" s="1" t="s">
        <v>15</v>
      </c>
      <c r="B88" s="1" t="s">
        <v>11</v>
      </c>
      <c r="C88" s="1" t="s">
        <v>26</v>
      </c>
      <c r="D88" s="1" t="s">
        <v>27</v>
      </c>
      <c r="E88" s="1" t="n">
        <v>61672</v>
      </c>
      <c r="F88" s="1" t="n">
        <v>140000</v>
      </c>
      <c r="G88" s="1" t="s">
        <v>14</v>
      </c>
      <c r="H88" s="1" t="n">
        <v>48</v>
      </c>
      <c r="I88" s="1" t="str">
        <f aca="false">IF(COUNTIFS(A:A,A88,F:F,F88)=COUNTIF(A:A,A88),"Correct","Mismatch")</f>
        <v>Correct</v>
      </c>
      <c r="J88" s="1" t="n">
        <f aca="false">(E88/F88)*100</f>
        <v>44.0514285714286</v>
      </c>
      <c r="K88" s="1" t="n">
        <f aca="false">MIN(H:H)</f>
        <v>32</v>
      </c>
    </row>
    <row r="89" customFormat="false" ht="15" hidden="false" customHeight="false" outlineLevel="0" collapsed="false">
      <c r="A89" s="1" t="s">
        <v>33</v>
      </c>
      <c r="B89" s="1" t="s">
        <v>11</v>
      </c>
      <c r="C89" s="1" t="s">
        <v>20</v>
      </c>
      <c r="D89" s="1" t="s">
        <v>35</v>
      </c>
      <c r="E89" s="1" t="n">
        <v>17557</v>
      </c>
      <c r="F89" s="1" t="n">
        <v>135000</v>
      </c>
      <c r="G89" s="1" t="s">
        <v>14</v>
      </c>
      <c r="H89" s="1" t="n">
        <v>48</v>
      </c>
      <c r="I89" s="1" t="str">
        <f aca="false">IF(COUNTIFS(A:A,A89,F:F,F89)=COUNTIF(A:A,A89),"Correct","Mismatch")</f>
        <v>Correct</v>
      </c>
      <c r="J89" s="1" t="n">
        <f aca="false">(E89/F89)*100</f>
        <v>13.0051851851852</v>
      </c>
      <c r="K89" s="1" t="n">
        <f aca="false">MIN(H:H)</f>
        <v>32</v>
      </c>
    </row>
    <row r="90" customFormat="false" ht="15" hidden="false" customHeight="false" outlineLevel="0" collapsed="false">
      <c r="A90" s="1" t="s">
        <v>41</v>
      </c>
      <c r="B90" s="1" t="s">
        <v>11</v>
      </c>
      <c r="C90" s="1" t="s">
        <v>19</v>
      </c>
      <c r="D90" s="1" t="s">
        <v>37</v>
      </c>
      <c r="E90" s="1" t="n">
        <v>32280</v>
      </c>
      <c r="F90" s="1" t="n">
        <v>150000</v>
      </c>
      <c r="G90" s="1" t="s">
        <v>14</v>
      </c>
      <c r="H90" s="1" t="n">
        <v>34</v>
      </c>
      <c r="I90" s="1" t="str">
        <f aca="false">IF(COUNTIFS(A:A,A90,F:F,F90)=COUNTIF(A:A,A90),"Correct","Mismatch")</f>
        <v>Correct</v>
      </c>
      <c r="J90" s="1" t="n">
        <f aca="false">(E90/F90)*100</f>
        <v>21.52</v>
      </c>
      <c r="K90" s="1" t="n">
        <f aca="false">MIN(H:H)</f>
        <v>32</v>
      </c>
    </row>
    <row r="91" customFormat="false" ht="15" hidden="false" customHeight="false" outlineLevel="0" collapsed="false">
      <c r="A91" s="1" t="s">
        <v>10</v>
      </c>
      <c r="B91" s="1" t="s">
        <v>11</v>
      </c>
      <c r="C91" s="1" t="s">
        <v>20</v>
      </c>
      <c r="D91" s="1" t="s">
        <v>21</v>
      </c>
      <c r="E91" s="1" t="n">
        <v>35598</v>
      </c>
      <c r="F91" s="1" t="n">
        <v>120000</v>
      </c>
      <c r="G91" s="1" t="s">
        <v>17</v>
      </c>
      <c r="H91" s="1" t="n">
        <v>47</v>
      </c>
      <c r="I91" s="1" t="str">
        <f aca="false">IF(COUNTIFS(A:A,A91,F:F,F91)=COUNTIF(A:A,A91),"Correct","Mismatch")</f>
        <v>Correct</v>
      </c>
      <c r="J91" s="1" t="n">
        <f aca="false">(E91/F91)*100</f>
        <v>29.665</v>
      </c>
      <c r="K91" s="1" t="n">
        <f aca="false">MIN(H:H)</f>
        <v>32</v>
      </c>
    </row>
    <row r="92" customFormat="false" ht="15" hidden="false" customHeight="false" outlineLevel="0" collapsed="false">
      <c r="A92" s="1" t="s">
        <v>38</v>
      </c>
      <c r="B92" s="1" t="s">
        <v>11</v>
      </c>
      <c r="C92" s="1" t="s">
        <v>26</v>
      </c>
      <c r="D92" s="1" t="s">
        <v>30</v>
      </c>
      <c r="E92" s="1" t="n">
        <v>73832</v>
      </c>
      <c r="F92" s="1" t="n">
        <v>130000</v>
      </c>
      <c r="G92" s="1" t="s">
        <v>17</v>
      </c>
      <c r="H92" s="1" t="n">
        <v>57</v>
      </c>
      <c r="I92" s="1" t="str">
        <f aca="false">IF(COUNTIFS(A:A,A92,F:F,F92)=COUNTIF(A:A,A92),"Correct","Mismatch")</f>
        <v>Correct</v>
      </c>
      <c r="J92" s="1" t="n">
        <f aca="false">(E92/F92)*100</f>
        <v>56.7938461538462</v>
      </c>
      <c r="K92" s="1" t="n">
        <f aca="false">MIN(H:H)</f>
        <v>32</v>
      </c>
    </row>
    <row r="93" customFormat="false" ht="15" hidden="false" customHeight="false" outlineLevel="0" collapsed="false">
      <c r="A93" s="1" t="s">
        <v>23</v>
      </c>
      <c r="B93" s="1" t="s">
        <v>11</v>
      </c>
      <c r="C93" s="1" t="s">
        <v>12</v>
      </c>
      <c r="D93" s="1" t="s">
        <v>39</v>
      </c>
      <c r="E93" s="1" t="n">
        <v>76880</v>
      </c>
      <c r="F93" s="1" t="n">
        <v>145000</v>
      </c>
      <c r="G93" s="1" t="s">
        <v>17</v>
      </c>
      <c r="H93" s="1" t="n">
        <v>38</v>
      </c>
      <c r="I93" s="1" t="str">
        <f aca="false">IF(COUNTIFS(A:A,A93,F:F,F93)=COUNTIF(A:A,A93),"Correct","Mismatch")</f>
        <v>Correct</v>
      </c>
      <c r="J93" s="1" t="n">
        <f aca="false">(E93/F93)*100</f>
        <v>53.0206896551724</v>
      </c>
      <c r="K93" s="1" t="n">
        <f aca="false">MIN(H:H)</f>
        <v>32</v>
      </c>
    </row>
    <row r="94" customFormat="false" ht="15" hidden="false" customHeight="false" outlineLevel="0" collapsed="false">
      <c r="A94" s="1" t="s">
        <v>36</v>
      </c>
      <c r="B94" s="1" t="s">
        <v>11</v>
      </c>
      <c r="C94" s="1" t="s">
        <v>20</v>
      </c>
      <c r="D94" s="1" t="s">
        <v>25</v>
      </c>
      <c r="E94" s="1" t="n">
        <v>65178</v>
      </c>
      <c r="F94" s="1" t="n">
        <v>180000</v>
      </c>
      <c r="G94" s="1" t="s">
        <v>17</v>
      </c>
      <c r="H94" s="1" t="n">
        <v>39</v>
      </c>
      <c r="I94" s="1" t="str">
        <f aca="false">IF(COUNTIFS(A:A,A94,F:F,F94)=COUNTIF(A:A,A94),"Correct","Mismatch")</f>
        <v>Correct</v>
      </c>
      <c r="J94" s="1" t="n">
        <f aca="false">(E94/F94)*100</f>
        <v>36.21</v>
      </c>
      <c r="K94" s="1" t="n">
        <f aca="false">MIN(H:H)</f>
        <v>32</v>
      </c>
    </row>
    <row r="95" customFormat="false" ht="15" hidden="false" customHeight="false" outlineLevel="0" collapsed="false">
      <c r="A95" s="1" t="s">
        <v>41</v>
      </c>
      <c r="B95" s="1" t="s">
        <v>11</v>
      </c>
      <c r="C95" s="1" t="s">
        <v>12</v>
      </c>
      <c r="D95" s="1" t="s">
        <v>34</v>
      </c>
      <c r="E95" s="1" t="n">
        <v>51532</v>
      </c>
      <c r="F95" s="1" t="n">
        <v>150000</v>
      </c>
      <c r="G95" s="1" t="s">
        <v>17</v>
      </c>
      <c r="H95" s="1" t="n">
        <v>34</v>
      </c>
      <c r="I95" s="1" t="str">
        <f aca="false">IF(COUNTIFS(A:A,A95,F:F,F95)=COUNTIF(A:A,A95),"Correct","Mismatch")</f>
        <v>Correct</v>
      </c>
      <c r="J95" s="1" t="n">
        <f aca="false">(E95/F95)*100</f>
        <v>34.3546666666667</v>
      </c>
      <c r="K95" s="1" t="n">
        <f aca="false">MIN(H:H)</f>
        <v>32</v>
      </c>
    </row>
    <row r="96" customFormat="false" ht="15" hidden="false" customHeight="false" outlineLevel="0" collapsed="false">
      <c r="A96" s="1" t="s">
        <v>10</v>
      </c>
      <c r="B96" s="1" t="s">
        <v>11</v>
      </c>
      <c r="C96" s="1" t="s">
        <v>12</v>
      </c>
      <c r="D96" s="1" t="s">
        <v>16</v>
      </c>
      <c r="E96" s="1" t="n">
        <v>15743</v>
      </c>
      <c r="F96" s="1" t="n">
        <v>120000</v>
      </c>
      <c r="G96" s="1" t="s">
        <v>17</v>
      </c>
      <c r="H96" s="1" t="n">
        <v>52</v>
      </c>
      <c r="I96" s="1" t="str">
        <f aca="false">IF(COUNTIFS(A:A,A96,F:F,F96)=COUNTIF(A:A,A96),"Correct","Mismatch")</f>
        <v>Correct</v>
      </c>
      <c r="J96" s="1" t="n">
        <f aca="false">(E96/F96)*100</f>
        <v>13.1191666666667</v>
      </c>
      <c r="K96" s="1" t="n">
        <f aca="false">MIN(H:H)</f>
        <v>32</v>
      </c>
    </row>
    <row r="97" customFormat="false" ht="15" hidden="false" customHeight="false" outlineLevel="0" collapsed="false">
      <c r="A97" s="1" t="s">
        <v>10</v>
      </c>
      <c r="B97" s="1" t="s">
        <v>11</v>
      </c>
      <c r="C97" s="1" t="s">
        <v>12</v>
      </c>
      <c r="D97" s="1" t="s">
        <v>46</v>
      </c>
      <c r="E97" s="1" t="n">
        <v>62084</v>
      </c>
      <c r="F97" s="1" t="n">
        <v>120000</v>
      </c>
      <c r="G97" s="1" t="s">
        <v>17</v>
      </c>
      <c r="H97" s="1" t="n">
        <v>43</v>
      </c>
      <c r="I97" s="1" t="str">
        <f aca="false">IF(COUNTIFS(A:A,A97,F:F,F97)=COUNTIF(A:A,A97),"Correct","Mismatch")</f>
        <v>Correct</v>
      </c>
      <c r="J97" s="1" t="n">
        <f aca="false">(E97/F97)*100</f>
        <v>51.7366666666667</v>
      </c>
      <c r="K97" s="1" t="n">
        <f aca="false">MIN(H:H)</f>
        <v>32</v>
      </c>
    </row>
    <row r="98" customFormat="false" ht="15" hidden="false" customHeight="false" outlineLevel="0" collapsed="false">
      <c r="A98" s="1" t="s">
        <v>22</v>
      </c>
      <c r="B98" s="1" t="s">
        <v>11</v>
      </c>
      <c r="C98" s="1" t="s">
        <v>26</v>
      </c>
      <c r="D98" s="1" t="s">
        <v>27</v>
      </c>
      <c r="E98" s="1" t="n">
        <v>16226</v>
      </c>
      <c r="F98" s="1" t="n">
        <v>125000</v>
      </c>
      <c r="G98" s="1" t="s">
        <v>14</v>
      </c>
      <c r="H98" s="1" t="n">
        <v>39</v>
      </c>
      <c r="I98" s="1" t="str">
        <f aca="false">IF(COUNTIFS(A:A,A98,F:F,F98)=COUNTIF(A:A,A98),"Correct","Mismatch")</f>
        <v>Correct</v>
      </c>
      <c r="J98" s="1" t="n">
        <f aca="false">(E98/F98)*100</f>
        <v>12.9808</v>
      </c>
      <c r="K98" s="1" t="n">
        <f aca="false">MIN(H:H)</f>
        <v>32</v>
      </c>
    </row>
    <row r="99" customFormat="false" ht="15" hidden="false" customHeight="false" outlineLevel="0" collapsed="false">
      <c r="A99" s="1" t="s">
        <v>18</v>
      </c>
      <c r="B99" s="1" t="s">
        <v>11</v>
      </c>
      <c r="C99" s="1" t="s">
        <v>20</v>
      </c>
      <c r="D99" s="1" t="s">
        <v>27</v>
      </c>
      <c r="E99" s="1" t="n">
        <v>74633</v>
      </c>
      <c r="F99" s="1" t="n">
        <v>160000</v>
      </c>
      <c r="G99" s="1" t="s">
        <v>14</v>
      </c>
      <c r="H99" s="1" t="n">
        <v>32</v>
      </c>
      <c r="I99" s="1" t="str">
        <f aca="false">IF(COUNTIFS(A:A,A99,F:F,F99)=COUNTIF(A:A,A99),"Correct","Mismatch")</f>
        <v>Correct</v>
      </c>
      <c r="J99" s="1" t="n">
        <f aca="false">(E99/F99)*100</f>
        <v>46.645625</v>
      </c>
      <c r="K99" s="1" t="n">
        <f aca="false">MIN(H:H)</f>
        <v>32</v>
      </c>
    </row>
    <row r="100" customFormat="false" ht="15" hidden="false" customHeight="false" outlineLevel="0" collapsed="false">
      <c r="A100" s="1" t="s">
        <v>33</v>
      </c>
      <c r="B100" s="1" t="s">
        <v>11</v>
      </c>
      <c r="C100" s="1" t="s">
        <v>19</v>
      </c>
      <c r="D100" s="1" t="s">
        <v>46</v>
      </c>
      <c r="E100" s="1" t="n">
        <v>20357</v>
      </c>
      <c r="F100" s="1" t="n">
        <v>135000</v>
      </c>
      <c r="G100" s="1" t="s">
        <v>17</v>
      </c>
      <c r="H100" s="1" t="n">
        <v>51</v>
      </c>
      <c r="I100" s="1" t="str">
        <f aca="false">IF(COUNTIFS(A:A,A100,F:F,F100)=COUNTIF(A:A,A100),"Correct","Mismatch")</f>
        <v>Correct</v>
      </c>
      <c r="J100" s="1" t="n">
        <f aca="false">(E100/F100)*100</f>
        <v>15.0792592592593</v>
      </c>
      <c r="K100" s="1" t="n">
        <f aca="false">MIN(H:H)</f>
        <v>32</v>
      </c>
    </row>
    <row r="101" customFormat="false" ht="15" hidden="false" customHeight="false" outlineLevel="0" collapsed="false">
      <c r="A101" s="1" t="s">
        <v>38</v>
      </c>
      <c r="B101" s="1" t="s">
        <v>11</v>
      </c>
      <c r="C101" s="1" t="s">
        <v>12</v>
      </c>
      <c r="D101" s="1" t="s">
        <v>44</v>
      </c>
      <c r="E101" s="1" t="n">
        <v>19371</v>
      </c>
      <c r="F101" s="1" t="n">
        <v>130000</v>
      </c>
      <c r="G101" s="1" t="s">
        <v>14</v>
      </c>
      <c r="H101" s="1" t="n">
        <v>54</v>
      </c>
      <c r="I101" s="1" t="str">
        <f aca="false">IF(COUNTIFS(A:A,A101,F:F,F101)=COUNTIF(A:A,A101),"Correct","Mismatch")</f>
        <v>Correct</v>
      </c>
      <c r="J101" s="1" t="n">
        <f aca="false">(E101/F101)*100</f>
        <v>14.9007692307692</v>
      </c>
      <c r="K101" s="1" t="n">
        <f aca="false">MIN(H:H)</f>
        <v>32</v>
      </c>
      <c r="L101" s="1" t="n">
        <f aca="false">MIN(H:H)</f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5" t="s">
        <v>5</v>
      </c>
      <c r="B1" s="6" t="s">
        <v>47</v>
      </c>
    </row>
    <row r="2" customFormat="false" ht="13.8" hidden="false" customHeight="false" outlineLevel="0" collapsed="false">
      <c r="A2" s="7" t="s">
        <v>17</v>
      </c>
      <c r="B2" s="8"/>
    </row>
    <row r="3" customFormat="false" ht="13.8" hidden="false" customHeight="false" outlineLevel="0" collapsed="false">
      <c r="A3" s="9" t="s">
        <v>14</v>
      </c>
      <c r="B3" s="10"/>
    </row>
    <row r="4" customFormat="false" ht="13.8" hidden="false" customHeight="false" outlineLevel="0" collapsed="false">
      <c r="A4" s="11" t="s">
        <v>48</v>
      </c>
      <c r="B4" s="12"/>
    </row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6.52"/>
  </cols>
  <sheetData>
    <row r="1" customFormat="false" ht="13.8" hidden="false" customHeight="false" outlineLevel="0" collapsed="false">
      <c r="A1" s="5" t="s">
        <v>2</v>
      </c>
      <c r="B1" s="6" t="s">
        <v>47</v>
      </c>
    </row>
    <row r="2" customFormat="false" ht="13.8" hidden="false" customHeight="false" outlineLevel="0" collapsed="false">
      <c r="A2" s="7" t="s">
        <v>19</v>
      </c>
      <c r="B2" s="8"/>
    </row>
    <row r="3" customFormat="false" ht="13.8" hidden="false" customHeight="false" outlineLevel="0" collapsed="false">
      <c r="A3" s="9" t="s">
        <v>26</v>
      </c>
      <c r="B3" s="13"/>
    </row>
    <row r="4" customFormat="false" ht="13.8" hidden="false" customHeight="false" outlineLevel="0" collapsed="false">
      <c r="A4" s="9" t="s">
        <v>20</v>
      </c>
      <c r="B4" s="13"/>
    </row>
    <row r="5" customFormat="false" ht="13.8" hidden="false" customHeight="false" outlineLevel="0" collapsed="false">
      <c r="A5" s="9" t="s">
        <v>12</v>
      </c>
      <c r="B5" s="10"/>
    </row>
    <row r="6" customFormat="false" ht="13.8" hidden="false" customHeight="false" outlineLevel="0" collapsed="false">
      <c r="A6" s="11" t="s">
        <v>48</v>
      </c>
      <c r="B6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5" t="s">
        <v>2</v>
      </c>
      <c r="B1" s="6" t="s">
        <v>47</v>
      </c>
    </row>
    <row r="2" customFormat="false" ht="13.8" hidden="false" customHeight="false" outlineLevel="0" collapsed="false">
      <c r="A2" s="7" t="s">
        <v>19</v>
      </c>
      <c r="B2" s="8"/>
    </row>
    <row r="3" customFormat="false" ht="13.8" hidden="false" customHeight="false" outlineLevel="0" collapsed="false">
      <c r="A3" s="9" t="s">
        <v>26</v>
      </c>
      <c r="B3" s="13"/>
    </row>
    <row r="4" customFormat="false" ht="13.8" hidden="false" customHeight="false" outlineLevel="0" collapsed="false">
      <c r="A4" s="9" t="s">
        <v>20</v>
      </c>
      <c r="B4" s="13"/>
    </row>
    <row r="5" customFormat="false" ht="13.8" hidden="false" customHeight="false" outlineLevel="0" collapsed="false">
      <c r="A5" s="9" t="s">
        <v>12</v>
      </c>
      <c r="B5" s="10"/>
    </row>
    <row r="6" customFormat="false" ht="13.8" hidden="false" customHeight="false" outlineLevel="0" collapsed="false">
      <c r="A6" s="11" t="s">
        <v>48</v>
      </c>
      <c r="B6" s="12"/>
    </row>
    <row r="7" customFormat="false" ht="13.8" hidden="false" customHeight="false" outlineLevel="0" collapsed="false"/>
    <row r="8" customFormat="false" ht="13.8" hidden="false" customHeight="false" outlineLevel="0" collapsed="false">
      <c r="C8" s="14" t="s">
        <v>12</v>
      </c>
      <c r="D8" s="15" t="n">
        <v>1675415</v>
      </c>
      <c r="E8" s="1" t="s">
        <v>49</v>
      </c>
    </row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A3" s="5" t="s">
        <v>0</v>
      </c>
      <c r="B3" s="16" t="s">
        <v>3</v>
      </c>
      <c r="C3" s="6" t="s">
        <v>47</v>
      </c>
    </row>
    <row r="4" customFormat="false" ht="13.8" hidden="false" customHeight="false" outlineLevel="0" collapsed="false">
      <c r="A4" s="7" t="s">
        <v>10</v>
      </c>
      <c r="B4" s="17" t="s">
        <v>13</v>
      </c>
      <c r="C4" s="8"/>
    </row>
    <row r="5" customFormat="false" ht="13.8" hidden="false" customHeight="false" outlineLevel="0" collapsed="false">
      <c r="A5" s="9"/>
      <c r="B5" s="18" t="s">
        <v>25</v>
      </c>
      <c r="C5" s="13"/>
    </row>
    <row r="6" customFormat="false" ht="13.8" hidden="false" customHeight="false" outlineLevel="0" collapsed="false">
      <c r="A6" s="9"/>
      <c r="B6" s="18" t="s">
        <v>21</v>
      </c>
      <c r="C6" s="13"/>
    </row>
    <row r="7" customFormat="false" ht="13.8" hidden="false" customHeight="false" outlineLevel="0" collapsed="false">
      <c r="A7" s="9"/>
      <c r="B7" s="18" t="s">
        <v>46</v>
      </c>
      <c r="C7" s="13"/>
    </row>
    <row r="8" customFormat="false" ht="13.8" hidden="false" customHeight="false" outlineLevel="0" collapsed="false">
      <c r="A8" s="9"/>
      <c r="B8" s="18" t="s">
        <v>44</v>
      </c>
      <c r="C8" s="13"/>
    </row>
    <row r="9" customFormat="false" ht="13.8" hidden="false" customHeight="false" outlineLevel="0" collapsed="false">
      <c r="A9" s="9"/>
      <c r="B9" s="18" t="s">
        <v>29</v>
      </c>
      <c r="C9" s="13"/>
    </row>
    <row r="10" customFormat="false" ht="13.8" hidden="false" customHeight="false" outlineLevel="0" collapsed="false">
      <c r="A10" s="9"/>
      <c r="B10" s="18" t="s">
        <v>16</v>
      </c>
      <c r="C10" s="13"/>
    </row>
    <row r="11" customFormat="false" ht="13.8" hidden="false" customHeight="false" outlineLevel="0" collapsed="false">
      <c r="A11" s="9"/>
      <c r="B11" s="18" t="s">
        <v>40</v>
      </c>
      <c r="C11" s="13"/>
    </row>
    <row r="12" customFormat="false" ht="13.8" hidden="false" customHeight="false" outlineLevel="0" collapsed="false">
      <c r="A12" s="9"/>
      <c r="B12" s="18" t="s">
        <v>31</v>
      </c>
      <c r="C12" s="13"/>
    </row>
    <row r="13" customFormat="false" ht="13.8" hidden="false" customHeight="false" outlineLevel="0" collapsed="false">
      <c r="A13" s="9"/>
      <c r="B13" s="18" t="s">
        <v>24</v>
      </c>
      <c r="C13" s="13"/>
    </row>
    <row r="14" customFormat="false" ht="13.8" hidden="false" customHeight="false" outlineLevel="0" collapsed="false">
      <c r="A14" s="9"/>
      <c r="B14" s="18" t="s">
        <v>35</v>
      </c>
      <c r="C14" s="13"/>
    </row>
    <row r="15" customFormat="false" ht="13.8" hidden="false" customHeight="false" outlineLevel="0" collapsed="false">
      <c r="A15" s="9"/>
      <c r="B15" s="18" t="s">
        <v>30</v>
      </c>
      <c r="C15" s="13"/>
    </row>
    <row r="16" customFormat="false" ht="13.8" hidden="false" customHeight="false" outlineLevel="0" collapsed="false">
      <c r="A16" s="9"/>
      <c r="B16" s="18" t="s">
        <v>37</v>
      </c>
      <c r="C16" s="13"/>
    </row>
    <row r="17" customFormat="false" ht="13.8" hidden="false" customHeight="false" outlineLevel="0" collapsed="false">
      <c r="A17" s="19"/>
      <c r="B17" s="20" t="s">
        <v>42</v>
      </c>
      <c r="C17" s="10"/>
    </row>
    <row r="18" customFormat="false" ht="13.8" hidden="false" customHeight="false" outlineLevel="0" collapsed="false">
      <c r="A18" s="7" t="s">
        <v>15</v>
      </c>
      <c r="B18" s="17" t="s">
        <v>13</v>
      </c>
      <c r="C18" s="8"/>
    </row>
    <row r="19" customFormat="false" ht="13.8" hidden="false" customHeight="false" outlineLevel="0" collapsed="false">
      <c r="A19" s="9"/>
      <c r="B19" s="18" t="s">
        <v>25</v>
      </c>
      <c r="C19" s="13"/>
    </row>
    <row r="20" customFormat="false" ht="13.8" hidden="false" customHeight="false" outlineLevel="0" collapsed="false">
      <c r="A20" s="9"/>
      <c r="B20" s="18" t="s">
        <v>43</v>
      </c>
      <c r="C20" s="13"/>
    </row>
    <row r="21" customFormat="false" ht="13.8" hidden="false" customHeight="false" outlineLevel="0" collapsed="false">
      <c r="A21" s="9"/>
      <c r="B21" s="18" t="s">
        <v>21</v>
      </c>
      <c r="C21" s="13"/>
    </row>
    <row r="22" customFormat="false" ht="13.8" hidden="false" customHeight="false" outlineLevel="0" collapsed="false">
      <c r="A22" s="9"/>
      <c r="B22" s="18" t="s">
        <v>39</v>
      </c>
      <c r="C22" s="13"/>
    </row>
    <row r="23" customFormat="false" ht="13.8" hidden="false" customHeight="false" outlineLevel="0" collapsed="false">
      <c r="A23" s="9"/>
      <c r="B23" s="18" t="s">
        <v>16</v>
      </c>
      <c r="C23" s="13"/>
    </row>
    <row r="24" customFormat="false" ht="13.8" hidden="false" customHeight="false" outlineLevel="0" collapsed="false">
      <c r="A24" s="9"/>
      <c r="B24" s="18" t="s">
        <v>24</v>
      </c>
      <c r="C24" s="13"/>
    </row>
    <row r="25" customFormat="false" ht="13.8" hidden="false" customHeight="false" outlineLevel="0" collapsed="false">
      <c r="A25" s="9"/>
      <c r="B25" s="18" t="s">
        <v>27</v>
      </c>
      <c r="C25" s="13"/>
    </row>
    <row r="26" customFormat="false" ht="13.8" hidden="false" customHeight="false" outlineLevel="0" collapsed="false">
      <c r="A26" s="19"/>
      <c r="B26" s="20" t="s">
        <v>35</v>
      </c>
      <c r="C26" s="10"/>
    </row>
    <row r="27" customFormat="false" ht="13.8" hidden="false" customHeight="false" outlineLevel="0" collapsed="false">
      <c r="A27" s="7" t="s">
        <v>23</v>
      </c>
      <c r="B27" s="17" t="s">
        <v>39</v>
      </c>
      <c r="C27" s="8"/>
    </row>
    <row r="28" customFormat="false" ht="13.8" hidden="false" customHeight="false" outlineLevel="0" collapsed="false">
      <c r="A28" s="9"/>
      <c r="B28" s="18" t="s">
        <v>29</v>
      </c>
      <c r="C28" s="13"/>
    </row>
    <row r="29" customFormat="false" ht="13.8" hidden="false" customHeight="false" outlineLevel="0" collapsed="false">
      <c r="A29" s="9"/>
      <c r="B29" s="18" t="s">
        <v>34</v>
      </c>
      <c r="C29" s="13"/>
    </row>
    <row r="30" customFormat="false" ht="13.8" hidden="false" customHeight="false" outlineLevel="0" collapsed="false">
      <c r="A30" s="9"/>
      <c r="B30" s="18" t="s">
        <v>40</v>
      </c>
      <c r="C30" s="13"/>
    </row>
    <row r="31" customFormat="false" ht="13.8" hidden="false" customHeight="false" outlineLevel="0" collapsed="false">
      <c r="A31" s="9"/>
      <c r="B31" s="18" t="s">
        <v>31</v>
      </c>
      <c r="C31" s="13"/>
    </row>
    <row r="32" customFormat="false" ht="13.8" hidden="false" customHeight="false" outlineLevel="0" collapsed="false">
      <c r="A32" s="19"/>
      <c r="B32" s="20" t="s">
        <v>24</v>
      </c>
      <c r="C32" s="10"/>
    </row>
    <row r="33" customFormat="false" ht="13.8" hidden="false" customHeight="false" outlineLevel="0" collapsed="false">
      <c r="A33" s="7" t="s">
        <v>33</v>
      </c>
      <c r="B33" s="17" t="s">
        <v>13</v>
      </c>
      <c r="C33" s="8"/>
    </row>
    <row r="34" customFormat="false" ht="13.8" hidden="false" customHeight="false" outlineLevel="0" collapsed="false">
      <c r="A34" s="9"/>
      <c r="B34" s="18" t="s">
        <v>25</v>
      </c>
      <c r="C34" s="13"/>
    </row>
    <row r="35" customFormat="false" ht="13.8" hidden="false" customHeight="false" outlineLevel="0" collapsed="false">
      <c r="A35" s="9"/>
      <c r="B35" s="18" t="s">
        <v>21</v>
      </c>
      <c r="C35" s="13"/>
    </row>
    <row r="36" customFormat="false" ht="13.8" hidden="false" customHeight="false" outlineLevel="0" collapsed="false">
      <c r="A36" s="9"/>
      <c r="B36" s="18" t="s">
        <v>46</v>
      </c>
      <c r="C36" s="13"/>
    </row>
    <row r="37" customFormat="false" ht="13.8" hidden="false" customHeight="false" outlineLevel="0" collapsed="false">
      <c r="A37" s="9"/>
      <c r="B37" s="18" t="s">
        <v>34</v>
      </c>
      <c r="C37" s="13"/>
    </row>
    <row r="38" customFormat="false" ht="13.8" hidden="false" customHeight="false" outlineLevel="0" collapsed="false">
      <c r="A38" s="9"/>
      <c r="B38" s="18" t="s">
        <v>40</v>
      </c>
      <c r="C38" s="13"/>
    </row>
    <row r="39" customFormat="false" ht="13.8" hidden="false" customHeight="false" outlineLevel="0" collapsed="false">
      <c r="A39" s="9"/>
      <c r="B39" s="18" t="s">
        <v>35</v>
      </c>
      <c r="C39" s="13"/>
    </row>
    <row r="40" customFormat="false" ht="13.8" hidden="false" customHeight="false" outlineLevel="0" collapsed="false">
      <c r="A40" s="19"/>
      <c r="B40" s="20" t="s">
        <v>42</v>
      </c>
      <c r="C40" s="10"/>
    </row>
    <row r="41" customFormat="false" ht="13.8" hidden="false" customHeight="false" outlineLevel="0" collapsed="false">
      <c r="A41" s="7" t="s">
        <v>38</v>
      </c>
      <c r="B41" s="17" t="s">
        <v>44</v>
      </c>
      <c r="C41" s="8"/>
    </row>
    <row r="42" customFormat="false" ht="13.8" hidden="false" customHeight="false" outlineLevel="0" collapsed="false">
      <c r="A42" s="9"/>
      <c r="B42" s="18" t="s">
        <v>29</v>
      </c>
      <c r="C42" s="13"/>
    </row>
    <row r="43" customFormat="false" ht="13.8" hidden="false" customHeight="false" outlineLevel="0" collapsed="false">
      <c r="A43" s="9"/>
      <c r="B43" s="18" t="s">
        <v>16</v>
      </c>
      <c r="C43" s="13"/>
    </row>
    <row r="44" customFormat="false" ht="13.8" hidden="false" customHeight="false" outlineLevel="0" collapsed="false">
      <c r="A44" s="9"/>
      <c r="B44" s="18" t="s">
        <v>31</v>
      </c>
      <c r="C44" s="13"/>
    </row>
    <row r="45" customFormat="false" ht="13.8" hidden="false" customHeight="false" outlineLevel="0" collapsed="false">
      <c r="A45" s="9"/>
      <c r="B45" s="18" t="s">
        <v>24</v>
      </c>
      <c r="C45" s="13"/>
    </row>
    <row r="46" customFormat="false" ht="13.8" hidden="false" customHeight="false" outlineLevel="0" collapsed="false">
      <c r="A46" s="9"/>
      <c r="B46" s="18" t="s">
        <v>30</v>
      </c>
      <c r="C46" s="13"/>
    </row>
    <row r="47" customFormat="false" ht="13.8" hidden="false" customHeight="false" outlineLevel="0" collapsed="false">
      <c r="A47" s="19"/>
      <c r="B47" s="20" t="s">
        <v>37</v>
      </c>
      <c r="C47" s="10"/>
    </row>
    <row r="48" customFormat="false" ht="13.8" hidden="false" customHeight="false" outlineLevel="0" collapsed="false">
      <c r="A48" s="7" t="s">
        <v>36</v>
      </c>
      <c r="B48" s="17" t="s">
        <v>25</v>
      </c>
      <c r="C48" s="8"/>
    </row>
    <row r="49" customFormat="false" ht="13.8" hidden="false" customHeight="false" outlineLevel="0" collapsed="false">
      <c r="A49" s="9"/>
      <c r="B49" s="18" t="s">
        <v>43</v>
      </c>
      <c r="C49" s="13"/>
    </row>
    <row r="50" customFormat="false" ht="13.8" hidden="false" customHeight="false" outlineLevel="0" collapsed="false">
      <c r="A50" s="9"/>
      <c r="B50" s="18" t="s">
        <v>21</v>
      </c>
      <c r="C50" s="13"/>
    </row>
    <row r="51" customFormat="false" ht="13.8" hidden="false" customHeight="false" outlineLevel="0" collapsed="false">
      <c r="A51" s="9"/>
      <c r="B51" s="18" t="s">
        <v>44</v>
      </c>
      <c r="C51" s="13"/>
    </row>
    <row r="52" customFormat="false" ht="13.8" hidden="false" customHeight="false" outlineLevel="0" collapsed="false">
      <c r="A52" s="9"/>
      <c r="B52" s="18" t="s">
        <v>29</v>
      </c>
      <c r="C52" s="13"/>
    </row>
    <row r="53" customFormat="false" ht="13.8" hidden="false" customHeight="false" outlineLevel="0" collapsed="false">
      <c r="A53" s="9"/>
      <c r="B53" s="18" t="s">
        <v>32</v>
      </c>
      <c r="C53" s="13"/>
    </row>
    <row r="54" customFormat="false" ht="13.8" hidden="false" customHeight="false" outlineLevel="0" collapsed="false">
      <c r="A54" s="9"/>
      <c r="B54" s="18" t="s">
        <v>24</v>
      </c>
      <c r="C54" s="13"/>
    </row>
    <row r="55" customFormat="false" ht="13.8" hidden="false" customHeight="false" outlineLevel="0" collapsed="false">
      <c r="A55" s="9"/>
      <c r="B55" s="18" t="s">
        <v>27</v>
      </c>
      <c r="C55" s="13"/>
    </row>
    <row r="56" customFormat="false" ht="13.8" hidden="false" customHeight="false" outlineLevel="0" collapsed="false">
      <c r="A56" s="19"/>
      <c r="B56" s="20" t="s">
        <v>35</v>
      </c>
      <c r="C56" s="10"/>
    </row>
    <row r="57" customFormat="false" ht="13.8" hidden="false" customHeight="false" outlineLevel="0" collapsed="false">
      <c r="A57" s="7" t="s">
        <v>18</v>
      </c>
      <c r="B57" s="17" t="s">
        <v>13</v>
      </c>
      <c r="C57" s="8"/>
    </row>
    <row r="58" customFormat="false" ht="13.8" hidden="false" customHeight="false" outlineLevel="0" collapsed="false">
      <c r="A58" s="9"/>
      <c r="B58" s="18" t="s">
        <v>43</v>
      </c>
      <c r="C58" s="13"/>
    </row>
    <row r="59" customFormat="false" ht="13.8" hidden="false" customHeight="false" outlineLevel="0" collapsed="false">
      <c r="A59" s="9"/>
      <c r="B59" s="18" t="s">
        <v>39</v>
      </c>
      <c r="C59" s="13"/>
    </row>
    <row r="60" customFormat="false" ht="13.8" hidden="false" customHeight="false" outlineLevel="0" collapsed="false">
      <c r="A60" s="9"/>
      <c r="B60" s="18" t="s">
        <v>16</v>
      </c>
      <c r="C60" s="13"/>
    </row>
    <row r="61" customFormat="false" ht="13.8" hidden="false" customHeight="false" outlineLevel="0" collapsed="false">
      <c r="A61" s="9"/>
      <c r="B61" s="18" t="s">
        <v>32</v>
      </c>
      <c r="C61" s="13"/>
    </row>
    <row r="62" customFormat="false" ht="13.8" hidden="false" customHeight="false" outlineLevel="0" collapsed="false">
      <c r="A62" s="9"/>
      <c r="B62" s="18" t="s">
        <v>31</v>
      </c>
      <c r="C62" s="13"/>
    </row>
    <row r="63" customFormat="false" ht="13.8" hidden="false" customHeight="false" outlineLevel="0" collapsed="false">
      <c r="A63" s="19"/>
      <c r="B63" s="20" t="s">
        <v>27</v>
      </c>
      <c r="C63" s="10"/>
    </row>
    <row r="64" customFormat="false" ht="13.8" hidden="false" customHeight="false" outlineLevel="0" collapsed="false">
      <c r="A64" s="7" t="s">
        <v>41</v>
      </c>
      <c r="B64" s="17" t="s">
        <v>25</v>
      </c>
      <c r="C64" s="8"/>
    </row>
    <row r="65" customFormat="false" ht="13.8" hidden="false" customHeight="false" outlineLevel="0" collapsed="false">
      <c r="A65" s="9"/>
      <c r="B65" s="18" t="s">
        <v>21</v>
      </c>
      <c r="C65" s="13"/>
    </row>
    <row r="66" customFormat="false" ht="13.8" hidden="false" customHeight="false" outlineLevel="0" collapsed="false">
      <c r="A66" s="9"/>
      <c r="B66" s="18" t="s">
        <v>44</v>
      </c>
      <c r="C66" s="13"/>
    </row>
    <row r="67" customFormat="false" ht="13.8" hidden="false" customHeight="false" outlineLevel="0" collapsed="false">
      <c r="A67" s="9"/>
      <c r="B67" s="18" t="s">
        <v>29</v>
      </c>
      <c r="C67" s="13"/>
    </row>
    <row r="68" customFormat="false" ht="13.8" hidden="false" customHeight="false" outlineLevel="0" collapsed="false">
      <c r="A68" s="9"/>
      <c r="B68" s="18" t="s">
        <v>34</v>
      </c>
      <c r="C68" s="13"/>
    </row>
    <row r="69" customFormat="false" ht="13.8" hidden="false" customHeight="false" outlineLevel="0" collapsed="false">
      <c r="A69" s="9"/>
      <c r="B69" s="18" t="s">
        <v>16</v>
      </c>
      <c r="C69" s="13"/>
    </row>
    <row r="70" customFormat="false" ht="13.8" hidden="false" customHeight="false" outlineLevel="0" collapsed="false">
      <c r="A70" s="9"/>
      <c r="B70" s="18" t="s">
        <v>31</v>
      </c>
      <c r="C70" s="13"/>
    </row>
    <row r="71" customFormat="false" ht="13.8" hidden="false" customHeight="false" outlineLevel="0" collapsed="false">
      <c r="A71" s="9"/>
      <c r="B71" s="18" t="s">
        <v>30</v>
      </c>
      <c r="C71" s="13"/>
    </row>
    <row r="72" customFormat="false" ht="13.8" hidden="false" customHeight="false" outlineLevel="0" collapsed="false">
      <c r="A72" s="19"/>
      <c r="B72" s="20" t="s">
        <v>37</v>
      </c>
      <c r="C72" s="10"/>
    </row>
    <row r="73" customFormat="false" ht="13.8" hidden="false" customHeight="false" outlineLevel="0" collapsed="false">
      <c r="A73" s="7" t="s">
        <v>22</v>
      </c>
      <c r="B73" s="17" t="s">
        <v>13</v>
      </c>
      <c r="C73" s="8"/>
    </row>
    <row r="74" customFormat="false" ht="13.8" hidden="false" customHeight="false" outlineLevel="0" collapsed="false">
      <c r="A74" s="9"/>
      <c r="B74" s="18" t="s">
        <v>44</v>
      </c>
      <c r="C74" s="13"/>
    </row>
    <row r="75" customFormat="false" ht="13.8" hidden="false" customHeight="false" outlineLevel="0" collapsed="false">
      <c r="A75" s="9"/>
      <c r="B75" s="18" t="s">
        <v>29</v>
      </c>
      <c r="C75" s="13"/>
    </row>
    <row r="76" customFormat="false" ht="13.8" hidden="false" customHeight="false" outlineLevel="0" collapsed="false">
      <c r="A76" s="9"/>
      <c r="B76" s="18" t="s">
        <v>34</v>
      </c>
      <c r="C76" s="13"/>
    </row>
    <row r="77" customFormat="false" ht="13.8" hidden="false" customHeight="false" outlineLevel="0" collapsed="false">
      <c r="A77" s="9"/>
      <c r="B77" s="18" t="s">
        <v>16</v>
      </c>
      <c r="C77" s="13"/>
    </row>
    <row r="78" customFormat="false" ht="13.8" hidden="false" customHeight="false" outlineLevel="0" collapsed="false">
      <c r="A78" s="9"/>
      <c r="B78" s="18" t="s">
        <v>27</v>
      </c>
      <c r="C78" s="13"/>
    </row>
    <row r="79" customFormat="false" ht="13.8" hidden="false" customHeight="false" outlineLevel="0" collapsed="false">
      <c r="A79" s="9"/>
      <c r="B79" s="18" t="s">
        <v>35</v>
      </c>
      <c r="C79" s="13"/>
    </row>
    <row r="80" customFormat="false" ht="13.8" hidden="false" customHeight="false" outlineLevel="0" collapsed="false">
      <c r="A80" s="19"/>
      <c r="B80" s="20" t="s">
        <v>30</v>
      </c>
      <c r="C80" s="10"/>
    </row>
    <row r="81" customFormat="false" ht="13.8" hidden="false" customHeight="false" outlineLevel="0" collapsed="false">
      <c r="A81" s="7" t="s">
        <v>28</v>
      </c>
      <c r="B81" s="17" t="s">
        <v>13</v>
      </c>
      <c r="C81" s="8"/>
    </row>
    <row r="82" customFormat="false" ht="13.8" hidden="false" customHeight="false" outlineLevel="0" collapsed="false">
      <c r="A82" s="9"/>
      <c r="B82" s="18" t="s">
        <v>29</v>
      </c>
      <c r="C82" s="13"/>
    </row>
    <row r="83" customFormat="false" ht="13.8" hidden="false" customHeight="false" outlineLevel="0" collapsed="false">
      <c r="A83" s="9"/>
      <c r="B83" s="18" t="s">
        <v>45</v>
      </c>
      <c r="C83" s="13"/>
    </row>
    <row r="84" customFormat="false" ht="13.8" hidden="false" customHeight="false" outlineLevel="0" collapsed="false">
      <c r="A84" s="9"/>
      <c r="B84" s="18" t="s">
        <v>34</v>
      </c>
      <c r="C84" s="13"/>
    </row>
    <row r="85" customFormat="false" ht="13.8" hidden="false" customHeight="false" outlineLevel="0" collapsed="false">
      <c r="A85" s="9"/>
      <c r="B85" s="18" t="s">
        <v>32</v>
      </c>
      <c r="C85" s="13"/>
    </row>
    <row r="86" customFormat="false" ht="13.8" hidden="false" customHeight="false" outlineLevel="0" collapsed="false">
      <c r="A86" s="9"/>
      <c r="B86" s="18" t="s">
        <v>27</v>
      </c>
      <c r="C86" s="13"/>
    </row>
    <row r="87" customFormat="false" ht="13.8" hidden="false" customHeight="false" outlineLevel="0" collapsed="false">
      <c r="A87" s="9"/>
      <c r="B87" s="18" t="s">
        <v>30</v>
      </c>
      <c r="C87" s="13"/>
    </row>
    <row r="88" customFormat="false" ht="13.8" hidden="false" customHeight="false" outlineLevel="0" collapsed="false">
      <c r="A88" s="19"/>
      <c r="B88" s="20" t="s">
        <v>42</v>
      </c>
      <c r="C88" s="10"/>
    </row>
    <row r="89" customFormat="false" ht="13.8" hidden="false" customHeight="false" outlineLevel="0" collapsed="false">
      <c r="A89" s="21" t="s">
        <v>48</v>
      </c>
      <c r="B89" s="22"/>
      <c r="C89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2026-05-09T13:22:40Z</dcterms:created>
  <dc:creator>openpyxl</dc:creator>
  <dc:description/>
  <dc:language>en-IN</dc:language>
  <cp:lastModifiedBy/>
  <dcterms:modified xsi:type="dcterms:W3CDTF">2026-05-11T06:29:07Z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