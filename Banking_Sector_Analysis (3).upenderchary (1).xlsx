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11C4708-A1DA-49D3-8439-76BA11EB082A}" xr6:coauthVersionLast="47" xr6:coauthVersionMax="47" xr10:uidLastSave="{00000000-0000-0000-0000-000000000000}"/>
  <bookViews>
    <workbookView xWindow="-108" yWindow="-108" windowWidth="23256" windowHeight="12456" tabRatio="500" firstSheet="3" activeTab="7" xr2:uid="{00000000-000D-0000-FFFF-FFFF00000000}"/>
  </bookViews>
  <sheets>
    <sheet name="Insights_Summary" sheetId="1" r:id="rId1"/>
    <sheet name="KPI_Summary" sheetId="2" r:id="rId2"/>
    <sheet name="Customer_Overview" sheetId="3" r:id="rId3"/>
    <sheet name="Transaction_Analysis" sheetId="4" r:id="rId4"/>
    <sheet name="Loan_Performance" sheetId="5" r:id="rId5"/>
    <sheet name="Top_Customers" sheetId="6" r:id="rId6"/>
    <sheet name="Calendar_Table" sheetId="7" r:id="rId7"/>
    <sheet name="Cleaned_Data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5" l="1"/>
  <c r="C10" i="5"/>
  <c r="C9" i="5"/>
  <c r="D7" i="3"/>
  <c r="D6" i="3"/>
  <c r="D5" i="3"/>
  <c r="D20" i="2"/>
  <c r="K19" i="2"/>
  <c r="D19" i="2"/>
  <c r="K18" i="2"/>
  <c r="D18" i="2"/>
  <c r="N15" i="2"/>
  <c r="N14" i="2"/>
  <c r="G14" i="2"/>
  <c r="N13" i="2"/>
  <c r="G13" i="2"/>
  <c r="N12" i="2"/>
  <c r="G12" i="2"/>
</calcChain>
</file>

<file path=xl/sharedStrings.xml><?xml version="1.0" encoding="utf-8"?>
<sst xmlns="http://schemas.openxmlformats.org/spreadsheetml/2006/main" count="5020" uniqueCount="389">
  <si>
    <t>📋  KEY INSIGHTS &amp; FINDINGS — Banking Sector Analysis</t>
  </si>
  <si>
    <t>🏆 Executive Summary</t>
  </si>
  <si>
    <t xml:space="preserve">  ▸  Total of 250 customers analyzed across 4 account types (SAV, CUR, FD, LN)</t>
  </si>
  <si>
    <t xml:space="preserve">  ▸  Average customer balance is ₹52,646 with significant variance across segments</t>
  </si>
  <si>
    <t xml:space="preserve">  ▸  Net Balance Growth: ₹-120,876 — Overall positive financial health</t>
  </si>
  <si>
    <t xml:space="preserve">  ▸  Loan Default Rate stands at 45.1% — ⚠ CRITICAL: Immediate action required</t>
  </si>
  <si>
    <t>👥 Customer Insights</t>
  </si>
  <si>
    <t xml:space="preserve">  ▸  Gender split is nearly even: 130 Male (52%) vs 120 Female (48%)</t>
  </si>
  <si>
    <t xml:space="preserve">  ▸  Majority of customers (31–50 age group) hold the largest portfolio share</t>
  </si>
  <si>
    <t xml:space="preserve">  ▸  10 customers have critically low balance below ₹5,000 — risk of churn</t>
  </si>
  <si>
    <t xml:space="preserve">  ▸  Fixed Deposit &amp; Savings customers show highest average balances</t>
  </si>
  <si>
    <t>💳 Transaction Insights</t>
  </si>
  <si>
    <t xml:space="preserve">  ▸  Total Deposits: ₹1,161,614 | Total Withdrawals: ₹1,282,490</t>
  </si>
  <si>
    <t xml:space="preserve">  ▸  Debit transactions slightly outnumber Credits (132 vs 118)</t>
  </si>
  <si>
    <t xml:space="preserve">  ▸  Highest transaction volumes observed mid-week (Tuesday–Thursday)</t>
  </si>
  <si>
    <t xml:space="preserve">  ▸  Transaction amounts range from ₹570 to ₹19,891 — wide customer spending patterns</t>
  </si>
  <si>
    <t>🏦 Loan Performance Insights</t>
  </si>
  <si>
    <t xml:space="preserve">  ▸  26 customers in Default status out of 70 total loan customers</t>
  </si>
  <si>
    <t xml:space="preserve">  ▸  Default rate of 45.1% requires urgent intervention</t>
  </si>
  <si>
    <t xml:space="preserve">  ▸  Active loans: 25 | Closed loans: 19</t>
  </si>
  <si>
    <t xml:space="preserve">  ▸  At 10% interest rate, projected annual loan revenue pool is significant — rate optimization possible</t>
  </si>
  <si>
    <t>💡 Recommendations</t>
  </si>
  <si>
    <t xml:space="preserve">  ▸  Target 51+ age group with Fixed Deposit and investment products — highest balance potential</t>
  </si>
  <si>
    <t xml:space="preserve">  ▸  Implement early-warning system for customers approaching Balance &lt; ₹5,000 threshold</t>
  </si>
  <si>
    <t xml:space="preserve">  ▸  Review and restructure loan recovery strategy for Default customers immediately</t>
  </si>
  <si>
    <t xml:space="preserve">  ▸  Leverage peak transaction days (Wed–Thu) for cross-sell and upsell campaigns</t>
  </si>
  <si>
    <t xml:space="preserve">  ▸  Consider loyalty rewards for Top 10 customers — they drive disproportionate transaction volume</t>
  </si>
  <si>
    <t>🏦  BANKING SECTOR ANALYSIS — KPI DASHBOARD</t>
  </si>
  <si>
    <t>Analysis Period: 2024 | Source: Banking_Data.csv | Data Cleaned &amp; Validated</t>
  </si>
  <si>
    <t>Total
Customers</t>
  </si>
  <si>
    <t>Total Deposits</t>
  </si>
  <si>
    <t>Total Withdrawals</t>
  </si>
  <si>
    <t>Net Balance Growth</t>
  </si>
  <si>
    <t>Avg Account Balance</t>
  </si>
  <si>
    <t>Loan Default Rate %</t>
  </si>
  <si>
    <t>Monthly Txn Volume</t>
  </si>
  <si>
    <t>Total Transactions</t>
  </si>
  <si>
    <t>Credit Transactions</t>
  </si>
  <si>
    <t>Debit Transactions</t>
  </si>
  <si>
    <t>📊  CUSTOMER BREAKDOWN BY AGE GROUP</t>
  </si>
  <si>
    <t>💳  ACCOUNT TYPE ANALYSIS</t>
  </si>
  <si>
    <t>Age Group</t>
  </si>
  <si>
    <t>Customers</t>
  </si>
  <si>
    <t>Avg Balance</t>
  </si>
  <si>
    <t>Pct of Total</t>
  </si>
  <si>
    <t>Account Type</t>
  </si>
  <si>
    <t>Short</t>
  </si>
  <si>
    <t>Count</t>
  </si>
  <si>
    <t>Total Balance</t>
  </si>
  <si>
    <t>Share %</t>
  </si>
  <si>
    <t>18-30</t>
  </si>
  <si>
    <t>Current</t>
  </si>
  <si>
    <t>CUR</t>
  </si>
  <si>
    <t>31-50</t>
  </si>
  <si>
    <t>Fixed Deposit</t>
  </si>
  <si>
    <t>FD</t>
  </si>
  <si>
    <t>51+</t>
  </si>
  <si>
    <t>Loan</t>
  </si>
  <si>
    <t>LN</t>
  </si>
  <si>
    <t>Savings</t>
  </si>
  <si>
    <t>SAV</t>
  </si>
  <si>
    <t>🏦  LOAN STATUS DISTRIBUTION</t>
  </si>
  <si>
    <t>👥  GENDER ANALYSIS</t>
  </si>
  <si>
    <t>Loan Status</t>
  </si>
  <si>
    <t>Pct %</t>
  </si>
  <si>
    <t>Risk Level</t>
  </si>
  <si>
    <t>Action</t>
  </si>
  <si>
    <t>Gender</t>
  </si>
  <si>
    <t>Avg Txn Amt</t>
  </si>
  <si>
    <t>Active</t>
  </si>
  <si>
    <t>Medium</t>
  </si>
  <si>
    <t>Monitor closely</t>
  </si>
  <si>
    <t>Female</t>
  </si>
  <si>
    <t>Closed</t>
  </si>
  <si>
    <t>Low</t>
  </si>
  <si>
    <t>No action</t>
  </si>
  <si>
    <t>Male</t>
  </si>
  <si>
    <t>Default</t>
  </si>
  <si>
    <t>HIGH</t>
  </si>
  <si>
    <t>⚠ Immediate review</t>
  </si>
  <si>
    <t>👥  CUSTOMER OVERVIEW</t>
  </si>
  <si>
    <t>📊 Customers by Age Group &amp; Gender</t>
  </si>
  <si>
    <t>🔴 Customers with Balance &lt; ₹5,000</t>
  </si>
  <si>
    <t>Total</t>
  </si>
  <si>
    <t>Customer ID</t>
  </si>
  <si>
    <t>Name</t>
  </si>
  <si>
    <t>Balance</t>
  </si>
  <si>
    <t>CUST1065</t>
  </si>
  <si>
    <t>Patricia Baker</t>
  </si>
  <si>
    <t>N/A</t>
  </si>
  <si>
    <t>CUST1061</t>
  </si>
  <si>
    <t>James Patton</t>
  </si>
  <si>
    <t>CUST1010</t>
  </si>
  <si>
    <t>Amanda Beck</t>
  </si>
  <si>
    <t>CUST1033</t>
  </si>
  <si>
    <t>Jennifer Watson</t>
  </si>
  <si>
    <t>Total Customers</t>
  </si>
  <si>
    <t>Low Balance (&lt;₹5k)</t>
  </si>
  <si>
    <t>CUST1003</t>
  </si>
  <si>
    <t>Jonathan Peck</t>
  </si>
  <si>
    <t>CUST1009</t>
  </si>
  <si>
    <t>Lauren Jackson</t>
  </si>
  <si>
    <t>CUST1062</t>
  </si>
  <si>
    <t>Tanya Pena</t>
  </si>
  <si>
    <t>CUST1097</t>
  </si>
  <si>
    <t>Daniel Sparks</t>
  </si>
  <si>
    <t>CUST1022</t>
  </si>
  <si>
    <t>Karla Tucker</t>
  </si>
  <si>
    <t>💳  TRANSACTION ANALYSIS</t>
  </si>
  <si>
    <t>📈 Monthly Transaction Trend</t>
  </si>
  <si>
    <t>📆 Transactions by Day of Week</t>
  </si>
  <si>
    <t>Month</t>
  </si>
  <si>
    <t>Credits (₹)</t>
  </si>
  <si>
    <t>Debits (₹)</t>
  </si>
  <si>
    <t>Net (₹)</t>
  </si>
  <si>
    <t>Volume</t>
  </si>
  <si>
    <t>Day</t>
  </si>
  <si>
    <t>Txn Count</t>
  </si>
  <si>
    <t>Total Amount (₹)</t>
  </si>
  <si>
    <t>Avg Amount (₹)</t>
  </si>
  <si>
    <t>2023-09</t>
  </si>
  <si>
    <t>Monday</t>
  </si>
  <si>
    <t>2023-10</t>
  </si>
  <si>
    <t>Tuesday</t>
  </si>
  <si>
    <t>2023-11</t>
  </si>
  <si>
    <t>Wednesday</t>
  </si>
  <si>
    <t>2023-12</t>
  </si>
  <si>
    <t>Thursday</t>
  </si>
  <si>
    <t>2024-01</t>
  </si>
  <si>
    <t>Friday</t>
  </si>
  <si>
    <t>2024-02</t>
  </si>
  <si>
    <t>Saturday</t>
  </si>
  <si>
    <t>2024-03</t>
  </si>
  <si>
    <t>Sunday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</si>
  <si>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</si>
  <si>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</si>
  <si>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</si>
  <si>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</si>
  <si>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</si>
  <si>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</si>
  <si>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</si>
  <si>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</si>
  <si>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💰 Credit vs Debit by Account Type</t>
  </si>
  <si>
    <t>Account</t>
  </si>
  <si>
    <t>Credit (₹)</t>
  </si>
  <si>
    <t>Debit (₹)</t>
  </si>
  <si>
    <t>2025-06</t>
  </si>
  <si>
    <t>2025-07</t>
  </si>
  <si>
    <t>2025-08</t>
  </si>
  <si>
    <t>2025-09</t>
  </si>
  <si>
    <t>🏦  LOAN PERFORMANCE ANALYSIS</t>
  </si>
  <si>
    <t>Active Loans</t>
  </si>
  <si>
    <t>Closed Loans</t>
  </si>
  <si>
    <t>Default Loans</t>
  </si>
  <si>
    <t>🥧 Loan Status Distribution</t>
  </si>
  <si>
    <t>📊 Loan Performance by Age Group</t>
  </si>
  <si>
    <t>Status</t>
  </si>
  <si>
    <t>Default Rate</t>
  </si>
  <si>
    <t>📐 What-If: Interest Rate Impact on Revenue</t>
  </si>
  <si>
    <t>Interest Rate %</t>
  </si>
  <si>
    <t>Loan Balance Pool (₹)</t>
  </si>
  <si>
    <t>Projected Annual Revenue (₹)</t>
  </si>
  <si>
    <t>Monthly Revenue (₹)</t>
  </si>
  <si>
    <t>Revenue Change vs 10%</t>
  </si>
  <si>
    <t>🏆  TOP CUSTOMERS ANALYSIS</t>
  </si>
  <si>
    <t>🥇 Top 10 Customers by Total Transactions</t>
  </si>
  <si>
    <t>Rank</t>
  </si>
  <si>
    <t>Customer Name</t>
  </si>
  <si>
    <t>Total Txn Amount (₹)</t>
  </si>
  <si>
    <t>Avg Balance (₹)</t>
  </si>
  <si>
    <t>Net Impact (₹)</t>
  </si>
  <si>
    <t>🥇 1st</t>
  </si>
  <si>
    <t>CUST1070</t>
  </si>
  <si>
    <t>Randy Martinez</t>
  </si>
  <si>
    <t>🥈 2nd</t>
  </si>
  <si>
    <t>CUST1099</t>
  </si>
  <si>
    <t>Madison Ramos</t>
  </si>
  <si>
    <t>🥉 3rd</t>
  </si>
  <si>
    <t>CUST1015</t>
  </si>
  <si>
    <t>Bonnie Chavez</t>
  </si>
  <si>
    <t>4</t>
  </si>
  <si>
    <t>CUST1052</t>
  </si>
  <si>
    <t>Shannon Olson</t>
  </si>
  <si>
    <t>5</t>
  </si>
  <si>
    <t>6</t>
  </si>
  <si>
    <t>CUST1011</t>
  </si>
  <si>
    <t>Charles Bates</t>
  </si>
  <si>
    <t>7</t>
  </si>
  <si>
    <t>CUST1098</t>
  </si>
  <si>
    <t>Amanda Goodman</t>
  </si>
  <si>
    <t>8</t>
  </si>
  <si>
    <t>CUST1005</t>
  </si>
  <si>
    <t>Charles Anderson</t>
  </si>
  <si>
    <t>9</t>
  </si>
  <si>
    <t>CUST1027</t>
  </si>
  <si>
    <t>Calvin Simmons</t>
  </si>
  <si>
    <t>10</t>
  </si>
  <si>
    <t>CUST1083</t>
  </si>
  <si>
    <t>Rachel Ayala</t>
  </si>
  <si>
    <t>📊 Top 10 by Transaction Count</t>
  </si>
  <si>
    <t>💰 Customer Profitability Scores</t>
  </si>
  <si>
    <t>Profitability Score (₹)</t>
  </si>
  <si>
    <t>CUST1100</t>
  </si>
  <si>
    <t>Matthew Howe</t>
  </si>
  <si>
    <t>Omar Williams</t>
  </si>
  <si>
    <t>Timothy Mitchell</t>
  </si>
  <si>
    <t>Christopher Moore</t>
  </si>
  <si>
    <t>Mitchell Wilson</t>
  </si>
  <si>
    <t>CUST1067</t>
  </si>
  <si>
    <t>Kelly Murphy</t>
  </si>
  <si>
    <t>Jeff Hawkins</t>
  </si>
  <si>
    <t>Latoya Bailey</t>
  </si>
  <si>
    <t>CUST1093</t>
  </si>
  <si>
    <t>Michael Miller</t>
  </si>
  <si>
    <t>Kyle Kramer</t>
  </si>
  <si>
    <t>CUST1087</t>
  </si>
  <si>
    <t>Willie Elliott</t>
  </si>
  <si>
    <t>Brittany Coleman</t>
  </si>
  <si>
    <t>Elizabeth Mitchell</t>
  </si>
  <si>
    <t>Michael Thomas MD</t>
  </si>
  <si>
    <t>📅  CALENDAR TABLE — Transaction Dates</t>
  </si>
  <si>
    <t>Date</t>
  </si>
  <si>
    <t>Year</t>
  </si>
  <si>
    <t>Quarter</t>
  </si>
  <si>
    <t>Month Name</t>
  </si>
  <si>
    <t>Week Num</t>
  </si>
  <si>
    <t>Day Name</t>
  </si>
  <si>
    <t>Q3</t>
  </si>
  <si>
    <t>September</t>
  </si>
  <si>
    <t>Q4</t>
  </si>
  <si>
    <t>October</t>
  </si>
  <si>
    <t>November</t>
  </si>
  <si>
    <t>December</t>
  </si>
  <si>
    <t>Q1</t>
  </si>
  <si>
    <t>January</t>
  </si>
  <si>
    <t>February</t>
  </si>
  <si>
    <t>March</t>
  </si>
  <si>
    <t>Q2</t>
  </si>
  <si>
    <t>April</t>
  </si>
  <si>
    <t>May</t>
  </si>
  <si>
    <t>June</t>
  </si>
  <si>
    <t>July</t>
  </si>
  <si>
    <t>August</t>
  </si>
  <si>
    <t>Age</t>
  </si>
  <si>
    <t>Acct Short</t>
  </si>
  <si>
    <t>Balance (₹)</t>
  </si>
  <si>
    <t>Transaction Date</t>
  </si>
  <si>
    <t>Transaction Type</t>
  </si>
  <si>
    <t>Transaction Amount (₹)</t>
  </si>
  <si>
    <t>Day of Week</t>
  </si>
  <si>
    <t>Profitability Score</t>
  </si>
  <si>
    <t>CUST1055</t>
  </si>
  <si>
    <t>Lori Sutton</t>
  </si>
  <si>
    <t>Credit</t>
  </si>
  <si>
    <t>CUST1082</t>
  </si>
  <si>
    <t>Adrienne West</t>
  </si>
  <si>
    <t>CUST1018</t>
  </si>
  <si>
    <t>Brooke French</t>
  </si>
  <si>
    <t>Debit</t>
  </si>
  <si>
    <t>CUST1014</t>
  </si>
  <si>
    <t>Carmen Patterson</t>
  </si>
  <si>
    <t>CUST1080</t>
  </si>
  <si>
    <t>Tammy Wallace</t>
  </si>
  <si>
    <t>CUST1072</t>
  </si>
  <si>
    <t>Zachary Villanueva</t>
  </si>
  <si>
    <t>CUST1060</t>
  </si>
  <si>
    <t>Alan Delgado</t>
  </si>
  <si>
    <t>CUST1032</t>
  </si>
  <si>
    <t>Christine Brown</t>
  </si>
  <si>
    <t>CUST1023</t>
  </si>
  <si>
    <t>Sean Edwards</t>
  </si>
  <si>
    <t>CUST1019</t>
  </si>
  <si>
    <t>Pamela Kelly</t>
  </si>
  <si>
    <t>CUST1041</t>
  </si>
  <si>
    <t>Leonard Craig</t>
  </si>
  <si>
    <t>CUST1051</t>
  </si>
  <si>
    <t>Wendy Lowery</t>
  </si>
  <si>
    <t>CUST1012</t>
  </si>
  <si>
    <t>Shannon Garcia</t>
  </si>
  <si>
    <t>CUST1045</t>
  </si>
  <si>
    <t>Ronald Jones</t>
  </si>
  <si>
    <t>CUST1075</t>
  </si>
  <si>
    <t>Taylor Ortiz</t>
  </si>
  <si>
    <t>CUST1030</t>
  </si>
  <si>
    <t>Michelle Henry</t>
  </si>
  <si>
    <t>2025-02</t>
  </si>
  <si>
    <t>CUST1063</t>
  </si>
  <si>
    <t>Jonathan Clayton</t>
  </si>
  <si>
    <t>CUST1092</t>
  </si>
  <si>
    <t>Suzanne Mcconnell</t>
  </si>
  <si>
    <t>2024-12</t>
  </si>
  <si>
    <t>CUST1086</t>
  </si>
  <si>
    <t>Rebekah Brooks</t>
  </si>
  <si>
    <t>CUST1085</t>
  </si>
  <si>
    <t>Roberto Hill</t>
  </si>
  <si>
    <t>CUST1017</t>
  </si>
  <si>
    <t>Robert Jones</t>
  </si>
  <si>
    <t>2025-03</t>
  </si>
  <si>
    <t>CUST1088</t>
  </si>
  <si>
    <t>Eric Thomas</t>
  </si>
  <si>
    <t>CUST1002</t>
  </si>
  <si>
    <t>Donna Gordon MD</t>
  </si>
  <si>
    <t>CUST1053</t>
  </si>
  <si>
    <t>Tammy Noble</t>
  </si>
  <si>
    <t>CUST1094</t>
  </si>
  <si>
    <t>Joanna Sims</t>
  </si>
  <si>
    <t>2025-04</t>
  </si>
  <si>
    <t>CUST1064</t>
  </si>
  <si>
    <t>Evan Peterson</t>
  </si>
  <si>
    <t>2025-05</t>
  </si>
  <si>
    <t>CUST1069</t>
  </si>
  <si>
    <t>Robert Vasquez</t>
  </si>
  <si>
    <t>CUST1006</t>
  </si>
  <si>
    <t>Ryan Walker</t>
  </si>
  <si>
    <t>2025-01</t>
  </si>
  <si>
    <t>CUST1038</t>
  </si>
  <si>
    <t>Pamela Carlson</t>
  </si>
  <si>
    <t>CUST1091</t>
  </si>
  <si>
    <t>CUST1095</t>
  </si>
  <si>
    <t>Sheena Jackson</t>
  </si>
  <si>
    <t>CUST1013</t>
  </si>
  <si>
    <t>Jose Carrillo</t>
  </si>
  <si>
    <t>CUST1029</t>
  </si>
  <si>
    <t>Jessica Carey</t>
  </si>
  <si>
    <t>CUST1048</t>
  </si>
  <si>
    <t>Amanda Brown</t>
  </si>
  <si>
    <t>CUST1074</t>
  </si>
  <si>
    <t>Kenneth Smith</t>
  </si>
  <si>
    <t>CUST1084</t>
  </si>
  <si>
    <t>Douglas Gomez</t>
  </si>
  <si>
    <t>CUST1028</t>
  </si>
  <si>
    <t>CUST1042</t>
  </si>
  <si>
    <t>Dr. Victoria Maddox</t>
  </si>
  <si>
    <t>CUST1020</t>
  </si>
  <si>
    <t>Jennifer Shaw</t>
  </si>
  <si>
    <t>CUST1071</t>
  </si>
  <si>
    <t>CUST1078</t>
  </si>
  <si>
    <t>Denise Miller</t>
  </si>
  <si>
    <t>CUST1037</t>
  </si>
  <si>
    <t>Molly Austin</t>
  </si>
  <si>
    <t>CUST1040</t>
  </si>
  <si>
    <t>Jamie Gomez</t>
  </si>
  <si>
    <t>CUST1021</t>
  </si>
  <si>
    <t>Gregory Copeland</t>
  </si>
  <si>
    <t>CUST1073</t>
  </si>
  <si>
    <t>CUST1016</t>
  </si>
  <si>
    <t>John Martinez</t>
  </si>
  <si>
    <t>CUST1047</t>
  </si>
  <si>
    <t>CUST1024</t>
  </si>
  <si>
    <t>Barbara Brewer</t>
  </si>
  <si>
    <t>CUST1096</t>
  </si>
  <si>
    <t>CUST1007</t>
  </si>
  <si>
    <t>Anthony Ware</t>
  </si>
  <si>
    <t>CUST1026</t>
  </si>
  <si>
    <t>Joseph Lopez</t>
  </si>
  <si>
    <t>CUST1049</t>
  </si>
  <si>
    <t>Timothy Booth</t>
  </si>
  <si>
    <t>CUST1059</t>
  </si>
  <si>
    <t>CUST1044</t>
  </si>
  <si>
    <t>Sylvia Mcpherson</t>
  </si>
  <si>
    <t>CUST1076</t>
  </si>
  <si>
    <t>Jordan Hicks</t>
  </si>
  <si>
    <t>CUST1035</t>
  </si>
  <si>
    <t>Theresa Lara</t>
  </si>
  <si>
    <t>CUST1025</t>
  </si>
  <si>
    <t>Dwayne Decker</t>
  </si>
  <si>
    <t>CUST1031</t>
  </si>
  <si>
    <t>Gary Hill</t>
  </si>
  <si>
    <t>CUST1089</t>
  </si>
  <si>
    <t>Victoria Harris</t>
  </si>
  <si>
    <t>CUST1039</t>
  </si>
  <si>
    <t>Walter Thomas</t>
  </si>
  <si>
    <t>CUST1068</t>
  </si>
  <si>
    <t>CUST1090</t>
  </si>
  <si>
    <t>CUST1043</t>
  </si>
  <si>
    <t>Daniel Spencer</t>
  </si>
  <si>
    <t>CUST1066</t>
  </si>
  <si>
    <t>Steven Vasquez</t>
  </si>
  <si>
    <t>CUST1034</t>
  </si>
  <si>
    <t>Wayne Roth</t>
  </si>
  <si>
    <t>CUST1046</t>
  </si>
  <si>
    <t>Lisa Daniels</t>
  </si>
  <si>
    <t>CUST1057</t>
  </si>
  <si>
    <t>Robert Harper</t>
  </si>
  <si>
    <t>CUST1056</t>
  </si>
  <si>
    <t>Duane Carroll</t>
  </si>
  <si>
    <t>CUST1077</t>
  </si>
  <si>
    <t>William Sosa PhD</t>
  </si>
  <si>
    <t>CUST1081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</si>
</sst>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₹#,##0"/>
    <numFmt numFmtId="165" formatCode="0.00\%"/>
    <numFmt numFmtId="166" formatCode="#,##0.0"/>
    <numFmt numFmtId="167" formatCode="0.0%"/>
    <numFmt numFmtId="168" formatCode="\₹#,##0.00"/>
    <numFmt numFmtId="169" formatCode="0.0%;\(0.0%\);\-"/>
    <numFmt numFmtId="170" formatCode="dd\-mm\-yyyy"/>
    <numFmt numFmtId="171" formatCode="yyyy\-mm\-dd"/>
  </numFmts>
  <fonts count="20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404040"/>
      <name val="Arial"/>
      <charset val="1"/>
    </font>
    <font>
      <b/>
      <sz val="16"/>
      <color rgb="FFFFFFFF"/>
      <name val="Arial"/>
      <charset val="1"/>
    </font>
    <font>
      <i/>
      <sz val="9"/>
      <color rgb="FF404040"/>
      <name val="Arial"/>
      <charset val="1"/>
    </font>
    <font>
      <b/>
      <sz val="9"/>
      <color rgb="FFFFFFFF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9"/>
      <color rgb="FFFF0000"/>
      <name val="Arial"/>
      <charset val="1"/>
    </font>
    <font>
      <b/>
      <sz val="10"/>
      <color rgb="FF8B0000"/>
      <name val="Arial"/>
      <charset val="1"/>
    </font>
    <font>
      <b/>
      <sz val="10"/>
      <color rgb="FF1F6E3C"/>
      <name val="Arial"/>
      <charset val="1"/>
    </font>
    <font>
      <sz val="10"/>
      <color rgb="FF8B0000"/>
      <name val="Arial"/>
      <charset val="1"/>
    </font>
    <font>
      <sz val="10"/>
      <color rgb="FF1F6E3C"/>
      <name val="Arial"/>
      <charset val="1"/>
    </font>
    <font>
      <b/>
      <sz val="10"/>
      <color rgb="FF404040"/>
      <name val="Arial"/>
      <charset val="1"/>
    </font>
    <font>
      <b/>
      <sz val="10"/>
      <color rgb="FFFFFFFF"/>
      <name val="Arial"/>
      <charset val="1"/>
    </font>
    <font>
      <b/>
      <sz val="13"/>
      <color rgb="FFFFFFFF"/>
      <name val="Arial"/>
      <charset val="1"/>
    </font>
    <font>
      <sz val="9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4472C4"/>
      </patternFill>
    </fill>
    <fill>
      <patternFill patternType="solid">
        <fgColor rgb="FF8B0000"/>
        <bgColor rgb="FF800000"/>
      </patternFill>
    </fill>
    <fill>
      <patternFill patternType="solid">
        <fgColor rgb="FF6B3FA0"/>
        <bgColor rgb="FF993366"/>
      </patternFill>
    </fill>
    <fill>
      <patternFill patternType="solid">
        <fgColor rgb="FFBDD7EE"/>
        <bgColor rgb="FFD9D9D9"/>
      </patternFill>
    </fill>
    <fill>
      <patternFill patternType="solid">
        <fgColor rgb="FF1F6E3C"/>
        <bgColor rgb="FF008080"/>
      </patternFill>
    </fill>
    <fill>
      <patternFill patternType="solid">
        <fgColor rgb="FFFF0000"/>
        <bgColor rgb="FF8B0000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CCCC"/>
        <bgColor rgb="FFD9D9D9"/>
      </patternFill>
    </fill>
    <fill>
      <patternFill patternType="solid">
        <fgColor rgb="FFFFB700"/>
        <bgColor rgb="FFFFD700"/>
      </patternFill>
    </fill>
    <fill>
      <patternFill patternType="solid">
        <fgColor rgb="FF70AD47"/>
        <bgColor rgb="FF878787"/>
      </patternFill>
    </fill>
    <fill>
      <patternFill patternType="solid">
        <fgColor rgb="FFFFD700"/>
        <bgColor rgb="FFFFB700"/>
      </patternFill>
    </fill>
    <fill>
      <patternFill patternType="solid">
        <fgColor rgb="FFC0C0C0"/>
        <bgColor rgb="FFBFBFBF"/>
      </patternFill>
    </fill>
    <fill>
      <patternFill patternType="solid">
        <fgColor rgb="FFCD7F32"/>
        <bgColor rgb="FF808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6" fillId="7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3" fontId="9" fillId="11" borderId="1" xfId="0" applyNumberFormat="1" applyFont="1" applyFill="1" applyBorder="1" applyAlignment="1">
      <alignment horizontal="center" vertical="center"/>
    </xf>
    <xf numFmtId="167" fontId="9" fillId="11" borderId="1" xfId="0" applyNumberFormat="1" applyFont="1" applyFill="1" applyBorder="1" applyAlignment="1">
      <alignment horizontal="center" vertical="center"/>
    </xf>
    <xf numFmtId="164" fontId="9" fillId="11" borderId="1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3" fontId="9" fillId="12" borderId="1" xfId="0" applyNumberFormat="1" applyFont="1" applyFill="1" applyBorder="1" applyAlignment="1">
      <alignment horizontal="center" vertical="center"/>
    </xf>
    <xf numFmtId="167" fontId="9" fillId="12" borderId="1" xfId="0" applyNumberFormat="1" applyFont="1" applyFill="1" applyBorder="1" applyAlignment="1">
      <alignment horizontal="center" vertical="center"/>
    </xf>
    <xf numFmtId="164" fontId="9" fillId="12" borderId="1" xfId="0" applyNumberFormat="1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3" fontId="10" fillId="13" borderId="1" xfId="0" applyNumberFormat="1" applyFont="1" applyFill="1" applyBorder="1" applyAlignment="1">
      <alignment horizontal="center" vertical="center"/>
    </xf>
    <xf numFmtId="167" fontId="10" fillId="13" borderId="1" xfId="0" applyNumberFormat="1" applyFont="1" applyFill="1" applyBorder="1" applyAlignment="1">
      <alignment horizontal="center" vertical="center"/>
    </xf>
    <xf numFmtId="164" fontId="10" fillId="13" borderId="1" xfId="0" applyNumberFormat="1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168" fontId="11" fillId="1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64" fontId="12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167" fontId="10" fillId="14" borderId="1" xfId="0" applyNumberFormat="1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167" fontId="10" fillId="15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167" fontId="10" fillId="10" borderId="1" xfId="0" applyNumberFormat="1" applyFont="1" applyFill="1" applyBorder="1" applyAlignment="1">
      <alignment horizontal="center" vertical="center"/>
    </xf>
    <xf numFmtId="9" fontId="9" fillId="3" borderId="1" xfId="0" applyNumberFormat="1" applyFont="1" applyFill="1" applyBorder="1" applyAlignment="1">
      <alignment horizontal="center" vertical="center"/>
    </xf>
    <xf numFmtId="169" fontId="14" fillId="3" borderId="1" xfId="0" applyNumberFormat="1" applyFont="1" applyFill="1" applyBorder="1" applyAlignment="1">
      <alignment horizontal="center" vertical="center"/>
    </xf>
    <xf numFmtId="9" fontId="9" fillId="4" borderId="1" xfId="0" applyNumberFormat="1" applyFont="1" applyFill="1" applyBorder="1" applyAlignment="1">
      <alignment horizontal="center" vertical="center"/>
    </xf>
    <xf numFmtId="169" fontId="14" fillId="4" borderId="1" xfId="0" applyNumberFormat="1" applyFont="1" applyFill="1" applyBorder="1" applyAlignment="1">
      <alignment horizontal="center" vertical="center"/>
    </xf>
    <xf numFmtId="9" fontId="10" fillId="11" borderId="1" xfId="0" applyNumberFormat="1" applyFont="1" applyFill="1" applyBorder="1" applyAlignment="1">
      <alignment horizontal="center" vertical="center"/>
    </xf>
    <xf numFmtId="164" fontId="10" fillId="11" borderId="1" xfId="0" applyNumberFormat="1" applyFont="1" applyFill="1" applyBorder="1" applyAlignment="1">
      <alignment horizontal="center" vertical="center"/>
    </xf>
    <xf numFmtId="169" fontId="13" fillId="11" borderId="1" xfId="0" applyNumberFormat="1" applyFont="1" applyFill="1" applyBorder="1" applyAlignment="1">
      <alignment horizontal="center" vertical="center"/>
    </xf>
    <xf numFmtId="169" fontId="15" fillId="4" borderId="1" xfId="0" applyNumberFormat="1" applyFont="1" applyFill="1" applyBorder="1" applyAlignment="1">
      <alignment horizontal="center" vertical="center"/>
    </xf>
    <xf numFmtId="169" fontId="15" fillId="3" borderId="1" xfId="0" applyNumberFormat="1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64" fontId="16" fillId="16" borderId="1" xfId="0" applyNumberFormat="1" applyFont="1" applyFill="1" applyBorder="1" applyAlignment="1">
      <alignment horizontal="center" vertical="center"/>
    </xf>
    <xf numFmtId="3" fontId="16" fillId="16" borderId="1" xfId="0" applyNumberFormat="1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164" fontId="16" fillId="17" borderId="1" xfId="0" applyNumberFormat="1" applyFont="1" applyFill="1" applyBorder="1" applyAlignment="1">
      <alignment horizontal="center" vertical="center"/>
    </xf>
    <xf numFmtId="3" fontId="16" fillId="17" borderId="1" xfId="0" applyNumberFormat="1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164" fontId="17" fillId="18" borderId="1" xfId="0" applyNumberFormat="1" applyFont="1" applyFill="1" applyBorder="1" applyAlignment="1">
      <alignment horizontal="center" vertical="center"/>
    </xf>
    <xf numFmtId="3" fontId="17" fillId="18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70" fontId="19" fillId="3" borderId="0" xfId="0" applyNumberFormat="1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170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68" fontId="19" fillId="3" borderId="1" xfId="0" applyNumberFormat="1" applyFont="1" applyFill="1" applyBorder="1" applyAlignment="1">
      <alignment vertical="center"/>
    </xf>
    <xf numFmtId="171" fontId="19" fillId="3" borderId="1" xfId="0" applyNumberFormat="1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168" fontId="19" fillId="0" borderId="1" xfId="0" applyNumberFormat="1" applyFont="1" applyBorder="1" applyAlignment="1">
      <alignment vertical="center"/>
    </xf>
    <xf numFmtId="171" fontId="19" fillId="0" borderId="1" xfId="0" applyNumberFormat="1" applyFont="1" applyBorder="1" applyAlignment="1">
      <alignment vertical="center"/>
    </xf>
    <xf numFmtId="3" fontId="7" fillId="2" borderId="0" xfId="0" applyNumberFormat="1" applyFont="1" applyFill="1" applyBorder="1" applyAlignment="1">
      <alignment horizontal="center" vertical="center"/>
    </xf>
    <xf numFmtId="164" fontId="7" fillId="9" borderId="0" xfId="0" applyNumberFormat="1" applyFont="1" applyFill="1" applyBorder="1" applyAlignment="1">
      <alignment horizontal="center" vertical="center"/>
    </xf>
    <xf numFmtId="164" fontId="7" fillId="6" borderId="0" xfId="0" applyNumberFormat="1" applyFont="1" applyFill="1" applyBorder="1" applyAlignment="1">
      <alignment horizontal="center" vertical="center"/>
    </xf>
    <xf numFmtId="164" fontId="7" fillId="5" borderId="0" xfId="0" applyNumberFormat="1" applyFont="1" applyFill="1" applyBorder="1" applyAlignment="1">
      <alignment horizontal="center" vertical="center"/>
    </xf>
    <xf numFmtId="164" fontId="7" fillId="7" borderId="0" xfId="0" applyNumberFormat="1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165" fontId="7" fillId="10" borderId="0" xfId="0" applyNumberFormat="1" applyFont="1" applyFill="1" applyBorder="1" applyAlignment="1">
      <alignment horizontal="center" vertical="center"/>
    </xf>
    <xf numFmtId="166" fontId="7" fillId="5" borderId="0" xfId="0" applyNumberFormat="1" applyFont="1" applyFill="1" applyBorder="1" applyAlignment="1">
      <alignment horizontal="center" vertical="center"/>
    </xf>
    <xf numFmtId="3" fontId="7" fillId="9" borderId="0" xfId="0" applyNumberFormat="1" applyFont="1" applyFill="1" applyBorder="1" applyAlignment="1">
      <alignment horizontal="center" vertical="center"/>
    </xf>
    <xf numFmtId="3" fontId="7" fillId="6" borderId="0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3" fontId="7" fillId="5" borderId="0" xfId="0" applyNumberFormat="1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F6E3C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F2F2F2"/>
      <rgbColor rgb="FF660066"/>
      <rgbColor rgb="FFFF69B4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D9D9D9"/>
      <rgbColor rgb="FFBFBFBF"/>
      <rgbColor rgb="FFFF99CC"/>
      <rgbColor rgb="FFCC99FF"/>
      <rgbColor rgb="FFFFCCCC"/>
      <rgbColor rgb="FF4472C4"/>
      <rgbColor rgb="FF33CCCC"/>
      <rgbColor rgb="FF99CC00"/>
      <rgbColor rgb="FFFFD700"/>
      <rgbColor rgb="FFFFB700"/>
      <rgbColor rgb="FFCD7F32"/>
      <rgbColor rgb="FF4F81BD"/>
      <rgbColor rgb="FF70AD47"/>
      <rgbColor rgb="FF1F3864"/>
      <rgbColor rgb="FF339966"/>
      <rgbColor rgb="FF003300"/>
      <rgbColor rgb="FF333300"/>
      <rgbColor rgb="FF993300"/>
      <rgbColor rgb="FF993366"/>
      <rgbColor rgb="FF6B3FA0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Customers by Age Group &amp;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Customer_Overview!$B$4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69B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Customer_Overview!$A$5:$A$7</c:f>
              <c:strCache>
                <c:ptCount val="3"/>
                <c:pt idx="0">
                  <c:v>18-30</c:v>
                </c:pt>
                <c:pt idx="1">
                  <c:v>31-50</c:v>
                </c:pt>
                <c:pt idx="2">
                  <c:v>51+</c:v>
                </c:pt>
              </c:strCache>
            </c:strRef>
          </c:cat>
          <c:val>
            <c:numRef>
              <c:f>Customer_Overview!$B$5:$B$7</c:f>
              <c:numCache>
                <c:formatCode>General</c:formatCode>
                <c:ptCount val="3"/>
                <c:pt idx="0">
                  <c:v>17</c:v>
                </c:pt>
                <c:pt idx="1">
                  <c:v>49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3-493F-9B01-EB2E396AAA11}"/>
            </c:ext>
          </c:extLst>
        </c:ser>
        <c:ser>
          <c:idx val="1"/>
          <c:order val="1"/>
          <c:tx>
            <c:strRef>
              <c:f>Customer_Overview!$C$4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Customer_Overview!$A$5:$A$7</c:f>
              <c:strCache>
                <c:ptCount val="3"/>
                <c:pt idx="0">
                  <c:v>18-30</c:v>
                </c:pt>
                <c:pt idx="1">
                  <c:v>31-50</c:v>
                </c:pt>
                <c:pt idx="2">
                  <c:v>51+</c:v>
                </c:pt>
              </c:strCache>
            </c:strRef>
          </c:cat>
          <c:val>
            <c:numRef>
              <c:f>Customer_Overview!$C$5:$C$7</c:f>
              <c:numCache>
                <c:formatCode>General</c:formatCode>
                <c:ptCount val="3"/>
                <c:pt idx="0">
                  <c:v>38</c:v>
                </c:pt>
                <c:pt idx="1">
                  <c:v>53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53-493F-9B01-EB2E396AA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327720"/>
        <c:axId val="19338053"/>
      </c:barChart>
      <c:catAx>
        <c:axId val="853277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Age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338053"/>
        <c:crosses val="autoZero"/>
        <c:auto val="1"/>
        <c:lblAlgn val="ctr"/>
        <c:lblOffset val="100"/>
        <c:noMultiLvlLbl val="0"/>
      </c:catAx>
      <c:valAx>
        <c:axId val="193380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3277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Credit vs Debit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Transaction_Analysis!$B$4</c:f>
              <c:strCache>
                <c:ptCount val="1"/>
                <c:pt idx="0">
                  <c:v>Credits (₹)</c:v>
                </c:pt>
              </c:strCache>
            </c:strRef>
          </c:tx>
          <c:spPr>
            <a:ln w="47520">
              <a:solidFill>
                <a:srgbClr val="1F6E3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Transaction_Analysis!$A$5:$A$29</c:f>
              <c:strCache>
                <c:ptCount val="25"/>
                <c:pt idx="0">
                  <c:v>2023-09</c:v>
                </c:pt>
                <c:pt idx="1">
                  <c:v>2023-10</c:v>
                </c:pt>
                <c:pt idx="2">
                  <c:v>2023-11</c:v>
                </c:pt>
                <c:pt idx="3">
                  <c:v>2023-12</c:v>
                </c:pt>
                <c:pt idx="4">
                  <c:v>2024-01</c:v>
                </c:pt>
                <c:pt idx="5">
                  <c:v>2024-02</c:v>
                </c:pt>
                <c:pt idx="6">
                  <c:v>2024-03</c:v>
                </c:pt>
                <c:pt idx="7">
                  <c:v>2024-04</c:v>
                </c:pt>
                <c:pt idx="8">
                  <c:v>2024-05</c:v>
                </c:pt>
                <c:pt idx="9">
                  <c:v>2024-06</c:v>
                </c:pt>
                <c:pt idx="10">
                  <c:v>2024-07</c:v>
                </c:pt>
                <c:pt idx="11">
                  <c:v>2024-08</c:v>
                </c:pt>
                <c:pt idx="12">
                  <c:v>2024-09</c:v>
                </c:pt>
                <c:pt idx="13">
                  <c:v>2024-10</c:v>
                </c:pt>
                <c:pt idx="14">
                  <c:v>2024-11</c:v>
                </c:pt>
                <c:pt idx="15">
                  <c:v>💰 Credit vs Debit by Account Type</c:v>
                </c:pt>
                <c:pt idx="16">
                  <c:v>Account</c:v>
                </c:pt>
                <c:pt idx="17">
                  <c:v>CUR</c:v>
                </c:pt>
                <c:pt idx="18">
                  <c:v>FD</c:v>
                </c:pt>
                <c:pt idx="19">
                  <c:v>LN</c:v>
                </c:pt>
                <c:pt idx="20">
                  <c:v>SAV</c:v>
                </c:pt>
                <c:pt idx="21">
                  <c:v>2025-06</c:v>
                </c:pt>
                <c:pt idx="22">
                  <c:v>2025-07</c:v>
                </c:pt>
                <c:pt idx="23">
                  <c:v>2025-08</c:v>
                </c:pt>
                <c:pt idx="24">
                  <c:v>2025-09</c:v>
                </c:pt>
              </c:strCache>
            </c:strRef>
          </c:cat>
          <c:val>
            <c:numRef>
              <c:f>Transaction_Analysis!$B$5:$B$29</c:f>
              <c:numCache>
                <c:formatCode>\₹#,##0</c:formatCode>
                <c:ptCount val="25"/>
                <c:pt idx="0">
                  <c:v>19739</c:v>
                </c:pt>
                <c:pt idx="1">
                  <c:v>88881.57</c:v>
                </c:pt>
                <c:pt idx="2">
                  <c:v>51609.54</c:v>
                </c:pt>
                <c:pt idx="3">
                  <c:v>56064.9</c:v>
                </c:pt>
                <c:pt idx="4">
                  <c:v>43272.14</c:v>
                </c:pt>
                <c:pt idx="5">
                  <c:v>50108.480000000003</c:v>
                </c:pt>
                <c:pt idx="6">
                  <c:v>33111.410000000003</c:v>
                </c:pt>
                <c:pt idx="7">
                  <c:v>52787.12</c:v>
                </c:pt>
                <c:pt idx="8">
                  <c:v>106305.43</c:v>
                </c:pt>
                <c:pt idx="9">
                  <c:v>37091.58</c:v>
                </c:pt>
                <c:pt idx="10">
                  <c:v>68091.13</c:v>
                </c:pt>
                <c:pt idx="11">
                  <c:v>38722.480000000003</c:v>
                </c:pt>
                <c:pt idx="12">
                  <c:v>54978.79</c:v>
                </c:pt>
                <c:pt idx="13">
                  <c:v>69329.45</c:v>
                </c:pt>
                <c:pt idx="14">
                  <c:v>0</c:v>
                </c:pt>
                <c:pt idx="16">
                  <c:v>0</c:v>
                </c:pt>
                <c:pt idx="17">
                  <c:v>253251.98</c:v>
                </c:pt>
                <c:pt idx="18">
                  <c:v>267674.34000000003</c:v>
                </c:pt>
                <c:pt idx="19">
                  <c:v>392919.08</c:v>
                </c:pt>
                <c:pt idx="20">
                  <c:v>247768.49</c:v>
                </c:pt>
                <c:pt idx="21">
                  <c:v>17424.71</c:v>
                </c:pt>
                <c:pt idx="22">
                  <c:v>52225.55</c:v>
                </c:pt>
                <c:pt idx="23">
                  <c:v>61120.87</c:v>
                </c:pt>
                <c:pt idx="24">
                  <c:v>570.27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E0-4612-ABE5-C5BE3546DD26}"/>
            </c:ext>
          </c:extLst>
        </c:ser>
        <c:ser>
          <c:idx val="1"/>
          <c:order val="1"/>
          <c:tx>
            <c:strRef>
              <c:f>Transaction_Analysis!$C$4</c:f>
              <c:strCache>
                <c:ptCount val="1"/>
                <c:pt idx="0">
                  <c:v>Debits (₹)</c:v>
                </c:pt>
              </c:strCache>
            </c:strRef>
          </c:tx>
          <c:spPr>
            <a:ln w="47520">
              <a:solidFill>
                <a:srgbClr val="8B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Transaction_Analysis!$A$5:$A$29</c:f>
              <c:strCache>
                <c:ptCount val="25"/>
                <c:pt idx="0">
                  <c:v>2023-09</c:v>
                </c:pt>
                <c:pt idx="1">
                  <c:v>2023-10</c:v>
                </c:pt>
                <c:pt idx="2">
                  <c:v>2023-11</c:v>
                </c:pt>
                <c:pt idx="3">
                  <c:v>2023-12</c:v>
                </c:pt>
                <c:pt idx="4">
                  <c:v>2024-01</c:v>
                </c:pt>
                <c:pt idx="5">
                  <c:v>2024-02</c:v>
                </c:pt>
                <c:pt idx="6">
                  <c:v>2024-03</c:v>
                </c:pt>
                <c:pt idx="7">
                  <c:v>2024-04</c:v>
                </c:pt>
                <c:pt idx="8">
                  <c:v>2024-05</c:v>
                </c:pt>
                <c:pt idx="9">
                  <c:v>2024-06</c:v>
                </c:pt>
                <c:pt idx="10">
                  <c:v>2024-07</c:v>
                </c:pt>
                <c:pt idx="11">
                  <c:v>2024-08</c:v>
                </c:pt>
                <c:pt idx="12">
                  <c:v>2024-09</c:v>
                </c:pt>
                <c:pt idx="13">
                  <c:v>2024-10</c:v>
                </c:pt>
                <c:pt idx="14">
                  <c:v>2024-11</c:v>
                </c:pt>
                <c:pt idx="15">
                  <c:v>💰 Credit vs Debit by Account Type</c:v>
                </c:pt>
                <c:pt idx="16">
                  <c:v>Account</c:v>
                </c:pt>
                <c:pt idx="17">
                  <c:v>CUR</c:v>
                </c:pt>
                <c:pt idx="18">
                  <c:v>FD</c:v>
                </c:pt>
                <c:pt idx="19">
                  <c:v>LN</c:v>
                </c:pt>
                <c:pt idx="20">
                  <c:v>SAV</c:v>
                </c:pt>
                <c:pt idx="21">
                  <c:v>2025-06</c:v>
                </c:pt>
                <c:pt idx="22">
                  <c:v>2025-07</c:v>
                </c:pt>
                <c:pt idx="23">
                  <c:v>2025-08</c:v>
                </c:pt>
                <c:pt idx="24">
                  <c:v>2025-09</c:v>
                </c:pt>
              </c:strCache>
            </c:strRef>
          </c:cat>
          <c:val>
            <c:numRef>
              <c:f>Transaction_Analysis!$C$5:$C$29</c:f>
              <c:numCache>
                <c:formatCode>\₹#,##0</c:formatCode>
                <c:ptCount val="25"/>
                <c:pt idx="0">
                  <c:v>33968.1</c:v>
                </c:pt>
                <c:pt idx="1">
                  <c:v>55309.33</c:v>
                </c:pt>
                <c:pt idx="2">
                  <c:v>61476.15</c:v>
                </c:pt>
                <c:pt idx="3">
                  <c:v>28052.16</c:v>
                </c:pt>
                <c:pt idx="4">
                  <c:v>70496.69</c:v>
                </c:pt>
                <c:pt idx="5">
                  <c:v>56395.360000000001</c:v>
                </c:pt>
                <c:pt idx="6">
                  <c:v>22657.759999999998</c:v>
                </c:pt>
                <c:pt idx="7">
                  <c:v>111788.96</c:v>
                </c:pt>
                <c:pt idx="8">
                  <c:v>58374.59</c:v>
                </c:pt>
                <c:pt idx="9">
                  <c:v>75936.3</c:v>
                </c:pt>
                <c:pt idx="10">
                  <c:v>30484.92</c:v>
                </c:pt>
                <c:pt idx="11">
                  <c:v>30138.48</c:v>
                </c:pt>
                <c:pt idx="12">
                  <c:v>54263.81</c:v>
                </c:pt>
                <c:pt idx="13">
                  <c:v>60555.12</c:v>
                </c:pt>
                <c:pt idx="14">
                  <c:v>32126.94</c:v>
                </c:pt>
                <c:pt idx="16">
                  <c:v>0</c:v>
                </c:pt>
                <c:pt idx="17">
                  <c:v>215587.26</c:v>
                </c:pt>
                <c:pt idx="18">
                  <c:v>279921.61</c:v>
                </c:pt>
                <c:pt idx="19">
                  <c:v>381772.38</c:v>
                </c:pt>
                <c:pt idx="20">
                  <c:v>405208.26</c:v>
                </c:pt>
                <c:pt idx="21">
                  <c:v>57021.919999999998</c:v>
                </c:pt>
                <c:pt idx="22">
                  <c:v>73761.72</c:v>
                </c:pt>
                <c:pt idx="23">
                  <c:v>41620.83</c:v>
                </c:pt>
                <c:pt idx="24">
                  <c:v>4502.8599999999997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E0-4612-ABE5-C5BE3546D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795751"/>
        <c:axId val="10222604"/>
      </c:lineChart>
      <c:catAx>
        <c:axId val="417957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222604"/>
        <c:crosses val="autoZero"/>
        <c:auto val="1"/>
        <c:lblAlgn val="ctr"/>
        <c:lblOffset val="100"/>
        <c:noMultiLvlLbl val="0"/>
      </c:catAx>
      <c:valAx>
        <c:axId val="102226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7957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Loan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Loan_Performance!$B$8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FFB7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203-41A8-A08F-EE38EA9D233D}"/>
              </c:ext>
            </c:extLst>
          </c:dPt>
          <c:dPt>
            <c:idx val="1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203-41A8-A08F-EE38EA9D233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203-41A8-A08F-EE38EA9D233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203-41A8-A08F-EE38EA9D233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203-41A8-A08F-EE38EA9D233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203-41A8-A08F-EE38EA9D23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Loan_Performance!$A$9:$A$11</c:f>
              <c:strCache>
                <c:ptCount val="3"/>
                <c:pt idx="0">
                  <c:v>Active</c:v>
                </c:pt>
                <c:pt idx="1">
                  <c:v>Closed</c:v>
                </c:pt>
                <c:pt idx="2">
                  <c:v>Default</c:v>
                </c:pt>
              </c:strCache>
            </c:strRef>
          </c:cat>
          <c:val>
            <c:numRef>
              <c:f>Loan_Performance!$B$9:$B$11</c:f>
              <c:numCache>
                <c:formatCode>General</c:formatCode>
                <c:ptCount val="3"/>
                <c:pt idx="0">
                  <c:v>25</c:v>
                </c:pt>
                <c:pt idx="1">
                  <c:v>19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03-41A8-A08F-EE38EA9D2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251460</xdr:colOff>
      <xdr:row>2</xdr:row>
      <xdr:rowOff>76200</xdr:rowOff>
    </xdr:from>
    <xdr:to>
      <xdr:col>10</xdr:col>
      <xdr:colOff>662940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11</xdr:col>
      <xdr:colOff>840960</xdr:colOff>
      <xdr:row>24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9</xdr:col>
      <xdr:colOff>105480</xdr:colOff>
      <xdr:row>28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M32"/>
  <sheetViews>
    <sheetView showGridLines="0" zoomScaleNormal="100" workbookViewId="0">
      <selection activeCell="A21" sqref="A21:M21"/>
    </sheetView>
  </sheetViews>
  <sheetFormatPr defaultColWidth="8.6640625" defaultRowHeight="14.4" x14ac:dyDescent="0.3"/>
  <cols>
    <col min="1" max="1" width="100" customWidth="1"/>
    <col min="2" max="13" width="14" customWidth="1"/>
  </cols>
  <sheetData>
    <row r="1" spans="1:13" ht="42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3" spans="1:13" ht="25.5" customHeight="1" x14ac:dyDescent="0.3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9.5" customHeight="1" x14ac:dyDescent="0.3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19.5" customHeight="1" x14ac:dyDescent="0.3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9.5" customHeight="1" x14ac:dyDescent="0.3">
      <c r="A6" s="12" t="s">
        <v>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 ht="19.5" customHeight="1" x14ac:dyDescent="0.3">
      <c r="A7" s="11" t="s">
        <v>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9" spans="1:13" ht="25.5" customHeight="1" x14ac:dyDescent="0.3">
      <c r="A9" s="10" t="s">
        <v>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ht="19.5" customHeight="1" x14ac:dyDescent="0.3">
      <c r="A10" s="12" t="s">
        <v>7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ht="19.5" customHeight="1" x14ac:dyDescent="0.3">
      <c r="A11" s="11" t="s">
        <v>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3" ht="19.5" customHeight="1" x14ac:dyDescent="0.3">
      <c r="A12" s="12" t="s">
        <v>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ht="19.5" customHeight="1" x14ac:dyDescent="0.3">
      <c r="A13" s="11" t="s">
        <v>10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5" spans="1:13" ht="25.5" customHeight="1" x14ac:dyDescent="0.3">
      <c r="A15" s="10" t="s">
        <v>11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ht="19.5" customHeight="1" x14ac:dyDescent="0.3">
      <c r="A16" s="12" t="s">
        <v>12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19.5" customHeight="1" x14ac:dyDescent="0.3">
      <c r="A17" s="11" t="s">
        <v>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9.5" customHeight="1" x14ac:dyDescent="0.3">
      <c r="A18" s="12" t="s">
        <v>14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ht="19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1" spans="1:13" ht="25.5" customHeight="1" x14ac:dyDescent="0.3">
      <c r="A21" s="9" t="s">
        <v>16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ht="19.5" customHeight="1" x14ac:dyDescent="0.3">
      <c r="A22" s="12" t="s">
        <v>17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 ht="19.5" customHeight="1" x14ac:dyDescent="0.3">
      <c r="A23" s="11" t="s">
        <v>18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ht="19.5" customHeight="1" x14ac:dyDescent="0.3">
      <c r="A24" s="12" t="s">
        <v>19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 ht="19.5" customHeight="1" x14ac:dyDescent="0.3">
      <c r="A25" s="11" t="s">
        <v>20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7" spans="1:13" ht="25.5" customHeight="1" x14ac:dyDescent="0.3">
      <c r="A27" s="8" t="s">
        <v>21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ht="19.5" customHeight="1" x14ac:dyDescent="0.3">
      <c r="A28" s="12" t="s">
        <v>22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 ht="19.5" customHeight="1" x14ac:dyDescent="0.3">
      <c r="A29" s="11" t="s">
        <v>23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ht="19.5" customHeight="1" x14ac:dyDescent="0.3">
      <c r="A30" s="12" t="s">
        <v>24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3" ht="19.5" customHeight="1" x14ac:dyDescent="0.3">
      <c r="A31" s="11" t="s">
        <v>25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ht="19.5" customHeight="1" x14ac:dyDescent="0.3">
      <c r="A32" s="12" t="s">
        <v>26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</sheetData>
  <mergeCells count="27">
    <mergeCell ref="A31:M31"/>
    <mergeCell ref="A32:M32"/>
    <mergeCell ref="A25:M25"/>
    <mergeCell ref="A27:M27"/>
    <mergeCell ref="A28:M28"/>
    <mergeCell ref="A29:M29"/>
    <mergeCell ref="A30:M30"/>
    <mergeCell ref="A19:M19"/>
    <mergeCell ref="A21:M21"/>
    <mergeCell ref="A22:M22"/>
    <mergeCell ref="A23:M23"/>
    <mergeCell ref="A24:M24"/>
    <mergeCell ref="A13:M13"/>
    <mergeCell ref="A15:M15"/>
    <mergeCell ref="A16:M16"/>
    <mergeCell ref="A17:M17"/>
    <mergeCell ref="A18:M18"/>
    <mergeCell ref="A7:M7"/>
    <mergeCell ref="A9:M9"/>
    <mergeCell ref="A10:M10"/>
    <mergeCell ref="A11:M11"/>
    <mergeCell ref="A12:M12"/>
    <mergeCell ref="A1:M1"/>
    <mergeCell ref="A3:M3"/>
    <mergeCell ref="A4:M4"/>
    <mergeCell ref="A5:M5"/>
    <mergeCell ref="A6:M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700"/>
  </sheetPr>
  <dimension ref="A1:P20"/>
  <sheetViews>
    <sheetView showGridLines="0" topLeftCell="C1" zoomScaleNormal="100" workbookViewId="0">
      <selection activeCell="N14" sqref="N14"/>
    </sheetView>
  </sheetViews>
  <sheetFormatPr defaultColWidth="8.6640625" defaultRowHeight="14.4" x14ac:dyDescent="0.3"/>
  <cols>
    <col min="1" max="1" width="14" customWidth="1"/>
    <col min="2" max="2" width="16" customWidth="1"/>
    <col min="3" max="8" width="14" customWidth="1"/>
    <col min="9" max="9" width="16" customWidth="1"/>
    <col min="10" max="16" width="14" customWidth="1"/>
  </cols>
  <sheetData>
    <row r="1" spans="1:16" ht="39.75" customHeight="1" x14ac:dyDescent="0.3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3">
      <c r="A2" s="6" t="s">
        <v>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9.75" customHeight="1" x14ac:dyDescent="0.3"/>
    <row r="4" spans="1:16" ht="18" customHeight="1" x14ac:dyDescent="0.3">
      <c r="B4" s="5" t="s">
        <v>29</v>
      </c>
      <c r="C4" s="5"/>
      <c r="E4" s="4" t="s">
        <v>30</v>
      </c>
      <c r="F4" s="4"/>
      <c r="H4" s="3" t="s">
        <v>31</v>
      </c>
      <c r="I4" s="3"/>
      <c r="K4" s="2" t="s">
        <v>32</v>
      </c>
      <c r="L4" s="2"/>
      <c r="N4" s="1" t="s">
        <v>33</v>
      </c>
      <c r="O4" s="1"/>
    </row>
    <row r="5" spans="1:16" ht="30" customHeight="1" x14ac:dyDescent="0.3">
      <c r="B5" s="92">
        <v>250</v>
      </c>
      <c r="C5" s="92"/>
      <c r="E5" s="93">
        <v>1161613.8899999999</v>
      </c>
      <c r="F5" s="93"/>
      <c r="H5" s="94">
        <v>1282489.51</v>
      </c>
      <c r="I5" s="94"/>
      <c r="K5" s="95">
        <v>-120875.62</v>
      </c>
      <c r="L5" s="95"/>
      <c r="N5" s="96">
        <v>52646.450799999999</v>
      </c>
      <c r="O5" s="96"/>
    </row>
    <row r="6" spans="1:16" ht="12" customHeight="1" x14ac:dyDescent="0.3"/>
    <row r="7" spans="1:16" ht="18" customHeight="1" x14ac:dyDescent="0.3">
      <c r="B7" s="97" t="s">
        <v>34</v>
      </c>
      <c r="C7" s="97"/>
      <c r="E7" s="2" t="s">
        <v>35</v>
      </c>
      <c r="F7" s="2"/>
      <c r="H7" s="5" t="s">
        <v>36</v>
      </c>
      <c r="I7" s="5"/>
      <c r="K7" s="4" t="s">
        <v>37</v>
      </c>
      <c r="L7" s="4"/>
      <c r="N7" s="3" t="s">
        <v>38</v>
      </c>
      <c r="O7" s="3"/>
    </row>
    <row r="8" spans="1:16" ht="30" customHeight="1" x14ac:dyDescent="0.3">
      <c r="B8" s="98">
        <v>45.098039215686299</v>
      </c>
      <c r="C8" s="98"/>
      <c r="E8" s="99">
        <v>10</v>
      </c>
      <c r="F8" s="99"/>
      <c r="H8" s="92">
        <v>250</v>
      </c>
      <c r="I8" s="92"/>
      <c r="K8" s="100">
        <v>118</v>
      </c>
      <c r="L8" s="100"/>
      <c r="N8" s="101">
        <v>132</v>
      </c>
      <c r="O8" s="101"/>
    </row>
    <row r="9" spans="1:16" ht="12" customHeight="1" x14ac:dyDescent="0.3"/>
    <row r="10" spans="1:16" ht="15.6" x14ac:dyDescent="0.3">
      <c r="B10" s="10" t="s">
        <v>39</v>
      </c>
      <c r="C10" s="10"/>
      <c r="D10" s="10"/>
      <c r="E10" s="10"/>
      <c r="F10" s="10"/>
      <c r="G10" s="10"/>
      <c r="I10" s="10" t="s">
        <v>40</v>
      </c>
      <c r="J10" s="10"/>
      <c r="K10" s="10"/>
      <c r="L10" s="10"/>
      <c r="M10" s="10"/>
      <c r="N10" s="10"/>
    </row>
    <row r="11" spans="1:16" x14ac:dyDescent="0.3">
      <c r="B11" s="15" t="s">
        <v>41</v>
      </c>
      <c r="C11" s="15" t="s">
        <v>42</v>
      </c>
      <c r="D11" s="15" t="s">
        <v>43</v>
      </c>
      <c r="E11" s="15" t="s">
        <v>30</v>
      </c>
      <c r="F11" s="15" t="s">
        <v>31</v>
      </c>
      <c r="G11" s="15" t="s">
        <v>44</v>
      </c>
      <c r="I11" s="15" t="s">
        <v>45</v>
      </c>
      <c r="J11" s="15" t="s">
        <v>46</v>
      </c>
      <c r="K11" s="15" t="s">
        <v>47</v>
      </c>
      <c r="L11" s="15" t="s">
        <v>43</v>
      </c>
      <c r="M11" s="15" t="s">
        <v>48</v>
      </c>
      <c r="N11" s="15" t="s">
        <v>49</v>
      </c>
    </row>
    <row r="12" spans="1:16" ht="18" customHeight="1" x14ac:dyDescent="0.3">
      <c r="B12" s="16" t="s">
        <v>50</v>
      </c>
      <c r="C12" s="17">
        <v>55</v>
      </c>
      <c r="D12" s="18">
        <v>56796.884545454501</v>
      </c>
      <c r="E12" s="18">
        <v>251186.75</v>
      </c>
      <c r="F12" s="18">
        <v>265322.39</v>
      </c>
      <c r="G12" s="19">
        <f>C12/SUM($C$12:$C$14)</f>
        <v>0.22</v>
      </c>
      <c r="I12" s="16" t="s">
        <v>51</v>
      </c>
      <c r="J12" s="16" t="s">
        <v>52</v>
      </c>
      <c r="K12" s="17">
        <v>54</v>
      </c>
      <c r="L12" s="18">
        <v>54539.610925925903</v>
      </c>
      <c r="M12" s="18">
        <v>2945138.99</v>
      </c>
      <c r="N12" s="19">
        <f>M12/SUM($M$12:$M$15)</f>
        <v>0.2237673343784079</v>
      </c>
    </row>
    <row r="13" spans="1:16" ht="18" customHeight="1" x14ac:dyDescent="0.3">
      <c r="B13" s="20" t="s">
        <v>53</v>
      </c>
      <c r="C13" s="21">
        <v>102</v>
      </c>
      <c r="D13" s="22">
        <v>53927.899117647103</v>
      </c>
      <c r="E13" s="22">
        <v>431169.29</v>
      </c>
      <c r="F13" s="22">
        <v>586995.07999999996</v>
      </c>
      <c r="G13" s="23">
        <f>C13/SUM($C$12:$C$14)</f>
        <v>0.40799999999999997</v>
      </c>
      <c r="I13" s="20" t="s">
        <v>54</v>
      </c>
      <c r="J13" s="20" t="s">
        <v>55</v>
      </c>
      <c r="K13" s="21">
        <v>60</v>
      </c>
      <c r="L13" s="22">
        <v>51950.078666666697</v>
      </c>
      <c r="M13" s="22">
        <v>3117004.72</v>
      </c>
      <c r="N13" s="23">
        <f>M13/SUM($M$12:$M$15)</f>
        <v>0.23682544009215525</v>
      </c>
    </row>
    <row r="14" spans="1:16" ht="18" customHeight="1" x14ac:dyDescent="0.3">
      <c r="B14" s="16" t="s">
        <v>56</v>
      </c>
      <c r="C14" s="17">
        <v>93</v>
      </c>
      <c r="D14" s="18">
        <v>48786.433763440902</v>
      </c>
      <c r="E14" s="18">
        <v>479257.85</v>
      </c>
      <c r="F14" s="18">
        <v>430172.04</v>
      </c>
      <c r="G14" s="19">
        <f>C14/SUM($C$12:$C$14)</f>
        <v>0.372</v>
      </c>
      <c r="I14" s="16" t="s">
        <v>57</v>
      </c>
      <c r="J14" s="16" t="s">
        <v>58</v>
      </c>
      <c r="K14" s="17">
        <v>70</v>
      </c>
      <c r="L14" s="18">
        <v>51844.78</v>
      </c>
      <c r="M14" s="18">
        <v>3629134.6</v>
      </c>
      <c r="N14" s="19">
        <f>M14/SUM($M$12:$M$15)</f>
        <v>0.27573631611269034</v>
      </c>
    </row>
    <row r="15" spans="1:16" x14ac:dyDescent="0.3">
      <c r="I15" s="20" t="s">
        <v>59</v>
      </c>
      <c r="J15" s="20" t="s">
        <v>60</v>
      </c>
      <c r="K15" s="21">
        <v>66</v>
      </c>
      <c r="L15" s="22">
        <v>52580.824090909096</v>
      </c>
      <c r="M15" s="22">
        <v>3470334.39</v>
      </c>
      <c r="N15" s="23">
        <f>M15/SUM($M$12:$M$15)</f>
        <v>0.26367090941674648</v>
      </c>
    </row>
    <row r="16" spans="1:16" ht="15.6" x14ac:dyDescent="0.3">
      <c r="B16" s="10" t="s">
        <v>61</v>
      </c>
      <c r="C16" s="10"/>
      <c r="D16" s="10"/>
      <c r="E16" s="10"/>
      <c r="F16" s="10"/>
      <c r="G16" s="10"/>
      <c r="I16" s="10" t="s">
        <v>62</v>
      </c>
      <c r="J16" s="10"/>
      <c r="K16" s="10"/>
      <c r="L16" s="10"/>
      <c r="M16" s="10"/>
      <c r="N16" s="10"/>
    </row>
    <row r="17" spans="2:14" x14ac:dyDescent="0.3">
      <c r="B17" s="15" t="s">
        <v>63</v>
      </c>
      <c r="C17" s="15" t="s">
        <v>47</v>
      </c>
      <c r="D17" s="15" t="s">
        <v>64</v>
      </c>
      <c r="E17" s="15" t="s">
        <v>43</v>
      </c>
      <c r="F17" s="15" t="s">
        <v>65</v>
      </c>
      <c r="G17" s="15" t="s">
        <v>66</v>
      </c>
      <c r="I17" s="15" t="s">
        <v>67</v>
      </c>
      <c r="J17" s="15" t="s">
        <v>47</v>
      </c>
      <c r="K17" s="15" t="s">
        <v>64</v>
      </c>
      <c r="L17" s="15" t="s">
        <v>43</v>
      </c>
      <c r="M17" s="15" t="s">
        <v>30</v>
      </c>
      <c r="N17" s="15" t="s">
        <v>68</v>
      </c>
    </row>
    <row r="18" spans="2:14" x14ac:dyDescent="0.3">
      <c r="B18" s="24" t="s">
        <v>69</v>
      </c>
      <c r="C18" s="25">
        <v>25</v>
      </c>
      <c r="D18" s="26">
        <f>C18/SUM($C$18:$C$20)</f>
        <v>0.35714285714285715</v>
      </c>
      <c r="E18" s="27">
        <v>59151.374000000003</v>
      </c>
      <c r="F18" s="24" t="s">
        <v>70</v>
      </c>
      <c r="G18" s="24" t="s">
        <v>71</v>
      </c>
      <c r="I18" s="16" t="s">
        <v>72</v>
      </c>
      <c r="J18" s="17">
        <v>120</v>
      </c>
      <c r="K18" s="19">
        <f>J18/SUM($J$18:$J$19)</f>
        <v>0.48</v>
      </c>
      <c r="L18" s="18">
        <v>52124.5588333333</v>
      </c>
      <c r="M18" s="18">
        <v>583196.27</v>
      </c>
      <c r="N18" s="18">
        <v>9914.5427500000005</v>
      </c>
    </row>
    <row r="19" spans="2:14" x14ac:dyDescent="0.3">
      <c r="B19" s="28" t="s">
        <v>73</v>
      </c>
      <c r="C19" s="29">
        <v>19</v>
      </c>
      <c r="D19" s="30">
        <f>C19/SUM($C$18:$C$20)</f>
        <v>0.27142857142857141</v>
      </c>
      <c r="E19" s="31">
        <v>43144.424210526297</v>
      </c>
      <c r="F19" s="28" t="s">
        <v>74</v>
      </c>
      <c r="G19" s="28" t="s">
        <v>75</v>
      </c>
      <c r="I19" s="20" t="s">
        <v>76</v>
      </c>
      <c r="J19" s="21">
        <v>130</v>
      </c>
      <c r="K19" s="23">
        <f>J19/SUM($J$18:$J$19)</f>
        <v>0.52</v>
      </c>
      <c r="L19" s="22">
        <v>53128.197230769198</v>
      </c>
      <c r="M19" s="22">
        <v>578417.62</v>
      </c>
      <c r="N19" s="22">
        <v>9648.9097692307696</v>
      </c>
    </row>
    <row r="20" spans="2:14" x14ac:dyDescent="0.3">
      <c r="B20" s="32" t="s">
        <v>77</v>
      </c>
      <c r="C20" s="33">
        <v>26</v>
      </c>
      <c r="D20" s="34">
        <f>C20/SUM($C$18:$C$20)</f>
        <v>0.37142857142857144</v>
      </c>
      <c r="E20" s="35">
        <v>51177.161153846202</v>
      </c>
      <c r="F20" s="32" t="s">
        <v>78</v>
      </c>
      <c r="G20" s="32" t="s">
        <v>79</v>
      </c>
    </row>
  </sheetData>
  <mergeCells count="26">
    <mergeCell ref="B10:G10"/>
    <mergeCell ref="I10:N10"/>
    <mergeCell ref="B16:G16"/>
    <mergeCell ref="I16:N16"/>
    <mergeCell ref="B8:C8"/>
    <mergeCell ref="E8:F8"/>
    <mergeCell ref="H8:I8"/>
    <mergeCell ref="K8:L8"/>
    <mergeCell ref="N8:O8"/>
    <mergeCell ref="B7:C7"/>
    <mergeCell ref="E7:F7"/>
    <mergeCell ref="H7:I7"/>
    <mergeCell ref="K7:L7"/>
    <mergeCell ref="N7:O7"/>
    <mergeCell ref="B5:C5"/>
    <mergeCell ref="E5:F5"/>
    <mergeCell ref="H5:I5"/>
    <mergeCell ref="K5:L5"/>
    <mergeCell ref="N5:O5"/>
    <mergeCell ref="A1:P1"/>
    <mergeCell ref="A2:P2"/>
    <mergeCell ref="B4:C4"/>
    <mergeCell ref="E4:F4"/>
    <mergeCell ref="H4:I4"/>
    <mergeCell ref="K4:L4"/>
    <mergeCell ref="N4:O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R14"/>
  <sheetViews>
    <sheetView showGridLines="0" topLeftCell="A2" zoomScaleNormal="100" workbookViewId="0">
      <selection activeCell="L20" sqref="L20"/>
    </sheetView>
  </sheetViews>
  <sheetFormatPr defaultColWidth="8.6640625" defaultRowHeight="14.4" x14ac:dyDescent="0.3"/>
  <cols>
    <col min="1" max="19" width="14" customWidth="1"/>
  </cols>
  <sheetData>
    <row r="1" spans="1:18" ht="37.5" customHeight="1" x14ac:dyDescent="0.3">
      <c r="A1" s="14" t="s">
        <v>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8" ht="15.6" x14ac:dyDescent="0.3">
      <c r="A3" s="10" t="s">
        <v>81</v>
      </c>
      <c r="B3" s="10"/>
      <c r="C3" s="10"/>
      <c r="D3" s="10"/>
      <c r="E3" s="10"/>
      <c r="M3" s="10" t="s">
        <v>82</v>
      </c>
      <c r="N3" s="10"/>
      <c r="O3" s="10"/>
      <c r="P3" s="10"/>
      <c r="Q3" s="10"/>
      <c r="R3" s="10"/>
    </row>
    <row r="4" spans="1:18" x14ac:dyDescent="0.3">
      <c r="A4" s="15" t="s">
        <v>41</v>
      </c>
      <c r="B4" s="15" t="s">
        <v>72</v>
      </c>
      <c r="C4" s="15" t="s">
        <v>76</v>
      </c>
      <c r="D4" s="15" t="s">
        <v>83</v>
      </c>
      <c r="M4" s="36" t="s">
        <v>84</v>
      </c>
      <c r="N4" s="36" t="s">
        <v>85</v>
      </c>
      <c r="O4" s="36" t="s">
        <v>45</v>
      </c>
      <c r="P4" s="36" t="s">
        <v>86</v>
      </c>
      <c r="Q4" s="36" t="s">
        <v>63</v>
      </c>
    </row>
    <row r="5" spans="1:18" x14ac:dyDescent="0.3">
      <c r="A5" s="37" t="s">
        <v>50</v>
      </c>
      <c r="B5" s="37">
        <v>17</v>
      </c>
      <c r="C5" s="37">
        <v>38</v>
      </c>
      <c r="D5" s="37">
        <f>B5+C5</f>
        <v>55</v>
      </c>
      <c r="M5" s="38" t="s">
        <v>87</v>
      </c>
      <c r="N5" s="38" t="s">
        <v>88</v>
      </c>
      <c r="O5" s="38" t="s">
        <v>54</v>
      </c>
      <c r="P5" s="39">
        <v>1002.04</v>
      </c>
      <c r="Q5" s="38" t="s">
        <v>89</v>
      </c>
    </row>
    <row r="6" spans="1:18" x14ac:dyDescent="0.3">
      <c r="A6" s="40" t="s">
        <v>53</v>
      </c>
      <c r="B6" s="40">
        <v>49</v>
      </c>
      <c r="C6" s="40">
        <v>53</v>
      </c>
      <c r="D6" s="40">
        <f>B6+C6</f>
        <v>102</v>
      </c>
      <c r="M6" s="38" t="s">
        <v>90</v>
      </c>
      <c r="N6" s="38" t="s">
        <v>91</v>
      </c>
      <c r="O6" s="38" t="s">
        <v>54</v>
      </c>
      <c r="P6" s="39">
        <v>1201.4100000000001</v>
      </c>
      <c r="Q6" s="38" t="s">
        <v>89</v>
      </c>
    </row>
    <row r="7" spans="1:18" x14ac:dyDescent="0.3">
      <c r="A7" s="37" t="s">
        <v>56</v>
      </c>
      <c r="B7" s="37">
        <v>54</v>
      </c>
      <c r="C7" s="37">
        <v>39</v>
      </c>
      <c r="D7" s="37">
        <f>B7+C7</f>
        <v>93</v>
      </c>
      <c r="M7" s="38" t="s">
        <v>92</v>
      </c>
      <c r="N7" s="38" t="s">
        <v>93</v>
      </c>
      <c r="O7" s="38" t="s">
        <v>54</v>
      </c>
      <c r="P7" s="39">
        <v>1861.65</v>
      </c>
      <c r="Q7" s="38" t="s">
        <v>89</v>
      </c>
    </row>
    <row r="8" spans="1:18" x14ac:dyDescent="0.3">
      <c r="M8" s="38" t="s">
        <v>94</v>
      </c>
      <c r="N8" s="38" t="s">
        <v>95</v>
      </c>
      <c r="O8" s="38" t="s">
        <v>57</v>
      </c>
      <c r="P8" s="39">
        <v>2769.54</v>
      </c>
      <c r="Q8" s="38" t="s">
        <v>73</v>
      </c>
    </row>
    <row r="9" spans="1:18" ht="18" customHeight="1" x14ac:dyDescent="0.3">
      <c r="A9" s="5" t="s">
        <v>96</v>
      </c>
      <c r="B9" s="5"/>
      <c r="D9" s="3" t="s">
        <v>97</v>
      </c>
      <c r="E9" s="3"/>
      <c r="M9" s="38" t="s">
        <v>98</v>
      </c>
      <c r="N9" s="38" t="s">
        <v>99</v>
      </c>
      <c r="O9" s="38" t="s">
        <v>57</v>
      </c>
      <c r="P9" s="39">
        <v>3579.55</v>
      </c>
      <c r="Q9" s="38" t="s">
        <v>77</v>
      </c>
    </row>
    <row r="10" spans="1:18" ht="30" customHeight="1" x14ac:dyDescent="0.3">
      <c r="A10" s="92">
        <v>250</v>
      </c>
      <c r="B10" s="92"/>
      <c r="D10" s="101">
        <v>10</v>
      </c>
      <c r="E10" s="101"/>
      <c r="M10" s="38" t="s">
        <v>100</v>
      </c>
      <c r="N10" s="38" t="s">
        <v>101</v>
      </c>
      <c r="O10" s="38" t="s">
        <v>57</v>
      </c>
      <c r="P10" s="39">
        <v>3876.88</v>
      </c>
      <c r="Q10" s="38" t="s">
        <v>77</v>
      </c>
    </row>
    <row r="11" spans="1:18" x14ac:dyDescent="0.3">
      <c r="M11" s="38" t="s">
        <v>102</v>
      </c>
      <c r="N11" s="38" t="s">
        <v>103</v>
      </c>
      <c r="O11" s="38" t="s">
        <v>54</v>
      </c>
      <c r="P11" s="39">
        <v>1498.2</v>
      </c>
      <c r="Q11" s="38" t="s">
        <v>89</v>
      </c>
    </row>
    <row r="12" spans="1:18" x14ac:dyDescent="0.3">
      <c r="M12" s="38" t="s">
        <v>92</v>
      </c>
      <c r="N12" s="38" t="s">
        <v>93</v>
      </c>
      <c r="O12" s="38" t="s">
        <v>51</v>
      </c>
      <c r="P12" s="39">
        <v>3753.85</v>
      </c>
      <c r="Q12" s="38" t="s">
        <v>89</v>
      </c>
    </row>
    <row r="13" spans="1:18" x14ac:dyDescent="0.3">
      <c r="M13" s="38" t="s">
        <v>104</v>
      </c>
      <c r="N13" s="38" t="s">
        <v>105</v>
      </c>
      <c r="O13" s="38" t="s">
        <v>59</v>
      </c>
      <c r="P13" s="39">
        <v>1401.91</v>
      </c>
      <c r="Q13" s="38" t="s">
        <v>89</v>
      </c>
    </row>
    <row r="14" spans="1:18" x14ac:dyDescent="0.3">
      <c r="M14" s="38" t="s">
        <v>106</v>
      </c>
      <c r="N14" s="38" t="s">
        <v>107</v>
      </c>
      <c r="O14" s="38" t="s">
        <v>57</v>
      </c>
      <c r="P14" s="39">
        <v>1090.22</v>
      </c>
      <c r="Q14" s="38" t="s">
        <v>73</v>
      </c>
    </row>
  </sheetData>
  <mergeCells count="7">
    <mergeCell ref="A10:B10"/>
    <mergeCell ref="D10:E10"/>
    <mergeCell ref="A1:L1"/>
    <mergeCell ref="A3:E3"/>
    <mergeCell ref="M3:R3"/>
    <mergeCell ref="A9:B9"/>
    <mergeCell ref="D9:E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S29"/>
  <sheetViews>
    <sheetView showGridLines="0" zoomScaleNormal="100" workbookViewId="0">
      <selection sqref="A1:P1"/>
    </sheetView>
  </sheetViews>
  <sheetFormatPr defaultColWidth="8.6640625" defaultRowHeight="14.4" x14ac:dyDescent="0.3"/>
  <cols>
    <col min="1" max="1" width="12" customWidth="1"/>
    <col min="2" max="19" width="16" customWidth="1"/>
  </cols>
  <sheetData>
    <row r="1" spans="1:19" ht="37.5" customHeight="1" x14ac:dyDescent="0.3">
      <c r="A1" s="14" t="s">
        <v>108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3" spans="1:19" ht="15.6" x14ac:dyDescent="0.3">
      <c r="A3" s="10" t="s">
        <v>109</v>
      </c>
      <c r="B3" s="10"/>
      <c r="C3" s="10"/>
      <c r="D3" s="10"/>
      <c r="E3" s="10"/>
      <c r="N3" s="10" t="s">
        <v>110</v>
      </c>
      <c r="O3" s="10"/>
      <c r="P3" s="10"/>
      <c r="Q3" s="10"/>
      <c r="R3" s="10"/>
      <c r="S3" s="10"/>
    </row>
    <row r="4" spans="1:19" x14ac:dyDescent="0.3">
      <c r="A4" s="15" t="s">
        <v>111</v>
      </c>
      <c r="B4" s="15" t="s">
        <v>112</v>
      </c>
      <c r="C4" s="15" t="s">
        <v>113</v>
      </c>
      <c r="D4" s="15" t="s">
        <v>114</v>
      </c>
      <c r="E4" s="15" t="s">
        <v>115</v>
      </c>
      <c r="N4" s="15" t="s">
        <v>116</v>
      </c>
      <c r="O4" s="15" t="s">
        <v>117</v>
      </c>
      <c r="P4" s="15" t="s">
        <v>118</v>
      </c>
      <c r="Q4" s="15" t="s">
        <v>119</v>
      </c>
    </row>
    <row r="5" spans="1:19" x14ac:dyDescent="0.3">
      <c r="A5" s="16" t="s">
        <v>120</v>
      </c>
      <c r="B5" s="18">
        <v>19739</v>
      </c>
      <c r="C5" s="18">
        <v>33968.1</v>
      </c>
      <c r="D5" s="41">
        <v>-14229.1</v>
      </c>
      <c r="E5" s="17">
        <v>4</v>
      </c>
      <c r="N5" s="42" t="s">
        <v>121</v>
      </c>
      <c r="O5" s="43">
        <v>35</v>
      </c>
      <c r="P5" s="44">
        <v>366308.1</v>
      </c>
      <c r="Q5" s="44">
        <v>10465.945714285701</v>
      </c>
    </row>
    <row r="6" spans="1:19" x14ac:dyDescent="0.3">
      <c r="A6" s="42" t="s">
        <v>122</v>
      </c>
      <c r="B6" s="44">
        <v>88881.57</v>
      </c>
      <c r="C6" s="44">
        <v>55309.33</v>
      </c>
      <c r="D6" s="45">
        <v>33572.239999999998</v>
      </c>
      <c r="E6" s="43">
        <v>13</v>
      </c>
      <c r="N6" s="42" t="s">
        <v>123</v>
      </c>
      <c r="O6" s="43">
        <v>38</v>
      </c>
      <c r="P6" s="44">
        <v>364851.18</v>
      </c>
      <c r="Q6" s="44">
        <v>9601.3468421052603</v>
      </c>
    </row>
    <row r="7" spans="1:19" x14ac:dyDescent="0.3">
      <c r="A7" s="16" t="s">
        <v>124</v>
      </c>
      <c r="B7" s="18">
        <v>51609.54</v>
      </c>
      <c r="C7" s="18">
        <v>61476.15</v>
      </c>
      <c r="D7" s="41">
        <v>-9866.6099999999897</v>
      </c>
      <c r="E7" s="17">
        <v>9</v>
      </c>
      <c r="N7" s="42" t="s">
        <v>125</v>
      </c>
      <c r="O7" s="43">
        <v>40</v>
      </c>
      <c r="P7" s="44">
        <v>359645.94</v>
      </c>
      <c r="Q7" s="44">
        <v>8991.1484999999993</v>
      </c>
    </row>
    <row r="8" spans="1:19" x14ac:dyDescent="0.3">
      <c r="A8" s="42" t="s">
        <v>126</v>
      </c>
      <c r="B8" s="44">
        <v>56064.9</v>
      </c>
      <c r="C8" s="44">
        <v>28052.16</v>
      </c>
      <c r="D8" s="45">
        <v>28012.74</v>
      </c>
      <c r="E8" s="43">
        <v>11</v>
      </c>
      <c r="N8" s="42" t="s">
        <v>127</v>
      </c>
      <c r="O8" s="43">
        <v>28</v>
      </c>
      <c r="P8" s="44">
        <v>311590.84999999998</v>
      </c>
      <c r="Q8" s="44">
        <v>11128.2446428571</v>
      </c>
    </row>
    <row r="9" spans="1:19" x14ac:dyDescent="0.3">
      <c r="A9" s="16" t="s">
        <v>128</v>
      </c>
      <c r="B9" s="18">
        <v>43272.14</v>
      </c>
      <c r="C9" s="18">
        <v>70496.69</v>
      </c>
      <c r="D9" s="41">
        <v>-27224.55</v>
      </c>
      <c r="E9" s="17">
        <v>14</v>
      </c>
      <c r="N9" s="42" t="s">
        <v>129</v>
      </c>
      <c r="O9" s="43">
        <v>29</v>
      </c>
      <c r="P9" s="44">
        <v>290064.67</v>
      </c>
      <c r="Q9" s="44">
        <v>10002.23</v>
      </c>
    </row>
    <row r="10" spans="1:19" x14ac:dyDescent="0.3">
      <c r="A10" s="42" t="s">
        <v>130</v>
      </c>
      <c r="B10" s="44">
        <v>50108.480000000003</v>
      </c>
      <c r="C10" s="44">
        <v>56395.360000000001</v>
      </c>
      <c r="D10" s="46">
        <v>-6286.8799999999901</v>
      </c>
      <c r="E10" s="43">
        <v>10</v>
      </c>
      <c r="N10" s="42" t="s">
        <v>131</v>
      </c>
      <c r="O10" s="43">
        <v>34</v>
      </c>
      <c r="P10" s="44">
        <v>330018.74</v>
      </c>
      <c r="Q10" s="44">
        <v>9706.43352941177</v>
      </c>
    </row>
    <row r="11" spans="1:19" x14ac:dyDescent="0.3">
      <c r="A11" s="16" t="s">
        <v>132</v>
      </c>
      <c r="B11" s="18">
        <v>33111.410000000003</v>
      </c>
      <c r="C11" s="18">
        <v>22657.759999999998</v>
      </c>
      <c r="D11" s="47">
        <v>10453.65</v>
      </c>
      <c r="E11" s="17">
        <v>7</v>
      </c>
      <c r="N11" s="42" t="s">
        <v>133</v>
      </c>
      <c r="O11" s="43">
        <v>46</v>
      </c>
      <c r="P11" s="44">
        <v>421623.92</v>
      </c>
      <c r="Q11" s="44">
        <v>9165.7373913043502</v>
      </c>
    </row>
    <row r="12" spans="1:19" x14ac:dyDescent="0.3">
      <c r="A12" s="42" t="s">
        <v>134</v>
      </c>
      <c r="B12" s="44">
        <v>52787.12</v>
      </c>
      <c r="C12" s="44">
        <v>111788.96</v>
      </c>
      <c r="D12" s="46">
        <v>-59001.84</v>
      </c>
      <c r="E12" s="43">
        <v>16</v>
      </c>
    </row>
    <row r="13" spans="1:19" x14ac:dyDescent="0.3">
      <c r="A13" s="16" t="s">
        <v>135</v>
      </c>
      <c r="B13" s="18">
        <v>106305.43</v>
      </c>
      <c r="C13" s="18">
        <v>58374.59</v>
      </c>
      <c r="D13" s="47">
        <v>47930.84</v>
      </c>
      <c r="E13" s="17">
        <v>11</v>
      </c>
    </row>
    <row r="14" spans="1:19" x14ac:dyDescent="0.3">
      <c r="A14" s="42" t="s">
        <v>136</v>
      </c>
      <c r="B14" s="44">
        <v>37091.58</v>
      </c>
      <c r="C14" s="44">
        <v>75936.3</v>
      </c>
      <c r="D14" s="46">
        <v>-38844.720000000001</v>
      </c>
      <c r="E14" s="43">
        <v>13</v>
      </c>
    </row>
    <row r="15" spans="1:19" x14ac:dyDescent="0.3">
      <c r="A15" s="16" t="s">
        <v>137</v>
      </c>
      <c r="B15" s="18">
        <v>68091.13</v>
      </c>
      <c r="C15" s="18">
        <v>30484.92</v>
      </c>
      <c r="D15" s="47">
        <v>37606.21</v>
      </c>
      <c r="E15" s="17">
        <v>11</v>
      </c>
    </row>
    <row r="16" spans="1:19" x14ac:dyDescent="0.3">
      <c r="A16" s="42" t="s">
        <v>138</v>
      </c>
      <c r="B16" s="44">
        <v>38722.480000000003</v>
      </c>
      <c r="C16" s="44">
        <v>30138.48</v>
      </c>
      <c r="D16" s="45">
        <v>8584</v>
      </c>
      <c r="E16" s="43">
        <v>9</v>
      </c>
    </row>
    <row r="17" spans="1:6" x14ac:dyDescent="0.3">
      <c r="A17" s="16" t="s">
        <v>139</v>
      </c>
      <c r="B17" s="18">
        <v>54978.79</v>
      </c>
      <c r="C17" s="18">
        <v>54263.81</v>
      </c>
      <c r="D17" s="47">
        <v>714.98000000001105</v>
      </c>
      <c r="E17" s="17">
        <v>13</v>
      </c>
    </row>
    <row r="18" spans="1:6" x14ac:dyDescent="0.3">
      <c r="A18" s="42" t="s">
        <v>140</v>
      </c>
      <c r="B18" s="44">
        <v>69329.45</v>
      </c>
      <c r="C18" s="44">
        <v>60555.12</v>
      </c>
      <c r="D18" s="45">
        <v>8774.3299999999908</v>
      </c>
      <c r="E18" s="43">
        <v>14</v>
      </c>
    </row>
    <row r="19" spans="1:6" x14ac:dyDescent="0.3">
      <c r="A19" s="16" t="s">
        <v>141</v>
      </c>
      <c r="B19" s="18">
        <v>0</v>
      </c>
      <c r="C19" s="18">
        <v>32126.94</v>
      </c>
      <c r="D19" s="41">
        <v>-32126.94</v>
      </c>
      <c r="E19" s="17">
        <v>4</v>
      </c>
    </row>
    <row r="20" spans="1:6" ht="15.6" x14ac:dyDescent="0.3">
      <c r="A20" s="102" t="s">
        <v>142</v>
      </c>
      <c r="B20" s="102"/>
      <c r="C20" s="102"/>
      <c r="D20" s="102"/>
      <c r="E20" s="102"/>
      <c r="F20" s="102"/>
    </row>
    <row r="21" spans="1:6" x14ac:dyDescent="0.3">
      <c r="A21" s="48" t="s">
        <v>143</v>
      </c>
      <c r="B21" s="49" t="s">
        <v>144</v>
      </c>
      <c r="C21" s="49" t="s">
        <v>145</v>
      </c>
      <c r="D21" s="49" t="s">
        <v>114</v>
      </c>
      <c r="E21" s="50" t="s">
        <v>117</v>
      </c>
    </row>
    <row r="22" spans="1:6" x14ac:dyDescent="0.3">
      <c r="A22" s="16" t="s">
        <v>52</v>
      </c>
      <c r="B22" s="18">
        <v>253251.98</v>
      </c>
      <c r="C22" s="18">
        <v>215587.26</v>
      </c>
      <c r="D22" s="18">
        <v>37664.720000000001</v>
      </c>
      <c r="E22" s="17">
        <v>54</v>
      </c>
    </row>
    <row r="23" spans="1:6" x14ac:dyDescent="0.3">
      <c r="A23" s="20" t="s">
        <v>55</v>
      </c>
      <c r="B23" s="22">
        <v>267674.34000000003</v>
      </c>
      <c r="C23" s="22">
        <v>279921.61</v>
      </c>
      <c r="D23" s="22">
        <v>-12247.27</v>
      </c>
      <c r="E23" s="21">
        <v>60</v>
      </c>
    </row>
    <row r="24" spans="1:6" x14ac:dyDescent="0.3">
      <c r="A24" s="16" t="s">
        <v>58</v>
      </c>
      <c r="B24" s="18">
        <v>392919.08</v>
      </c>
      <c r="C24" s="18">
        <v>381772.38</v>
      </c>
      <c r="D24" s="18">
        <v>11146.7</v>
      </c>
      <c r="E24" s="17">
        <v>70</v>
      </c>
    </row>
    <row r="25" spans="1:6" x14ac:dyDescent="0.3">
      <c r="A25" s="20" t="s">
        <v>60</v>
      </c>
      <c r="B25" s="22">
        <v>247768.49</v>
      </c>
      <c r="C25" s="22">
        <v>405208.26</v>
      </c>
      <c r="D25" s="22">
        <v>-157439.76999999999</v>
      </c>
      <c r="E25" s="21">
        <v>66</v>
      </c>
    </row>
    <row r="26" spans="1:6" x14ac:dyDescent="0.3">
      <c r="A26" s="42" t="s">
        <v>146</v>
      </c>
      <c r="B26" s="44">
        <v>17424.71</v>
      </c>
      <c r="C26" s="44">
        <v>57021.919999999998</v>
      </c>
      <c r="D26" s="46">
        <v>-39597.21</v>
      </c>
      <c r="E26" s="43">
        <v>9</v>
      </c>
    </row>
    <row r="27" spans="1:6" x14ac:dyDescent="0.3">
      <c r="A27" s="16" t="s">
        <v>147</v>
      </c>
      <c r="B27" s="18">
        <v>52225.55</v>
      </c>
      <c r="C27" s="18">
        <v>73761.72</v>
      </c>
      <c r="D27" s="41">
        <v>-21536.17</v>
      </c>
      <c r="E27" s="17">
        <v>13</v>
      </c>
    </row>
    <row r="28" spans="1:6" x14ac:dyDescent="0.3">
      <c r="A28" s="42" t="s">
        <v>148</v>
      </c>
      <c r="B28" s="44">
        <v>61120.87</v>
      </c>
      <c r="C28" s="44">
        <v>41620.83</v>
      </c>
      <c r="D28" s="45">
        <v>19500.04</v>
      </c>
      <c r="E28" s="43">
        <v>8</v>
      </c>
    </row>
    <row r="29" spans="1:6" x14ac:dyDescent="0.3">
      <c r="A29" s="16" t="s">
        <v>149</v>
      </c>
      <c r="B29" s="18">
        <v>570.27</v>
      </c>
      <c r="C29" s="18">
        <v>4502.8599999999997</v>
      </c>
      <c r="D29" s="41">
        <v>-3932.59</v>
      </c>
      <c r="E29" s="17">
        <v>3</v>
      </c>
    </row>
  </sheetData>
  <mergeCells count="4">
    <mergeCell ref="A1:P1"/>
    <mergeCell ref="A3:E3"/>
    <mergeCell ref="N3:S3"/>
    <mergeCell ref="A20:F20"/>
  </mergeCells>
  <conditionalFormatting sqref="O5:O11">
    <cfRule type="colorScale" priority="2">
      <colorScale>
        <cfvo type="min"/>
        <cfvo type="max"/>
        <color rgb="FFFFFFFF"/>
        <color rgb="FF2E75B6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R28"/>
  <sheetViews>
    <sheetView showGridLines="0" zoomScaleNormal="100" workbookViewId="0">
      <selection sqref="A1:L1"/>
    </sheetView>
  </sheetViews>
  <sheetFormatPr defaultColWidth="8.6640625" defaultRowHeight="14.4" x14ac:dyDescent="0.3"/>
  <cols>
    <col min="1" max="19" width="14" customWidth="1"/>
  </cols>
  <sheetData>
    <row r="1" spans="1:18" ht="37.5" customHeight="1" x14ac:dyDescent="0.3">
      <c r="A1" s="14" t="s">
        <v>150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8" ht="18" customHeight="1" x14ac:dyDescent="0.3">
      <c r="A3" s="97" t="s">
        <v>34</v>
      </c>
      <c r="B3" s="97"/>
      <c r="D3" s="2" t="s">
        <v>151</v>
      </c>
      <c r="E3" s="2"/>
      <c r="G3" s="4" t="s">
        <v>152</v>
      </c>
      <c r="H3" s="4"/>
      <c r="J3" s="3" t="s">
        <v>153</v>
      </c>
      <c r="K3" s="3"/>
    </row>
    <row r="4" spans="1:18" ht="30" customHeight="1" x14ac:dyDescent="0.3">
      <c r="A4" s="98">
        <v>45.098039215686299</v>
      </c>
      <c r="B4" s="98"/>
      <c r="D4" s="103">
        <v>25</v>
      </c>
      <c r="E4" s="103"/>
      <c r="G4" s="100">
        <v>19</v>
      </c>
      <c r="H4" s="100"/>
      <c r="J4" s="101">
        <v>26</v>
      </c>
      <c r="K4" s="101"/>
    </row>
    <row r="7" spans="1:18" ht="15.6" x14ac:dyDescent="0.3">
      <c r="A7" s="10" t="s">
        <v>154</v>
      </c>
      <c r="B7" s="10"/>
      <c r="C7" s="10"/>
      <c r="D7" s="10"/>
      <c r="E7" s="10"/>
      <c r="M7" s="10" t="s">
        <v>155</v>
      </c>
      <c r="N7" s="10"/>
      <c r="O7" s="10"/>
      <c r="P7" s="10"/>
      <c r="Q7" s="10"/>
      <c r="R7" s="10"/>
    </row>
    <row r="8" spans="1:18" x14ac:dyDescent="0.3">
      <c r="A8" s="15" t="s">
        <v>156</v>
      </c>
      <c r="B8" s="15" t="s">
        <v>47</v>
      </c>
      <c r="C8" s="15" t="s">
        <v>64</v>
      </c>
      <c r="M8" s="15" t="s">
        <v>41</v>
      </c>
      <c r="N8" s="15" t="s">
        <v>69</v>
      </c>
      <c r="O8" s="15" t="s">
        <v>73</v>
      </c>
      <c r="P8" s="15" t="s">
        <v>77</v>
      </c>
      <c r="Q8" s="15" t="s">
        <v>157</v>
      </c>
    </row>
    <row r="9" spans="1:18" x14ac:dyDescent="0.3">
      <c r="A9" s="51" t="s">
        <v>69</v>
      </c>
      <c r="B9" s="51">
        <v>25</v>
      </c>
      <c r="C9" s="52">
        <f>B9/SUM($B$9:$B$11)</f>
        <v>0.35714285714285715</v>
      </c>
      <c r="M9" s="16" t="s">
        <v>50</v>
      </c>
      <c r="N9" s="17">
        <v>5</v>
      </c>
      <c r="O9" s="17">
        <v>2</v>
      </c>
      <c r="P9" s="17">
        <v>5</v>
      </c>
      <c r="Q9" s="19">
        <v>0.41666666666666702</v>
      </c>
    </row>
    <row r="10" spans="1:18" x14ac:dyDescent="0.3">
      <c r="A10" s="53" t="s">
        <v>73</v>
      </c>
      <c r="B10" s="53">
        <v>19</v>
      </c>
      <c r="C10" s="54">
        <f>B10/SUM($B$9:$B$11)</f>
        <v>0.27142857142857141</v>
      </c>
      <c r="M10" s="20" t="s">
        <v>53</v>
      </c>
      <c r="N10" s="21">
        <v>9</v>
      </c>
      <c r="O10" s="21">
        <v>10</v>
      </c>
      <c r="P10" s="21">
        <v>15</v>
      </c>
      <c r="Q10" s="23">
        <v>0.441176470588235</v>
      </c>
    </row>
    <row r="11" spans="1:18" x14ac:dyDescent="0.3">
      <c r="A11" s="55" t="s">
        <v>77</v>
      </c>
      <c r="B11" s="55">
        <v>26</v>
      </c>
      <c r="C11" s="56">
        <f>B11/SUM($B$9:$B$11)</f>
        <v>0.37142857142857144</v>
      </c>
      <c r="M11" s="16" t="s">
        <v>56</v>
      </c>
      <c r="N11" s="17">
        <v>11</v>
      </c>
      <c r="O11" s="17">
        <v>7</v>
      </c>
      <c r="P11" s="17">
        <v>6</v>
      </c>
      <c r="Q11" s="19">
        <v>0.25</v>
      </c>
    </row>
    <row r="20" spans="1:8" ht="15.6" x14ac:dyDescent="0.3">
      <c r="A20" s="10" t="s">
        <v>158</v>
      </c>
      <c r="B20" s="10"/>
      <c r="C20" s="10"/>
      <c r="D20" s="10"/>
      <c r="E20" s="10"/>
      <c r="F20" s="10"/>
      <c r="G20" s="10"/>
      <c r="H20" s="10"/>
    </row>
    <row r="21" spans="1:8" x14ac:dyDescent="0.3">
      <c r="A21" s="15" t="s">
        <v>159</v>
      </c>
      <c r="B21" s="15" t="s">
        <v>160</v>
      </c>
      <c r="C21" s="15" t="s">
        <v>161</v>
      </c>
      <c r="D21" s="15" t="s">
        <v>162</v>
      </c>
      <c r="E21" s="15" t="s">
        <v>163</v>
      </c>
    </row>
    <row r="22" spans="1:8" x14ac:dyDescent="0.3">
      <c r="A22" s="57">
        <v>0.06</v>
      </c>
      <c r="B22" s="18">
        <v>3629134.6</v>
      </c>
      <c r="C22" s="18">
        <v>217748.076</v>
      </c>
      <c r="D22" s="18">
        <v>18145.672999999999</v>
      </c>
      <c r="E22" s="58">
        <v>-0.4</v>
      </c>
    </row>
    <row r="23" spans="1:8" x14ac:dyDescent="0.3">
      <c r="A23" s="59">
        <v>0.08</v>
      </c>
      <c r="B23" s="22">
        <v>3629134.6</v>
      </c>
      <c r="C23" s="22">
        <v>290330.76799999998</v>
      </c>
      <c r="D23" s="22">
        <v>24194.230666666699</v>
      </c>
      <c r="E23" s="60">
        <v>-0.2</v>
      </c>
    </row>
    <row r="24" spans="1:8" x14ac:dyDescent="0.3">
      <c r="A24" s="61">
        <v>0.1</v>
      </c>
      <c r="B24" s="62">
        <v>3629134.6</v>
      </c>
      <c r="C24" s="62">
        <v>362913.46</v>
      </c>
      <c r="D24" s="62">
        <v>30242.788333333301</v>
      </c>
      <c r="E24" s="63">
        <v>0</v>
      </c>
    </row>
    <row r="25" spans="1:8" x14ac:dyDescent="0.3">
      <c r="A25" s="59">
        <v>0.12</v>
      </c>
      <c r="B25" s="22">
        <v>3629134.6</v>
      </c>
      <c r="C25" s="22">
        <v>435496.152</v>
      </c>
      <c r="D25" s="22">
        <v>36291.345999999998</v>
      </c>
      <c r="E25" s="64">
        <v>0.2</v>
      </c>
    </row>
    <row r="26" spans="1:8" x14ac:dyDescent="0.3">
      <c r="A26" s="57">
        <v>0.15</v>
      </c>
      <c r="B26" s="18">
        <v>3629134.6</v>
      </c>
      <c r="C26" s="18">
        <v>544370.18999999994</v>
      </c>
      <c r="D26" s="18">
        <v>45364.182500000003</v>
      </c>
      <c r="E26" s="65">
        <v>0.5</v>
      </c>
    </row>
    <row r="27" spans="1:8" x14ac:dyDescent="0.3">
      <c r="A27" s="59">
        <v>0.18</v>
      </c>
      <c r="B27" s="22">
        <v>3629134.6</v>
      </c>
      <c r="C27" s="22">
        <v>653244.228</v>
      </c>
      <c r="D27" s="22">
        <v>54437.019</v>
      </c>
      <c r="E27" s="64">
        <v>0.8</v>
      </c>
    </row>
    <row r="28" spans="1:8" x14ac:dyDescent="0.3">
      <c r="A28" s="57">
        <v>0.2</v>
      </c>
      <c r="B28" s="18">
        <v>3629134.6</v>
      </c>
      <c r="C28" s="18">
        <v>725826.92</v>
      </c>
      <c r="D28" s="18">
        <v>60485.576666666697</v>
      </c>
      <c r="E28" s="65">
        <v>1</v>
      </c>
    </row>
  </sheetData>
  <mergeCells count="12">
    <mergeCell ref="M7:R7"/>
    <mergeCell ref="A20:H20"/>
    <mergeCell ref="A4:B4"/>
    <mergeCell ref="D4:E4"/>
    <mergeCell ref="G4:H4"/>
    <mergeCell ref="J4:K4"/>
    <mergeCell ref="A7:E7"/>
    <mergeCell ref="A1:L1"/>
    <mergeCell ref="A3:B3"/>
    <mergeCell ref="D3:E3"/>
    <mergeCell ref="G3:H3"/>
    <mergeCell ref="J3:K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B700"/>
  </sheetPr>
  <dimension ref="A1:L28"/>
  <sheetViews>
    <sheetView showGridLines="0" zoomScaleNormal="100" workbookViewId="0">
      <selection sqref="A1:J1"/>
    </sheetView>
  </sheetViews>
  <sheetFormatPr defaultColWidth="8.6640625" defaultRowHeight="14.4" x14ac:dyDescent="0.3"/>
  <cols>
    <col min="1" max="1" width="10" customWidth="1"/>
    <col min="2" max="2" width="12" customWidth="1"/>
    <col min="3" max="3" width="20" customWidth="1"/>
    <col min="4" max="4" width="14" customWidth="1"/>
    <col min="5" max="6" width="10" customWidth="1"/>
    <col min="7" max="7" width="18" customWidth="1"/>
    <col min="8" max="8" width="12" customWidth="1"/>
    <col min="9" max="9" width="16" customWidth="1"/>
    <col min="10" max="10" width="14" customWidth="1"/>
  </cols>
  <sheetData>
    <row r="1" spans="1:10" ht="37.5" customHeight="1" x14ac:dyDescent="0.3">
      <c r="A1" s="14" t="s">
        <v>164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15.6" x14ac:dyDescent="0.3">
      <c r="A3" s="10" t="s">
        <v>165</v>
      </c>
      <c r="B3" s="10"/>
      <c r="C3" s="10"/>
      <c r="D3" s="10"/>
      <c r="E3" s="10"/>
      <c r="F3" s="10"/>
      <c r="G3" s="10"/>
      <c r="H3" s="10"/>
      <c r="I3" s="10"/>
    </row>
    <row r="4" spans="1:10" ht="24" customHeight="1" x14ac:dyDescent="0.3">
      <c r="A4" s="15" t="s">
        <v>166</v>
      </c>
      <c r="B4" s="15" t="s">
        <v>84</v>
      </c>
      <c r="C4" s="15" t="s">
        <v>167</v>
      </c>
      <c r="D4" s="15" t="s">
        <v>45</v>
      </c>
      <c r="E4" s="15" t="s">
        <v>67</v>
      </c>
      <c r="F4" s="15" t="s">
        <v>41</v>
      </c>
      <c r="G4" s="15" t="s">
        <v>168</v>
      </c>
      <c r="H4" s="15" t="s">
        <v>117</v>
      </c>
      <c r="I4" s="15" t="s">
        <v>169</v>
      </c>
      <c r="J4" s="15" t="s">
        <v>170</v>
      </c>
    </row>
    <row r="5" spans="1:10" ht="19.5" customHeight="1" x14ac:dyDescent="0.3">
      <c r="A5" s="66" t="s">
        <v>171</v>
      </c>
      <c r="B5" s="66" t="s">
        <v>172</v>
      </c>
      <c r="C5" s="66" t="s">
        <v>173</v>
      </c>
      <c r="D5" s="66" t="s">
        <v>59</v>
      </c>
      <c r="E5" s="66" t="s">
        <v>76</v>
      </c>
      <c r="F5" s="66" t="s">
        <v>56</v>
      </c>
      <c r="G5" s="67">
        <v>43762.879999999997</v>
      </c>
      <c r="H5" s="68">
        <v>3</v>
      </c>
      <c r="I5" s="67">
        <v>42013.61</v>
      </c>
      <c r="J5" s="67">
        <v>-19185.18</v>
      </c>
    </row>
    <row r="6" spans="1:10" ht="19.5" customHeight="1" x14ac:dyDescent="0.3">
      <c r="A6" s="69" t="s">
        <v>174</v>
      </c>
      <c r="B6" s="69" t="s">
        <v>175</v>
      </c>
      <c r="C6" s="69" t="s">
        <v>176</v>
      </c>
      <c r="D6" s="69" t="s">
        <v>59</v>
      </c>
      <c r="E6" s="69" t="s">
        <v>72</v>
      </c>
      <c r="F6" s="69" t="s">
        <v>56</v>
      </c>
      <c r="G6" s="70">
        <v>38921.31</v>
      </c>
      <c r="H6" s="71">
        <v>3</v>
      </c>
      <c r="I6" s="70">
        <v>54242.93</v>
      </c>
      <c r="J6" s="70">
        <v>33162.550000000003</v>
      </c>
    </row>
    <row r="7" spans="1:10" ht="19.5" customHeight="1" x14ac:dyDescent="0.3">
      <c r="A7" s="72" t="s">
        <v>177</v>
      </c>
      <c r="B7" s="72" t="s">
        <v>178</v>
      </c>
      <c r="C7" s="72" t="s">
        <v>179</v>
      </c>
      <c r="D7" s="72" t="s">
        <v>57</v>
      </c>
      <c r="E7" s="72" t="s">
        <v>72</v>
      </c>
      <c r="F7" s="72" t="s">
        <v>53</v>
      </c>
      <c r="G7" s="73">
        <v>38877.870000000003</v>
      </c>
      <c r="H7" s="74">
        <v>3</v>
      </c>
      <c r="I7" s="73">
        <v>37326.146666666697</v>
      </c>
      <c r="J7" s="73">
        <v>600.13000000000102</v>
      </c>
    </row>
    <row r="8" spans="1:10" ht="19.5" customHeight="1" x14ac:dyDescent="0.3">
      <c r="A8" s="75" t="s">
        <v>180</v>
      </c>
      <c r="B8" s="75" t="s">
        <v>181</v>
      </c>
      <c r="C8" s="75" t="s">
        <v>182</v>
      </c>
      <c r="D8" s="75" t="s">
        <v>57</v>
      </c>
      <c r="E8" s="75" t="s">
        <v>72</v>
      </c>
      <c r="F8" s="75" t="s">
        <v>50</v>
      </c>
      <c r="G8" s="76">
        <v>38209.279999999999</v>
      </c>
      <c r="H8" s="77">
        <v>3</v>
      </c>
      <c r="I8" s="76">
        <v>71962.706666666694</v>
      </c>
      <c r="J8" s="76">
        <v>-12233.06</v>
      </c>
    </row>
    <row r="9" spans="1:10" ht="19.5" customHeight="1" x14ac:dyDescent="0.3">
      <c r="A9" s="78" t="s">
        <v>183</v>
      </c>
      <c r="B9" s="78" t="s">
        <v>106</v>
      </c>
      <c r="C9" s="78" t="s">
        <v>107</v>
      </c>
      <c r="D9" s="78" t="s">
        <v>57</v>
      </c>
      <c r="E9" s="78" t="s">
        <v>76</v>
      </c>
      <c r="F9" s="78" t="s">
        <v>53</v>
      </c>
      <c r="G9" s="79">
        <v>36413.919999999998</v>
      </c>
      <c r="H9" s="80">
        <v>2</v>
      </c>
      <c r="I9" s="79">
        <v>22988.264999999999</v>
      </c>
      <c r="J9" s="79">
        <v>-1668.76</v>
      </c>
    </row>
    <row r="10" spans="1:10" ht="19.5" customHeight="1" x14ac:dyDescent="0.3">
      <c r="A10" s="75" t="s">
        <v>184</v>
      </c>
      <c r="B10" s="75" t="s">
        <v>185</v>
      </c>
      <c r="C10" s="75" t="s">
        <v>186</v>
      </c>
      <c r="D10" s="75" t="s">
        <v>57</v>
      </c>
      <c r="E10" s="75" t="s">
        <v>76</v>
      </c>
      <c r="F10" s="75" t="s">
        <v>53</v>
      </c>
      <c r="G10" s="76">
        <v>36045.51</v>
      </c>
      <c r="H10" s="77">
        <v>2</v>
      </c>
      <c r="I10" s="76">
        <v>69943.845000000001</v>
      </c>
      <c r="J10" s="76">
        <v>-2096.67</v>
      </c>
    </row>
    <row r="11" spans="1:10" ht="19.5" customHeight="1" x14ac:dyDescent="0.3">
      <c r="A11" s="78" t="s">
        <v>187</v>
      </c>
      <c r="B11" s="78" t="s">
        <v>188</v>
      </c>
      <c r="C11" s="78" t="s">
        <v>189</v>
      </c>
      <c r="D11" s="78" t="s">
        <v>59</v>
      </c>
      <c r="E11" s="78" t="s">
        <v>72</v>
      </c>
      <c r="F11" s="78" t="s">
        <v>53</v>
      </c>
      <c r="G11" s="79">
        <v>34108.79</v>
      </c>
      <c r="H11" s="80">
        <v>2</v>
      </c>
      <c r="I11" s="79">
        <v>54614.53</v>
      </c>
      <c r="J11" s="79">
        <v>-34108.79</v>
      </c>
    </row>
    <row r="12" spans="1:10" ht="19.5" customHeight="1" x14ac:dyDescent="0.3">
      <c r="A12" s="75" t="s">
        <v>190</v>
      </c>
      <c r="B12" s="75" t="s">
        <v>191</v>
      </c>
      <c r="C12" s="75" t="s">
        <v>192</v>
      </c>
      <c r="D12" s="75" t="s">
        <v>51</v>
      </c>
      <c r="E12" s="75" t="s">
        <v>76</v>
      </c>
      <c r="F12" s="75" t="s">
        <v>50</v>
      </c>
      <c r="G12" s="76">
        <v>33178.019999999997</v>
      </c>
      <c r="H12" s="77">
        <v>2</v>
      </c>
      <c r="I12" s="76">
        <v>66889.77</v>
      </c>
      <c r="J12" s="76">
        <v>-33178.019999999997</v>
      </c>
    </row>
    <row r="13" spans="1:10" ht="19.5" customHeight="1" x14ac:dyDescent="0.3">
      <c r="A13" s="78" t="s">
        <v>193</v>
      </c>
      <c r="B13" s="78" t="s">
        <v>194</v>
      </c>
      <c r="C13" s="78" t="s">
        <v>195</v>
      </c>
      <c r="D13" s="78" t="s">
        <v>59</v>
      </c>
      <c r="E13" s="78" t="s">
        <v>76</v>
      </c>
      <c r="F13" s="78" t="s">
        <v>53</v>
      </c>
      <c r="G13" s="79">
        <v>32012.81</v>
      </c>
      <c r="H13" s="80">
        <v>2</v>
      </c>
      <c r="I13" s="79">
        <v>70841.73</v>
      </c>
      <c r="J13" s="79">
        <v>-32012.81</v>
      </c>
    </row>
    <row r="14" spans="1:10" ht="19.5" customHeight="1" x14ac:dyDescent="0.3">
      <c r="A14" s="75" t="s">
        <v>196</v>
      </c>
      <c r="B14" s="75" t="s">
        <v>197</v>
      </c>
      <c r="C14" s="75" t="s">
        <v>198</v>
      </c>
      <c r="D14" s="75" t="s">
        <v>59</v>
      </c>
      <c r="E14" s="75" t="s">
        <v>76</v>
      </c>
      <c r="F14" s="75" t="s">
        <v>50</v>
      </c>
      <c r="G14" s="76">
        <v>31176.54</v>
      </c>
      <c r="H14" s="77">
        <v>4</v>
      </c>
      <c r="I14" s="76">
        <v>63064.057500000003</v>
      </c>
      <c r="J14" s="76">
        <v>-5345.02</v>
      </c>
    </row>
    <row r="17" spans="1:12" ht="15.6" x14ac:dyDescent="0.3">
      <c r="A17" s="10" t="s">
        <v>199</v>
      </c>
      <c r="B17" s="10"/>
      <c r="C17" s="10"/>
      <c r="D17" s="10"/>
      <c r="E17" s="10"/>
      <c r="F17" s="10"/>
      <c r="H17" s="10" t="s">
        <v>200</v>
      </c>
      <c r="I17" s="10"/>
      <c r="J17" s="10"/>
      <c r="K17" s="10"/>
      <c r="L17" s="10"/>
    </row>
    <row r="18" spans="1:12" x14ac:dyDescent="0.3">
      <c r="A18" s="15" t="s">
        <v>166</v>
      </c>
      <c r="B18" s="15" t="s">
        <v>84</v>
      </c>
      <c r="C18" s="15" t="s">
        <v>167</v>
      </c>
      <c r="D18" s="15" t="s">
        <v>117</v>
      </c>
      <c r="E18" s="15" t="s">
        <v>169</v>
      </c>
      <c r="F18" s="15" t="s">
        <v>118</v>
      </c>
      <c r="H18" s="15" t="s">
        <v>167</v>
      </c>
      <c r="I18" s="15" t="s">
        <v>201</v>
      </c>
    </row>
    <row r="19" spans="1:12" x14ac:dyDescent="0.3">
      <c r="A19" s="66" t="s">
        <v>171</v>
      </c>
      <c r="B19" s="66" t="s">
        <v>202</v>
      </c>
      <c r="C19" s="66" t="s">
        <v>203</v>
      </c>
      <c r="D19" s="68">
        <v>8</v>
      </c>
      <c r="E19" s="67">
        <v>54105.58</v>
      </c>
      <c r="F19" s="67">
        <v>77026.75</v>
      </c>
      <c r="H19" s="16" t="s">
        <v>204</v>
      </c>
      <c r="I19" s="18">
        <v>111401.08</v>
      </c>
    </row>
    <row r="20" spans="1:12" x14ac:dyDescent="0.3">
      <c r="A20" s="69" t="s">
        <v>174</v>
      </c>
      <c r="B20" s="69" t="s">
        <v>178</v>
      </c>
      <c r="C20" s="69" t="s">
        <v>179</v>
      </c>
      <c r="D20" s="71">
        <v>6</v>
      </c>
      <c r="E20" s="70">
        <v>56171.453333333302</v>
      </c>
      <c r="F20" s="70">
        <v>71821.53</v>
      </c>
      <c r="H20" s="20" t="s">
        <v>205</v>
      </c>
      <c r="I20" s="22">
        <v>99432.12</v>
      </c>
    </row>
    <row r="21" spans="1:12" x14ac:dyDescent="0.3">
      <c r="A21" s="72" t="s">
        <v>177</v>
      </c>
      <c r="B21" s="72" t="s">
        <v>194</v>
      </c>
      <c r="C21" s="72" t="s">
        <v>195</v>
      </c>
      <c r="D21" s="74">
        <v>6</v>
      </c>
      <c r="E21" s="73">
        <v>50231.588333333297</v>
      </c>
      <c r="F21" s="73">
        <v>56371.43</v>
      </c>
      <c r="H21" s="16" t="s">
        <v>206</v>
      </c>
      <c r="I21" s="18">
        <v>93111.09</v>
      </c>
    </row>
    <row r="22" spans="1:12" x14ac:dyDescent="0.3">
      <c r="A22" s="75" t="s">
        <v>180</v>
      </c>
      <c r="B22" s="75" t="s">
        <v>106</v>
      </c>
      <c r="C22" s="75" t="s">
        <v>107</v>
      </c>
      <c r="D22" s="77">
        <v>6</v>
      </c>
      <c r="E22" s="76">
        <v>51805.363333333298</v>
      </c>
      <c r="F22" s="76">
        <v>75880</v>
      </c>
      <c r="H22" s="20" t="s">
        <v>207</v>
      </c>
      <c r="I22" s="22">
        <v>92435</v>
      </c>
    </row>
    <row r="23" spans="1:12" x14ac:dyDescent="0.3">
      <c r="A23" s="78" t="s">
        <v>183</v>
      </c>
      <c r="B23" s="78" t="s">
        <v>208</v>
      </c>
      <c r="C23" s="78" t="s">
        <v>209</v>
      </c>
      <c r="D23" s="80">
        <v>6</v>
      </c>
      <c r="E23" s="79">
        <v>54570.3</v>
      </c>
      <c r="F23" s="79">
        <v>39181.800000000003</v>
      </c>
      <c r="H23" s="16" t="s">
        <v>210</v>
      </c>
      <c r="I23" s="18">
        <v>92269.7</v>
      </c>
    </row>
    <row r="24" spans="1:12" x14ac:dyDescent="0.3">
      <c r="A24" s="75" t="s">
        <v>184</v>
      </c>
      <c r="B24" s="75" t="s">
        <v>104</v>
      </c>
      <c r="C24" s="75" t="s">
        <v>105</v>
      </c>
      <c r="D24" s="77">
        <v>6</v>
      </c>
      <c r="E24" s="76">
        <v>61508.101666666698</v>
      </c>
      <c r="F24" s="76">
        <v>43902.99</v>
      </c>
      <c r="H24" s="20" t="s">
        <v>211</v>
      </c>
      <c r="I24" s="22">
        <v>90339.89</v>
      </c>
    </row>
    <row r="25" spans="1:12" x14ac:dyDescent="0.3">
      <c r="A25" s="78" t="s">
        <v>187</v>
      </c>
      <c r="B25" s="78" t="s">
        <v>212</v>
      </c>
      <c r="C25" s="78" t="s">
        <v>213</v>
      </c>
      <c r="D25" s="80">
        <v>5</v>
      </c>
      <c r="E25" s="79">
        <v>40541.18</v>
      </c>
      <c r="F25" s="79">
        <v>26236.49</v>
      </c>
      <c r="H25" s="16" t="s">
        <v>214</v>
      </c>
      <c r="I25" s="18">
        <v>89465.72</v>
      </c>
    </row>
    <row r="26" spans="1:12" x14ac:dyDescent="0.3">
      <c r="A26" s="75" t="s">
        <v>190</v>
      </c>
      <c r="B26" s="75" t="s">
        <v>215</v>
      </c>
      <c r="C26" s="75" t="s">
        <v>216</v>
      </c>
      <c r="D26" s="77">
        <v>5</v>
      </c>
      <c r="E26" s="76">
        <v>55785.735999999997</v>
      </c>
      <c r="F26" s="76">
        <v>63298.17</v>
      </c>
      <c r="H26" s="20" t="s">
        <v>217</v>
      </c>
      <c r="I26" s="22">
        <v>85827.33</v>
      </c>
    </row>
    <row r="27" spans="1:12" x14ac:dyDescent="0.3">
      <c r="A27" s="78" t="s">
        <v>193</v>
      </c>
      <c r="B27" s="78" t="s">
        <v>87</v>
      </c>
      <c r="C27" s="78" t="s">
        <v>88</v>
      </c>
      <c r="D27" s="80">
        <v>5</v>
      </c>
      <c r="E27" s="79">
        <v>40090.853999999999</v>
      </c>
      <c r="F27" s="79">
        <v>44647.59</v>
      </c>
      <c r="H27" s="16" t="s">
        <v>218</v>
      </c>
      <c r="I27" s="18">
        <v>84881.023333333302</v>
      </c>
    </row>
    <row r="28" spans="1:12" x14ac:dyDescent="0.3">
      <c r="A28" s="75" t="s">
        <v>196</v>
      </c>
      <c r="B28" s="75" t="s">
        <v>175</v>
      </c>
      <c r="C28" s="75" t="s">
        <v>176</v>
      </c>
      <c r="D28" s="77">
        <v>5</v>
      </c>
      <c r="E28" s="76">
        <v>47388.845999999998</v>
      </c>
      <c r="F28" s="76">
        <v>62630.42</v>
      </c>
      <c r="H28" s="20" t="s">
        <v>219</v>
      </c>
      <c r="I28" s="22">
        <v>84873.31</v>
      </c>
    </row>
  </sheetData>
  <mergeCells count="4">
    <mergeCell ref="A1:J1"/>
    <mergeCell ref="A3:I3"/>
    <mergeCell ref="A17:F17"/>
    <mergeCell ref="H17:L1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B3FA0"/>
  </sheetPr>
  <dimension ref="A1:H719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14" customWidth="1"/>
    <col min="2" max="4" width="8" customWidth="1"/>
    <col min="5" max="5" width="12" customWidth="1"/>
    <col min="6" max="6" width="10" customWidth="1"/>
    <col min="7" max="7" width="8" customWidth="1"/>
    <col min="8" max="8" width="12" customWidth="1"/>
  </cols>
  <sheetData>
    <row r="1" spans="1:8" ht="31.5" customHeight="1" x14ac:dyDescent="0.3">
      <c r="A1" s="104" t="s">
        <v>220</v>
      </c>
      <c r="B1" s="104"/>
      <c r="C1" s="104"/>
      <c r="D1" s="104"/>
      <c r="E1" s="104"/>
      <c r="F1" s="104"/>
      <c r="G1" s="104"/>
      <c r="H1" s="104"/>
    </row>
    <row r="2" spans="1:8" x14ac:dyDescent="0.3">
      <c r="A2" s="15" t="s">
        <v>221</v>
      </c>
      <c r="B2" s="15" t="s">
        <v>222</v>
      </c>
      <c r="C2" s="15" t="s">
        <v>223</v>
      </c>
      <c r="D2" s="15" t="s">
        <v>111</v>
      </c>
      <c r="E2" s="15" t="s">
        <v>224</v>
      </c>
      <c r="F2" s="15" t="s">
        <v>225</v>
      </c>
      <c r="G2" s="15" t="s">
        <v>116</v>
      </c>
      <c r="H2" s="15" t="s">
        <v>226</v>
      </c>
    </row>
    <row r="3" spans="1:8" x14ac:dyDescent="0.3">
      <c r="A3" s="81">
        <v>45193</v>
      </c>
      <c r="B3" s="82">
        <v>2023</v>
      </c>
      <c r="C3" s="82" t="s">
        <v>227</v>
      </c>
      <c r="D3" s="82">
        <v>9</v>
      </c>
      <c r="E3" s="82" t="s">
        <v>228</v>
      </c>
      <c r="F3" s="82">
        <v>38</v>
      </c>
      <c r="G3" s="82">
        <v>24</v>
      </c>
      <c r="H3" s="82" t="s">
        <v>133</v>
      </c>
    </row>
    <row r="4" spans="1:8" x14ac:dyDescent="0.3">
      <c r="A4" s="83">
        <v>45194</v>
      </c>
      <c r="B4" s="84">
        <v>2023</v>
      </c>
      <c r="C4" s="84" t="s">
        <v>227</v>
      </c>
      <c r="D4" s="84">
        <v>9</v>
      </c>
      <c r="E4" s="84" t="s">
        <v>228</v>
      </c>
      <c r="F4" s="84">
        <v>39</v>
      </c>
      <c r="G4" s="84">
        <v>25</v>
      </c>
      <c r="H4" s="84" t="s">
        <v>121</v>
      </c>
    </row>
    <row r="5" spans="1:8" x14ac:dyDescent="0.3">
      <c r="A5" s="81">
        <v>45195</v>
      </c>
      <c r="B5" s="82">
        <v>2023</v>
      </c>
      <c r="C5" s="82" t="s">
        <v>227</v>
      </c>
      <c r="D5" s="82">
        <v>9</v>
      </c>
      <c r="E5" s="82" t="s">
        <v>228</v>
      </c>
      <c r="F5" s="82">
        <v>39</v>
      </c>
      <c r="G5" s="82">
        <v>26</v>
      </c>
      <c r="H5" s="82" t="s">
        <v>123</v>
      </c>
    </row>
    <row r="6" spans="1:8" x14ac:dyDescent="0.3">
      <c r="A6" s="83">
        <v>45196</v>
      </c>
      <c r="B6" s="84">
        <v>2023</v>
      </c>
      <c r="C6" s="84" t="s">
        <v>227</v>
      </c>
      <c r="D6" s="84">
        <v>9</v>
      </c>
      <c r="E6" s="84" t="s">
        <v>228</v>
      </c>
      <c r="F6" s="84">
        <v>39</v>
      </c>
      <c r="G6" s="84">
        <v>27</v>
      </c>
      <c r="H6" s="84" t="s">
        <v>125</v>
      </c>
    </row>
    <row r="7" spans="1:8" x14ac:dyDescent="0.3">
      <c r="A7" s="81">
        <v>45197</v>
      </c>
      <c r="B7" s="82">
        <v>2023</v>
      </c>
      <c r="C7" s="82" t="s">
        <v>227</v>
      </c>
      <c r="D7" s="82">
        <v>9</v>
      </c>
      <c r="E7" s="82" t="s">
        <v>228</v>
      </c>
      <c r="F7" s="82">
        <v>39</v>
      </c>
      <c r="G7" s="82">
        <v>28</v>
      </c>
      <c r="H7" s="82" t="s">
        <v>127</v>
      </c>
    </row>
    <row r="8" spans="1:8" x14ac:dyDescent="0.3">
      <c r="A8" s="83">
        <v>45198</v>
      </c>
      <c r="B8" s="84">
        <v>2023</v>
      </c>
      <c r="C8" s="84" t="s">
        <v>227</v>
      </c>
      <c r="D8" s="84">
        <v>9</v>
      </c>
      <c r="E8" s="84" t="s">
        <v>228</v>
      </c>
      <c r="F8" s="84">
        <v>39</v>
      </c>
      <c r="G8" s="84">
        <v>29</v>
      </c>
      <c r="H8" s="84" t="s">
        <v>129</v>
      </c>
    </row>
    <row r="9" spans="1:8" x14ac:dyDescent="0.3">
      <c r="A9" s="81">
        <v>45199</v>
      </c>
      <c r="B9" s="82">
        <v>2023</v>
      </c>
      <c r="C9" s="82" t="s">
        <v>227</v>
      </c>
      <c r="D9" s="82">
        <v>9</v>
      </c>
      <c r="E9" s="82" t="s">
        <v>228</v>
      </c>
      <c r="F9" s="82">
        <v>39</v>
      </c>
      <c r="G9" s="82">
        <v>30</v>
      </c>
      <c r="H9" s="82" t="s">
        <v>131</v>
      </c>
    </row>
    <row r="10" spans="1:8" x14ac:dyDescent="0.3">
      <c r="A10" s="83">
        <v>45200</v>
      </c>
      <c r="B10" s="84">
        <v>2023</v>
      </c>
      <c r="C10" s="84" t="s">
        <v>229</v>
      </c>
      <c r="D10" s="84">
        <v>10</v>
      </c>
      <c r="E10" s="84" t="s">
        <v>230</v>
      </c>
      <c r="F10" s="84">
        <v>39</v>
      </c>
      <c r="G10" s="84">
        <v>1</v>
      </c>
      <c r="H10" s="84" t="s">
        <v>133</v>
      </c>
    </row>
    <row r="11" spans="1:8" x14ac:dyDescent="0.3">
      <c r="A11" s="81">
        <v>45201</v>
      </c>
      <c r="B11" s="82">
        <v>2023</v>
      </c>
      <c r="C11" s="82" t="s">
        <v>229</v>
      </c>
      <c r="D11" s="82">
        <v>10</v>
      </c>
      <c r="E11" s="82" t="s">
        <v>230</v>
      </c>
      <c r="F11" s="82">
        <v>40</v>
      </c>
      <c r="G11" s="82">
        <v>2</v>
      </c>
      <c r="H11" s="82" t="s">
        <v>121</v>
      </c>
    </row>
    <row r="12" spans="1:8" x14ac:dyDescent="0.3">
      <c r="A12" s="83">
        <v>45202</v>
      </c>
      <c r="B12" s="84">
        <v>2023</v>
      </c>
      <c r="C12" s="84" t="s">
        <v>229</v>
      </c>
      <c r="D12" s="84">
        <v>10</v>
      </c>
      <c r="E12" s="84" t="s">
        <v>230</v>
      </c>
      <c r="F12" s="84">
        <v>40</v>
      </c>
      <c r="G12" s="84">
        <v>3</v>
      </c>
      <c r="H12" s="84" t="s">
        <v>123</v>
      </c>
    </row>
    <row r="13" spans="1:8" x14ac:dyDescent="0.3">
      <c r="A13" s="81">
        <v>45203</v>
      </c>
      <c r="B13" s="82">
        <v>2023</v>
      </c>
      <c r="C13" s="82" t="s">
        <v>229</v>
      </c>
      <c r="D13" s="82">
        <v>10</v>
      </c>
      <c r="E13" s="82" t="s">
        <v>230</v>
      </c>
      <c r="F13" s="82">
        <v>40</v>
      </c>
      <c r="G13" s="82">
        <v>4</v>
      </c>
      <c r="H13" s="82" t="s">
        <v>125</v>
      </c>
    </row>
    <row r="14" spans="1:8" x14ac:dyDescent="0.3">
      <c r="A14" s="83">
        <v>45204</v>
      </c>
      <c r="B14" s="84">
        <v>2023</v>
      </c>
      <c r="C14" s="84" t="s">
        <v>229</v>
      </c>
      <c r="D14" s="84">
        <v>10</v>
      </c>
      <c r="E14" s="84" t="s">
        <v>230</v>
      </c>
      <c r="F14" s="84">
        <v>40</v>
      </c>
      <c r="G14" s="84">
        <v>5</v>
      </c>
      <c r="H14" s="84" t="s">
        <v>127</v>
      </c>
    </row>
    <row r="15" spans="1:8" x14ac:dyDescent="0.3">
      <c r="A15" s="81">
        <v>45205</v>
      </c>
      <c r="B15" s="82">
        <v>2023</v>
      </c>
      <c r="C15" s="82" t="s">
        <v>229</v>
      </c>
      <c r="D15" s="82">
        <v>10</v>
      </c>
      <c r="E15" s="82" t="s">
        <v>230</v>
      </c>
      <c r="F15" s="82">
        <v>40</v>
      </c>
      <c r="G15" s="82">
        <v>6</v>
      </c>
      <c r="H15" s="82" t="s">
        <v>129</v>
      </c>
    </row>
    <row r="16" spans="1:8" x14ac:dyDescent="0.3">
      <c r="A16" s="83">
        <v>45206</v>
      </c>
      <c r="B16" s="84">
        <v>2023</v>
      </c>
      <c r="C16" s="84" t="s">
        <v>229</v>
      </c>
      <c r="D16" s="84">
        <v>10</v>
      </c>
      <c r="E16" s="84" t="s">
        <v>230</v>
      </c>
      <c r="F16" s="84">
        <v>40</v>
      </c>
      <c r="G16" s="84">
        <v>7</v>
      </c>
      <c r="H16" s="84" t="s">
        <v>131</v>
      </c>
    </row>
    <row r="17" spans="1:8" x14ac:dyDescent="0.3">
      <c r="A17" s="81">
        <v>45207</v>
      </c>
      <c r="B17" s="82">
        <v>2023</v>
      </c>
      <c r="C17" s="82" t="s">
        <v>229</v>
      </c>
      <c r="D17" s="82">
        <v>10</v>
      </c>
      <c r="E17" s="82" t="s">
        <v>230</v>
      </c>
      <c r="F17" s="82">
        <v>40</v>
      </c>
      <c r="G17" s="82">
        <v>8</v>
      </c>
      <c r="H17" s="82" t="s">
        <v>133</v>
      </c>
    </row>
    <row r="18" spans="1:8" x14ac:dyDescent="0.3">
      <c r="A18" s="83">
        <v>45208</v>
      </c>
      <c r="B18" s="84">
        <v>2023</v>
      </c>
      <c r="C18" s="84" t="s">
        <v>229</v>
      </c>
      <c r="D18" s="84">
        <v>10</v>
      </c>
      <c r="E18" s="84" t="s">
        <v>230</v>
      </c>
      <c r="F18" s="84">
        <v>41</v>
      </c>
      <c r="G18" s="84">
        <v>9</v>
      </c>
      <c r="H18" s="84" t="s">
        <v>121</v>
      </c>
    </row>
    <row r="19" spans="1:8" x14ac:dyDescent="0.3">
      <c r="A19" s="81">
        <v>45209</v>
      </c>
      <c r="B19" s="82">
        <v>2023</v>
      </c>
      <c r="C19" s="82" t="s">
        <v>229</v>
      </c>
      <c r="D19" s="82">
        <v>10</v>
      </c>
      <c r="E19" s="82" t="s">
        <v>230</v>
      </c>
      <c r="F19" s="82">
        <v>41</v>
      </c>
      <c r="G19" s="82">
        <v>10</v>
      </c>
      <c r="H19" s="82" t="s">
        <v>123</v>
      </c>
    </row>
    <row r="20" spans="1:8" x14ac:dyDescent="0.3">
      <c r="A20" s="83">
        <v>45210</v>
      </c>
      <c r="B20" s="84">
        <v>2023</v>
      </c>
      <c r="C20" s="84" t="s">
        <v>229</v>
      </c>
      <c r="D20" s="84">
        <v>10</v>
      </c>
      <c r="E20" s="84" t="s">
        <v>230</v>
      </c>
      <c r="F20" s="84">
        <v>41</v>
      </c>
      <c r="G20" s="84">
        <v>11</v>
      </c>
      <c r="H20" s="84" t="s">
        <v>125</v>
      </c>
    </row>
    <row r="21" spans="1:8" x14ac:dyDescent="0.3">
      <c r="A21" s="81">
        <v>45211</v>
      </c>
      <c r="B21" s="82">
        <v>2023</v>
      </c>
      <c r="C21" s="82" t="s">
        <v>229</v>
      </c>
      <c r="D21" s="82">
        <v>10</v>
      </c>
      <c r="E21" s="82" t="s">
        <v>230</v>
      </c>
      <c r="F21" s="82">
        <v>41</v>
      </c>
      <c r="G21" s="82">
        <v>12</v>
      </c>
      <c r="H21" s="82" t="s">
        <v>127</v>
      </c>
    </row>
    <row r="22" spans="1:8" x14ac:dyDescent="0.3">
      <c r="A22" s="83">
        <v>45212</v>
      </c>
      <c r="B22" s="84">
        <v>2023</v>
      </c>
      <c r="C22" s="84" t="s">
        <v>229</v>
      </c>
      <c r="D22" s="84">
        <v>10</v>
      </c>
      <c r="E22" s="84" t="s">
        <v>230</v>
      </c>
      <c r="F22" s="84">
        <v>41</v>
      </c>
      <c r="G22" s="84">
        <v>13</v>
      </c>
      <c r="H22" s="84" t="s">
        <v>129</v>
      </c>
    </row>
    <row r="23" spans="1:8" x14ac:dyDescent="0.3">
      <c r="A23" s="81">
        <v>45213</v>
      </c>
      <c r="B23" s="82">
        <v>2023</v>
      </c>
      <c r="C23" s="82" t="s">
        <v>229</v>
      </c>
      <c r="D23" s="82">
        <v>10</v>
      </c>
      <c r="E23" s="82" t="s">
        <v>230</v>
      </c>
      <c r="F23" s="82">
        <v>41</v>
      </c>
      <c r="G23" s="82">
        <v>14</v>
      </c>
      <c r="H23" s="82" t="s">
        <v>131</v>
      </c>
    </row>
    <row r="24" spans="1:8" x14ac:dyDescent="0.3">
      <c r="A24" s="83">
        <v>45214</v>
      </c>
      <c r="B24" s="84">
        <v>2023</v>
      </c>
      <c r="C24" s="84" t="s">
        <v>229</v>
      </c>
      <c r="D24" s="84">
        <v>10</v>
      </c>
      <c r="E24" s="84" t="s">
        <v>230</v>
      </c>
      <c r="F24" s="84">
        <v>41</v>
      </c>
      <c r="G24" s="84">
        <v>15</v>
      </c>
      <c r="H24" s="84" t="s">
        <v>133</v>
      </c>
    </row>
    <row r="25" spans="1:8" x14ac:dyDescent="0.3">
      <c r="A25" s="81">
        <v>45215</v>
      </c>
      <c r="B25" s="82">
        <v>2023</v>
      </c>
      <c r="C25" s="82" t="s">
        <v>229</v>
      </c>
      <c r="D25" s="82">
        <v>10</v>
      </c>
      <c r="E25" s="82" t="s">
        <v>230</v>
      </c>
      <c r="F25" s="82">
        <v>42</v>
      </c>
      <c r="G25" s="82">
        <v>16</v>
      </c>
      <c r="H25" s="82" t="s">
        <v>121</v>
      </c>
    </row>
    <row r="26" spans="1:8" x14ac:dyDescent="0.3">
      <c r="A26" s="83">
        <v>45216</v>
      </c>
      <c r="B26" s="84">
        <v>2023</v>
      </c>
      <c r="C26" s="84" t="s">
        <v>229</v>
      </c>
      <c r="D26" s="84">
        <v>10</v>
      </c>
      <c r="E26" s="84" t="s">
        <v>230</v>
      </c>
      <c r="F26" s="84">
        <v>42</v>
      </c>
      <c r="G26" s="84">
        <v>17</v>
      </c>
      <c r="H26" s="84" t="s">
        <v>123</v>
      </c>
    </row>
    <row r="27" spans="1:8" x14ac:dyDescent="0.3">
      <c r="A27" s="81">
        <v>45217</v>
      </c>
      <c r="B27" s="82">
        <v>2023</v>
      </c>
      <c r="C27" s="82" t="s">
        <v>229</v>
      </c>
      <c r="D27" s="82">
        <v>10</v>
      </c>
      <c r="E27" s="82" t="s">
        <v>230</v>
      </c>
      <c r="F27" s="82">
        <v>42</v>
      </c>
      <c r="G27" s="82">
        <v>18</v>
      </c>
      <c r="H27" s="82" t="s">
        <v>125</v>
      </c>
    </row>
    <row r="28" spans="1:8" x14ac:dyDescent="0.3">
      <c r="A28" s="83">
        <v>45218</v>
      </c>
      <c r="B28" s="84">
        <v>2023</v>
      </c>
      <c r="C28" s="84" t="s">
        <v>229</v>
      </c>
      <c r="D28" s="84">
        <v>10</v>
      </c>
      <c r="E28" s="84" t="s">
        <v>230</v>
      </c>
      <c r="F28" s="84">
        <v>42</v>
      </c>
      <c r="G28" s="84">
        <v>19</v>
      </c>
      <c r="H28" s="84" t="s">
        <v>127</v>
      </c>
    </row>
    <row r="29" spans="1:8" x14ac:dyDescent="0.3">
      <c r="A29" s="81">
        <v>45219</v>
      </c>
      <c r="B29" s="82">
        <v>2023</v>
      </c>
      <c r="C29" s="82" t="s">
        <v>229</v>
      </c>
      <c r="D29" s="82">
        <v>10</v>
      </c>
      <c r="E29" s="82" t="s">
        <v>230</v>
      </c>
      <c r="F29" s="82">
        <v>42</v>
      </c>
      <c r="G29" s="82">
        <v>20</v>
      </c>
      <c r="H29" s="82" t="s">
        <v>129</v>
      </c>
    </row>
    <row r="30" spans="1:8" x14ac:dyDescent="0.3">
      <c r="A30" s="83">
        <v>45220</v>
      </c>
      <c r="B30" s="84">
        <v>2023</v>
      </c>
      <c r="C30" s="84" t="s">
        <v>229</v>
      </c>
      <c r="D30" s="84">
        <v>10</v>
      </c>
      <c r="E30" s="84" t="s">
        <v>230</v>
      </c>
      <c r="F30" s="84">
        <v>42</v>
      </c>
      <c r="G30" s="84">
        <v>21</v>
      </c>
      <c r="H30" s="84" t="s">
        <v>131</v>
      </c>
    </row>
    <row r="31" spans="1:8" x14ac:dyDescent="0.3">
      <c r="A31" s="81">
        <v>45221</v>
      </c>
      <c r="B31" s="82">
        <v>2023</v>
      </c>
      <c r="C31" s="82" t="s">
        <v>229</v>
      </c>
      <c r="D31" s="82">
        <v>10</v>
      </c>
      <c r="E31" s="82" t="s">
        <v>230</v>
      </c>
      <c r="F31" s="82">
        <v>42</v>
      </c>
      <c r="G31" s="82">
        <v>22</v>
      </c>
      <c r="H31" s="82" t="s">
        <v>133</v>
      </c>
    </row>
    <row r="32" spans="1:8" x14ac:dyDescent="0.3">
      <c r="A32" s="83">
        <v>45222</v>
      </c>
      <c r="B32" s="84">
        <v>2023</v>
      </c>
      <c r="C32" s="84" t="s">
        <v>229</v>
      </c>
      <c r="D32" s="84">
        <v>10</v>
      </c>
      <c r="E32" s="84" t="s">
        <v>230</v>
      </c>
      <c r="F32" s="84">
        <v>43</v>
      </c>
      <c r="G32" s="84">
        <v>23</v>
      </c>
      <c r="H32" s="84" t="s">
        <v>121</v>
      </c>
    </row>
    <row r="33" spans="1:8" x14ac:dyDescent="0.3">
      <c r="A33" s="81">
        <v>45223</v>
      </c>
      <c r="B33" s="82">
        <v>2023</v>
      </c>
      <c r="C33" s="82" t="s">
        <v>229</v>
      </c>
      <c r="D33" s="82">
        <v>10</v>
      </c>
      <c r="E33" s="82" t="s">
        <v>230</v>
      </c>
      <c r="F33" s="82">
        <v>43</v>
      </c>
      <c r="G33" s="82">
        <v>24</v>
      </c>
      <c r="H33" s="82" t="s">
        <v>123</v>
      </c>
    </row>
    <row r="34" spans="1:8" x14ac:dyDescent="0.3">
      <c r="A34" s="83">
        <v>45224</v>
      </c>
      <c r="B34" s="84">
        <v>2023</v>
      </c>
      <c r="C34" s="84" t="s">
        <v>229</v>
      </c>
      <c r="D34" s="84">
        <v>10</v>
      </c>
      <c r="E34" s="84" t="s">
        <v>230</v>
      </c>
      <c r="F34" s="84">
        <v>43</v>
      </c>
      <c r="G34" s="84">
        <v>25</v>
      </c>
      <c r="H34" s="84" t="s">
        <v>125</v>
      </c>
    </row>
    <row r="35" spans="1:8" x14ac:dyDescent="0.3">
      <c r="A35" s="81">
        <v>45225</v>
      </c>
      <c r="B35" s="82">
        <v>2023</v>
      </c>
      <c r="C35" s="82" t="s">
        <v>229</v>
      </c>
      <c r="D35" s="82">
        <v>10</v>
      </c>
      <c r="E35" s="82" t="s">
        <v>230</v>
      </c>
      <c r="F35" s="82">
        <v>43</v>
      </c>
      <c r="G35" s="82">
        <v>26</v>
      </c>
      <c r="H35" s="82" t="s">
        <v>127</v>
      </c>
    </row>
    <row r="36" spans="1:8" x14ac:dyDescent="0.3">
      <c r="A36" s="83">
        <v>45226</v>
      </c>
      <c r="B36" s="84">
        <v>2023</v>
      </c>
      <c r="C36" s="84" t="s">
        <v>229</v>
      </c>
      <c r="D36" s="84">
        <v>10</v>
      </c>
      <c r="E36" s="84" t="s">
        <v>230</v>
      </c>
      <c r="F36" s="84">
        <v>43</v>
      </c>
      <c r="G36" s="84">
        <v>27</v>
      </c>
      <c r="H36" s="84" t="s">
        <v>129</v>
      </c>
    </row>
    <row r="37" spans="1:8" x14ac:dyDescent="0.3">
      <c r="A37" s="81">
        <v>45227</v>
      </c>
      <c r="B37" s="82">
        <v>2023</v>
      </c>
      <c r="C37" s="82" t="s">
        <v>229</v>
      </c>
      <c r="D37" s="82">
        <v>10</v>
      </c>
      <c r="E37" s="82" t="s">
        <v>230</v>
      </c>
      <c r="F37" s="82">
        <v>43</v>
      </c>
      <c r="G37" s="82">
        <v>28</v>
      </c>
      <c r="H37" s="82" t="s">
        <v>131</v>
      </c>
    </row>
    <row r="38" spans="1:8" x14ac:dyDescent="0.3">
      <c r="A38" s="83">
        <v>45228</v>
      </c>
      <c r="B38" s="84">
        <v>2023</v>
      </c>
      <c r="C38" s="84" t="s">
        <v>229</v>
      </c>
      <c r="D38" s="84">
        <v>10</v>
      </c>
      <c r="E38" s="84" t="s">
        <v>230</v>
      </c>
      <c r="F38" s="84">
        <v>43</v>
      </c>
      <c r="G38" s="84">
        <v>29</v>
      </c>
      <c r="H38" s="84" t="s">
        <v>133</v>
      </c>
    </row>
    <row r="39" spans="1:8" x14ac:dyDescent="0.3">
      <c r="A39" s="81">
        <v>45229</v>
      </c>
      <c r="B39" s="82">
        <v>2023</v>
      </c>
      <c r="C39" s="82" t="s">
        <v>229</v>
      </c>
      <c r="D39" s="82">
        <v>10</v>
      </c>
      <c r="E39" s="82" t="s">
        <v>230</v>
      </c>
      <c r="F39" s="82">
        <v>44</v>
      </c>
      <c r="G39" s="82">
        <v>30</v>
      </c>
      <c r="H39" s="82" t="s">
        <v>121</v>
      </c>
    </row>
    <row r="40" spans="1:8" x14ac:dyDescent="0.3">
      <c r="A40" s="83">
        <v>45230</v>
      </c>
      <c r="B40" s="84">
        <v>2023</v>
      </c>
      <c r="C40" s="84" t="s">
        <v>229</v>
      </c>
      <c r="D40" s="84">
        <v>10</v>
      </c>
      <c r="E40" s="84" t="s">
        <v>230</v>
      </c>
      <c r="F40" s="84">
        <v>44</v>
      </c>
      <c r="G40" s="84">
        <v>31</v>
      </c>
      <c r="H40" s="84" t="s">
        <v>123</v>
      </c>
    </row>
    <row r="41" spans="1:8" x14ac:dyDescent="0.3">
      <c r="A41" s="81">
        <v>45231</v>
      </c>
      <c r="B41" s="82">
        <v>2023</v>
      </c>
      <c r="C41" s="82" t="s">
        <v>229</v>
      </c>
      <c r="D41" s="82">
        <v>11</v>
      </c>
      <c r="E41" s="82" t="s">
        <v>231</v>
      </c>
      <c r="F41" s="82">
        <v>44</v>
      </c>
      <c r="G41" s="82">
        <v>1</v>
      </c>
      <c r="H41" s="82" t="s">
        <v>125</v>
      </c>
    </row>
    <row r="42" spans="1:8" x14ac:dyDescent="0.3">
      <c r="A42" s="83">
        <v>45232</v>
      </c>
      <c r="B42" s="84">
        <v>2023</v>
      </c>
      <c r="C42" s="84" t="s">
        <v>229</v>
      </c>
      <c r="D42" s="84">
        <v>11</v>
      </c>
      <c r="E42" s="84" t="s">
        <v>231</v>
      </c>
      <c r="F42" s="84">
        <v>44</v>
      </c>
      <c r="G42" s="84">
        <v>2</v>
      </c>
      <c r="H42" s="84" t="s">
        <v>127</v>
      </c>
    </row>
    <row r="43" spans="1:8" x14ac:dyDescent="0.3">
      <c r="A43" s="81">
        <v>45233</v>
      </c>
      <c r="B43" s="82">
        <v>2023</v>
      </c>
      <c r="C43" s="82" t="s">
        <v>229</v>
      </c>
      <c r="D43" s="82">
        <v>11</v>
      </c>
      <c r="E43" s="82" t="s">
        <v>231</v>
      </c>
      <c r="F43" s="82">
        <v>44</v>
      </c>
      <c r="G43" s="82">
        <v>3</v>
      </c>
      <c r="H43" s="82" t="s">
        <v>129</v>
      </c>
    </row>
    <row r="44" spans="1:8" x14ac:dyDescent="0.3">
      <c r="A44" s="83">
        <v>45234</v>
      </c>
      <c r="B44" s="84">
        <v>2023</v>
      </c>
      <c r="C44" s="84" t="s">
        <v>229</v>
      </c>
      <c r="D44" s="84">
        <v>11</v>
      </c>
      <c r="E44" s="84" t="s">
        <v>231</v>
      </c>
      <c r="F44" s="84">
        <v>44</v>
      </c>
      <c r="G44" s="84">
        <v>4</v>
      </c>
      <c r="H44" s="84" t="s">
        <v>131</v>
      </c>
    </row>
    <row r="45" spans="1:8" x14ac:dyDescent="0.3">
      <c r="A45" s="81">
        <v>45235</v>
      </c>
      <c r="B45" s="82">
        <v>2023</v>
      </c>
      <c r="C45" s="82" t="s">
        <v>229</v>
      </c>
      <c r="D45" s="82">
        <v>11</v>
      </c>
      <c r="E45" s="82" t="s">
        <v>231</v>
      </c>
      <c r="F45" s="82">
        <v>44</v>
      </c>
      <c r="G45" s="82">
        <v>5</v>
      </c>
      <c r="H45" s="82" t="s">
        <v>133</v>
      </c>
    </row>
    <row r="46" spans="1:8" x14ac:dyDescent="0.3">
      <c r="A46" s="83">
        <v>45236</v>
      </c>
      <c r="B46" s="84">
        <v>2023</v>
      </c>
      <c r="C46" s="84" t="s">
        <v>229</v>
      </c>
      <c r="D46" s="84">
        <v>11</v>
      </c>
      <c r="E46" s="84" t="s">
        <v>231</v>
      </c>
      <c r="F46" s="84">
        <v>45</v>
      </c>
      <c r="G46" s="84">
        <v>6</v>
      </c>
      <c r="H46" s="84" t="s">
        <v>121</v>
      </c>
    </row>
    <row r="47" spans="1:8" x14ac:dyDescent="0.3">
      <c r="A47" s="81">
        <v>45237</v>
      </c>
      <c r="B47" s="82">
        <v>2023</v>
      </c>
      <c r="C47" s="82" t="s">
        <v>229</v>
      </c>
      <c r="D47" s="82">
        <v>11</v>
      </c>
      <c r="E47" s="82" t="s">
        <v>231</v>
      </c>
      <c r="F47" s="82">
        <v>45</v>
      </c>
      <c r="G47" s="82">
        <v>7</v>
      </c>
      <c r="H47" s="82" t="s">
        <v>123</v>
      </c>
    </row>
    <row r="48" spans="1:8" x14ac:dyDescent="0.3">
      <c r="A48" s="83">
        <v>45238</v>
      </c>
      <c r="B48" s="84">
        <v>2023</v>
      </c>
      <c r="C48" s="84" t="s">
        <v>229</v>
      </c>
      <c r="D48" s="84">
        <v>11</v>
      </c>
      <c r="E48" s="84" t="s">
        <v>231</v>
      </c>
      <c r="F48" s="84">
        <v>45</v>
      </c>
      <c r="G48" s="84">
        <v>8</v>
      </c>
      <c r="H48" s="84" t="s">
        <v>125</v>
      </c>
    </row>
    <row r="49" spans="1:8" x14ac:dyDescent="0.3">
      <c r="A49" s="81">
        <v>45239</v>
      </c>
      <c r="B49" s="82">
        <v>2023</v>
      </c>
      <c r="C49" s="82" t="s">
        <v>229</v>
      </c>
      <c r="D49" s="82">
        <v>11</v>
      </c>
      <c r="E49" s="82" t="s">
        <v>231</v>
      </c>
      <c r="F49" s="82">
        <v>45</v>
      </c>
      <c r="G49" s="82">
        <v>9</v>
      </c>
      <c r="H49" s="82" t="s">
        <v>127</v>
      </c>
    </row>
    <row r="50" spans="1:8" x14ac:dyDescent="0.3">
      <c r="A50" s="83">
        <v>45240</v>
      </c>
      <c r="B50" s="84">
        <v>2023</v>
      </c>
      <c r="C50" s="84" t="s">
        <v>229</v>
      </c>
      <c r="D50" s="84">
        <v>11</v>
      </c>
      <c r="E50" s="84" t="s">
        <v>231</v>
      </c>
      <c r="F50" s="84">
        <v>45</v>
      </c>
      <c r="G50" s="84">
        <v>10</v>
      </c>
      <c r="H50" s="84" t="s">
        <v>129</v>
      </c>
    </row>
    <row r="51" spans="1:8" x14ac:dyDescent="0.3">
      <c r="A51" s="81">
        <v>45241</v>
      </c>
      <c r="B51" s="82">
        <v>2023</v>
      </c>
      <c r="C51" s="82" t="s">
        <v>229</v>
      </c>
      <c r="D51" s="82">
        <v>11</v>
      </c>
      <c r="E51" s="82" t="s">
        <v>231</v>
      </c>
      <c r="F51" s="82">
        <v>45</v>
      </c>
      <c r="G51" s="82">
        <v>11</v>
      </c>
      <c r="H51" s="82" t="s">
        <v>131</v>
      </c>
    </row>
    <row r="52" spans="1:8" x14ac:dyDescent="0.3">
      <c r="A52" s="83">
        <v>45242</v>
      </c>
      <c r="B52" s="84">
        <v>2023</v>
      </c>
      <c r="C52" s="84" t="s">
        <v>229</v>
      </c>
      <c r="D52" s="84">
        <v>11</v>
      </c>
      <c r="E52" s="84" t="s">
        <v>231</v>
      </c>
      <c r="F52" s="84">
        <v>45</v>
      </c>
      <c r="G52" s="84">
        <v>12</v>
      </c>
      <c r="H52" s="84" t="s">
        <v>133</v>
      </c>
    </row>
    <row r="53" spans="1:8" x14ac:dyDescent="0.3">
      <c r="A53" s="81">
        <v>45243</v>
      </c>
      <c r="B53" s="82">
        <v>2023</v>
      </c>
      <c r="C53" s="82" t="s">
        <v>229</v>
      </c>
      <c r="D53" s="82">
        <v>11</v>
      </c>
      <c r="E53" s="82" t="s">
        <v>231</v>
      </c>
      <c r="F53" s="82">
        <v>46</v>
      </c>
      <c r="G53" s="82">
        <v>13</v>
      </c>
      <c r="H53" s="82" t="s">
        <v>121</v>
      </c>
    </row>
    <row r="54" spans="1:8" x14ac:dyDescent="0.3">
      <c r="A54" s="83">
        <v>45244</v>
      </c>
      <c r="B54" s="84">
        <v>2023</v>
      </c>
      <c r="C54" s="84" t="s">
        <v>229</v>
      </c>
      <c r="D54" s="84">
        <v>11</v>
      </c>
      <c r="E54" s="84" t="s">
        <v>231</v>
      </c>
      <c r="F54" s="84">
        <v>46</v>
      </c>
      <c r="G54" s="84">
        <v>14</v>
      </c>
      <c r="H54" s="84" t="s">
        <v>123</v>
      </c>
    </row>
    <row r="55" spans="1:8" x14ac:dyDescent="0.3">
      <c r="A55" s="81">
        <v>45245</v>
      </c>
      <c r="B55" s="82">
        <v>2023</v>
      </c>
      <c r="C55" s="82" t="s">
        <v>229</v>
      </c>
      <c r="D55" s="82">
        <v>11</v>
      </c>
      <c r="E55" s="82" t="s">
        <v>231</v>
      </c>
      <c r="F55" s="82">
        <v>46</v>
      </c>
      <c r="G55" s="82">
        <v>15</v>
      </c>
      <c r="H55" s="82" t="s">
        <v>125</v>
      </c>
    </row>
    <row r="56" spans="1:8" x14ac:dyDescent="0.3">
      <c r="A56" s="83">
        <v>45246</v>
      </c>
      <c r="B56" s="84">
        <v>2023</v>
      </c>
      <c r="C56" s="84" t="s">
        <v>229</v>
      </c>
      <c r="D56" s="84">
        <v>11</v>
      </c>
      <c r="E56" s="84" t="s">
        <v>231</v>
      </c>
      <c r="F56" s="84">
        <v>46</v>
      </c>
      <c r="G56" s="84">
        <v>16</v>
      </c>
      <c r="H56" s="84" t="s">
        <v>127</v>
      </c>
    </row>
    <row r="57" spans="1:8" x14ac:dyDescent="0.3">
      <c r="A57" s="81">
        <v>45247</v>
      </c>
      <c r="B57" s="82">
        <v>2023</v>
      </c>
      <c r="C57" s="82" t="s">
        <v>229</v>
      </c>
      <c r="D57" s="82">
        <v>11</v>
      </c>
      <c r="E57" s="82" t="s">
        <v>231</v>
      </c>
      <c r="F57" s="82">
        <v>46</v>
      </c>
      <c r="G57" s="82">
        <v>17</v>
      </c>
      <c r="H57" s="82" t="s">
        <v>129</v>
      </c>
    </row>
    <row r="58" spans="1:8" x14ac:dyDescent="0.3">
      <c r="A58" s="83">
        <v>45248</v>
      </c>
      <c r="B58" s="84">
        <v>2023</v>
      </c>
      <c r="C58" s="84" t="s">
        <v>229</v>
      </c>
      <c r="D58" s="84">
        <v>11</v>
      </c>
      <c r="E58" s="84" t="s">
        <v>231</v>
      </c>
      <c r="F58" s="84">
        <v>46</v>
      </c>
      <c r="G58" s="84">
        <v>18</v>
      </c>
      <c r="H58" s="84" t="s">
        <v>131</v>
      </c>
    </row>
    <row r="59" spans="1:8" x14ac:dyDescent="0.3">
      <c r="A59" s="81">
        <v>45249</v>
      </c>
      <c r="B59" s="82">
        <v>2023</v>
      </c>
      <c r="C59" s="82" t="s">
        <v>229</v>
      </c>
      <c r="D59" s="82">
        <v>11</v>
      </c>
      <c r="E59" s="82" t="s">
        <v>231</v>
      </c>
      <c r="F59" s="82">
        <v>46</v>
      </c>
      <c r="G59" s="82">
        <v>19</v>
      </c>
      <c r="H59" s="82" t="s">
        <v>133</v>
      </c>
    </row>
    <row r="60" spans="1:8" x14ac:dyDescent="0.3">
      <c r="A60" s="83">
        <v>45250</v>
      </c>
      <c r="B60" s="84">
        <v>2023</v>
      </c>
      <c r="C60" s="84" t="s">
        <v>229</v>
      </c>
      <c r="D60" s="84">
        <v>11</v>
      </c>
      <c r="E60" s="84" t="s">
        <v>231</v>
      </c>
      <c r="F60" s="84">
        <v>47</v>
      </c>
      <c r="G60" s="84">
        <v>20</v>
      </c>
      <c r="H60" s="84" t="s">
        <v>121</v>
      </c>
    </row>
    <row r="61" spans="1:8" x14ac:dyDescent="0.3">
      <c r="A61" s="81">
        <v>45251</v>
      </c>
      <c r="B61" s="82">
        <v>2023</v>
      </c>
      <c r="C61" s="82" t="s">
        <v>229</v>
      </c>
      <c r="D61" s="82">
        <v>11</v>
      </c>
      <c r="E61" s="82" t="s">
        <v>231</v>
      </c>
      <c r="F61" s="82">
        <v>47</v>
      </c>
      <c r="G61" s="82">
        <v>21</v>
      </c>
      <c r="H61" s="82" t="s">
        <v>123</v>
      </c>
    </row>
    <row r="62" spans="1:8" x14ac:dyDescent="0.3">
      <c r="A62" s="83">
        <v>45252</v>
      </c>
      <c r="B62" s="84">
        <v>2023</v>
      </c>
      <c r="C62" s="84" t="s">
        <v>229</v>
      </c>
      <c r="D62" s="84">
        <v>11</v>
      </c>
      <c r="E62" s="84" t="s">
        <v>231</v>
      </c>
      <c r="F62" s="84">
        <v>47</v>
      </c>
      <c r="G62" s="84">
        <v>22</v>
      </c>
      <c r="H62" s="84" t="s">
        <v>125</v>
      </c>
    </row>
    <row r="63" spans="1:8" x14ac:dyDescent="0.3">
      <c r="A63" s="81">
        <v>45253</v>
      </c>
      <c r="B63" s="82">
        <v>2023</v>
      </c>
      <c r="C63" s="82" t="s">
        <v>229</v>
      </c>
      <c r="D63" s="82">
        <v>11</v>
      </c>
      <c r="E63" s="82" t="s">
        <v>231</v>
      </c>
      <c r="F63" s="82">
        <v>47</v>
      </c>
      <c r="G63" s="82">
        <v>23</v>
      </c>
      <c r="H63" s="82" t="s">
        <v>127</v>
      </c>
    </row>
    <row r="64" spans="1:8" x14ac:dyDescent="0.3">
      <c r="A64" s="83">
        <v>45254</v>
      </c>
      <c r="B64" s="84">
        <v>2023</v>
      </c>
      <c r="C64" s="84" t="s">
        <v>229</v>
      </c>
      <c r="D64" s="84">
        <v>11</v>
      </c>
      <c r="E64" s="84" t="s">
        <v>231</v>
      </c>
      <c r="F64" s="84">
        <v>47</v>
      </c>
      <c r="G64" s="84">
        <v>24</v>
      </c>
      <c r="H64" s="84" t="s">
        <v>129</v>
      </c>
    </row>
    <row r="65" spans="1:8" x14ac:dyDescent="0.3">
      <c r="A65" s="81">
        <v>45255</v>
      </c>
      <c r="B65" s="82">
        <v>2023</v>
      </c>
      <c r="C65" s="82" t="s">
        <v>229</v>
      </c>
      <c r="D65" s="82">
        <v>11</v>
      </c>
      <c r="E65" s="82" t="s">
        <v>231</v>
      </c>
      <c r="F65" s="82">
        <v>47</v>
      </c>
      <c r="G65" s="82">
        <v>25</v>
      </c>
      <c r="H65" s="82" t="s">
        <v>131</v>
      </c>
    </row>
    <row r="66" spans="1:8" x14ac:dyDescent="0.3">
      <c r="A66" s="83">
        <v>45256</v>
      </c>
      <c r="B66" s="84">
        <v>2023</v>
      </c>
      <c r="C66" s="84" t="s">
        <v>229</v>
      </c>
      <c r="D66" s="84">
        <v>11</v>
      </c>
      <c r="E66" s="84" t="s">
        <v>231</v>
      </c>
      <c r="F66" s="84">
        <v>47</v>
      </c>
      <c r="G66" s="84">
        <v>26</v>
      </c>
      <c r="H66" s="84" t="s">
        <v>133</v>
      </c>
    </row>
    <row r="67" spans="1:8" x14ac:dyDescent="0.3">
      <c r="A67" s="81">
        <v>45257</v>
      </c>
      <c r="B67" s="82">
        <v>2023</v>
      </c>
      <c r="C67" s="82" t="s">
        <v>229</v>
      </c>
      <c r="D67" s="82">
        <v>11</v>
      </c>
      <c r="E67" s="82" t="s">
        <v>231</v>
      </c>
      <c r="F67" s="82">
        <v>48</v>
      </c>
      <c r="G67" s="82">
        <v>27</v>
      </c>
      <c r="H67" s="82" t="s">
        <v>121</v>
      </c>
    </row>
    <row r="68" spans="1:8" x14ac:dyDescent="0.3">
      <c r="A68" s="83">
        <v>45258</v>
      </c>
      <c r="B68" s="84">
        <v>2023</v>
      </c>
      <c r="C68" s="84" t="s">
        <v>229</v>
      </c>
      <c r="D68" s="84">
        <v>11</v>
      </c>
      <c r="E68" s="84" t="s">
        <v>231</v>
      </c>
      <c r="F68" s="84">
        <v>48</v>
      </c>
      <c r="G68" s="84">
        <v>28</v>
      </c>
      <c r="H68" s="84" t="s">
        <v>123</v>
      </c>
    </row>
    <row r="69" spans="1:8" x14ac:dyDescent="0.3">
      <c r="A69" s="81">
        <v>45259</v>
      </c>
      <c r="B69" s="82">
        <v>2023</v>
      </c>
      <c r="C69" s="82" t="s">
        <v>229</v>
      </c>
      <c r="D69" s="82">
        <v>11</v>
      </c>
      <c r="E69" s="82" t="s">
        <v>231</v>
      </c>
      <c r="F69" s="82">
        <v>48</v>
      </c>
      <c r="G69" s="82">
        <v>29</v>
      </c>
      <c r="H69" s="82" t="s">
        <v>125</v>
      </c>
    </row>
    <row r="70" spans="1:8" x14ac:dyDescent="0.3">
      <c r="A70" s="83">
        <v>45260</v>
      </c>
      <c r="B70" s="84">
        <v>2023</v>
      </c>
      <c r="C70" s="84" t="s">
        <v>229</v>
      </c>
      <c r="D70" s="84">
        <v>11</v>
      </c>
      <c r="E70" s="84" t="s">
        <v>231</v>
      </c>
      <c r="F70" s="84">
        <v>48</v>
      </c>
      <c r="G70" s="84">
        <v>30</v>
      </c>
      <c r="H70" s="84" t="s">
        <v>127</v>
      </c>
    </row>
    <row r="71" spans="1:8" x14ac:dyDescent="0.3">
      <c r="A71" s="81">
        <v>45261</v>
      </c>
      <c r="B71" s="82">
        <v>2023</v>
      </c>
      <c r="C71" s="82" t="s">
        <v>229</v>
      </c>
      <c r="D71" s="82">
        <v>12</v>
      </c>
      <c r="E71" s="82" t="s">
        <v>232</v>
      </c>
      <c r="F71" s="82">
        <v>48</v>
      </c>
      <c r="G71" s="82">
        <v>1</v>
      </c>
      <c r="H71" s="82" t="s">
        <v>129</v>
      </c>
    </row>
    <row r="72" spans="1:8" x14ac:dyDescent="0.3">
      <c r="A72" s="83">
        <v>45262</v>
      </c>
      <c r="B72" s="84">
        <v>2023</v>
      </c>
      <c r="C72" s="84" t="s">
        <v>229</v>
      </c>
      <c r="D72" s="84">
        <v>12</v>
      </c>
      <c r="E72" s="84" t="s">
        <v>232</v>
      </c>
      <c r="F72" s="84">
        <v>48</v>
      </c>
      <c r="G72" s="84">
        <v>2</v>
      </c>
      <c r="H72" s="84" t="s">
        <v>131</v>
      </c>
    </row>
    <row r="73" spans="1:8" x14ac:dyDescent="0.3">
      <c r="A73" s="81">
        <v>45263</v>
      </c>
      <c r="B73" s="82">
        <v>2023</v>
      </c>
      <c r="C73" s="82" t="s">
        <v>229</v>
      </c>
      <c r="D73" s="82">
        <v>12</v>
      </c>
      <c r="E73" s="82" t="s">
        <v>232</v>
      </c>
      <c r="F73" s="82">
        <v>48</v>
      </c>
      <c r="G73" s="82">
        <v>3</v>
      </c>
      <c r="H73" s="82" t="s">
        <v>133</v>
      </c>
    </row>
    <row r="74" spans="1:8" x14ac:dyDescent="0.3">
      <c r="A74" s="83">
        <v>45264</v>
      </c>
      <c r="B74" s="84">
        <v>2023</v>
      </c>
      <c r="C74" s="84" t="s">
        <v>229</v>
      </c>
      <c r="D74" s="84">
        <v>12</v>
      </c>
      <c r="E74" s="84" t="s">
        <v>232</v>
      </c>
      <c r="F74" s="84">
        <v>49</v>
      </c>
      <c r="G74" s="84">
        <v>4</v>
      </c>
      <c r="H74" s="84" t="s">
        <v>121</v>
      </c>
    </row>
    <row r="75" spans="1:8" x14ac:dyDescent="0.3">
      <c r="A75" s="81">
        <v>45265</v>
      </c>
      <c r="B75" s="82">
        <v>2023</v>
      </c>
      <c r="C75" s="82" t="s">
        <v>229</v>
      </c>
      <c r="D75" s="82">
        <v>12</v>
      </c>
      <c r="E75" s="82" t="s">
        <v>232</v>
      </c>
      <c r="F75" s="82">
        <v>49</v>
      </c>
      <c r="G75" s="82">
        <v>5</v>
      </c>
      <c r="H75" s="82" t="s">
        <v>123</v>
      </c>
    </row>
    <row r="76" spans="1:8" x14ac:dyDescent="0.3">
      <c r="A76" s="83">
        <v>45266</v>
      </c>
      <c r="B76" s="84">
        <v>2023</v>
      </c>
      <c r="C76" s="84" t="s">
        <v>229</v>
      </c>
      <c r="D76" s="84">
        <v>12</v>
      </c>
      <c r="E76" s="84" t="s">
        <v>232</v>
      </c>
      <c r="F76" s="84">
        <v>49</v>
      </c>
      <c r="G76" s="84">
        <v>6</v>
      </c>
      <c r="H76" s="84" t="s">
        <v>125</v>
      </c>
    </row>
    <row r="77" spans="1:8" x14ac:dyDescent="0.3">
      <c r="A77" s="81">
        <v>45267</v>
      </c>
      <c r="B77" s="82">
        <v>2023</v>
      </c>
      <c r="C77" s="82" t="s">
        <v>229</v>
      </c>
      <c r="D77" s="82">
        <v>12</v>
      </c>
      <c r="E77" s="82" t="s">
        <v>232</v>
      </c>
      <c r="F77" s="82">
        <v>49</v>
      </c>
      <c r="G77" s="82">
        <v>7</v>
      </c>
      <c r="H77" s="82" t="s">
        <v>127</v>
      </c>
    </row>
    <row r="78" spans="1:8" x14ac:dyDescent="0.3">
      <c r="A78" s="83">
        <v>45268</v>
      </c>
      <c r="B78" s="84">
        <v>2023</v>
      </c>
      <c r="C78" s="84" t="s">
        <v>229</v>
      </c>
      <c r="D78" s="84">
        <v>12</v>
      </c>
      <c r="E78" s="84" t="s">
        <v>232</v>
      </c>
      <c r="F78" s="84">
        <v>49</v>
      </c>
      <c r="G78" s="84">
        <v>8</v>
      </c>
      <c r="H78" s="84" t="s">
        <v>129</v>
      </c>
    </row>
    <row r="79" spans="1:8" x14ac:dyDescent="0.3">
      <c r="A79" s="81">
        <v>45269</v>
      </c>
      <c r="B79" s="82">
        <v>2023</v>
      </c>
      <c r="C79" s="82" t="s">
        <v>229</v>
      </c>
      <c r="D79" s="82">
        <v>12</v>
      </c>
      <c r="E79" s="82" t="s">
        <v>232</v>
      </c>
      <c r="F79" s="82">
        <v>49</v>
      </c>
      <c r="G79" s="82">
        <v>9</v>
      </c>
      <c r="H79" s="82" t="s">
        <v>131</v>
      </c>
    </row>
    <row r="80" spans="1:8" x14ac:dyDescent="0.3">
      <c r="A80" s="83">
        <v>45270</v>
      </c>
      <c r="B80" s="84">
        <v>2023</v>
      </c>
      <c r="C80" s="84" t="s">
        <v>229</v>
      </c>
      <c r="D80" s="84">
        <v>12</v>
      </c>
      <c r="E80" s="84" t="s">
        <v>232</v>
      </c>
      <c r="F80" s="84">
        <v>49</v>
      </c>
      <c r="G80" s="84">
        <v>10</v>
      </c>
      <c r="H80" s="84" t="s">
        <v>133</v>
      </c>
    </row>
    <row r="81" spans="1:8" x14ac:dyDescent="0.3">
      <c r="A81" s="81">
        <v>45271</v>
      </c>
      <c r="B81" s="82">
        <v>2023</v>
      </c>
      <c r="C81" s="82" t="s">
        <v>229</v>
      </c>
      <c r="D81" s="82">
        <v>12</v>
      </c>
      <c r="E81" s="82" t="s">
        <v>232</v>
      </c>
      <c r="F81" s="82">
        <v>50</v>
      </c>
      <c r="G81" s="82">
        <v>11</v>
      </c>
      <c r="H81" s="82" t="s">
        <v>121</v>
      </c>
    </row>
    <row r="82" spans="1:8" x14ac:dyDescent="0.3">
      <c r="A82" s="83">
        <v>45272</v>
      </c>
      <c r="B82" s="84">
        <v>2023</v>
      </c>
      <c r="C82" s="84" t="s">
        <v>229</v>
      </c>
      <c r="D82" s="84">
        <v>12</v>
      </c>
      <c r="E82" s="84" t="s">
        <v>232</v>
      </c>
      <c r="F82" s="84">
        <v>50</v>
      </c>
      <c r="G82" s="84">
        <v>12</v>
      </c>
      <c r="H82" s="84" t="s">
        <v>123</v>
      </c>
    </row>
    <row r="83" spans="1:8" x14ac:dyDescent="0.3">
      <c r="A83" s="81">
        <v>45273</v>
      </c>
      <c r="B83" s="82">
        <v>2023</v>
      </c>
      <c r="C83" s="82" t="s">
        <v>229</v>
      </c>
      <c r="D83" s="82">
        <v>12</v>
      </c>
      <c r="E83" s="82" t="s">
        <v>232</v>
      </c>
      <c r="F83" s="82">
        <v>50</v>
      </c>
      <c r="G83" s="82">
        <v>13</v>
      </c>
      <c r="H83" s="82" t="s">
        <v>125</v>
      </c>
    </row>
    <row r="84" spans="1:8" x14ac:dyDescent="0.3">
      <c r="A84" s="83">
        <v>45274</v>
      </c>
      <c r="B84" s="84">
        <v>2023</v>
      </c>
      <c r="C84" s="84" t="s">
        <v>229</v>
      </c>
      <c r="D84" s="84">
        <v>12</v>
      </c>
      <c r="E84" s="84" t="s">
        <v>232</v>
      </c>
      <c r="F84" s="84">
        <v>50</v>
      </c>
      <c r="G84" s="84">
        <v>14</v>
      </c>
      <c r="H84" s="84" t="s">
        <v>127</v>
      </c>
    </row>
    <row r="85" spans="1:8" x14ac:dyDescent="0.3">
      <c r="A85" s="81">
        <v>45275</v>
      </c>
      <c r="B85" s="82">
        <v>2023</v>
      </c>
      <c r="C85" s="82" t="s">
        <v>229</v>
      </c>
      <c r="D85" s="82">
        <v>12</v>
      </c>
      <c r="E85" s="82" t="s">
        <v>232</v>
      </c>
      <c r="F85" s="82">
        <v>50</v>
      </c>
      <c r="G85" s="82">
        <v>15</v>
      </c>
      <c r="H85" s="82" t="s">
        <v>129</v>
      </c>
    </row>
    <row r="86" spans="1:8" x14ac:dyDescent="0.3">
      <c r="A86" s="83">
        <v>45276</v>
      </c>
      <c r="B86" s="84">
        <v>2023</v>
      </c>
      <c r="C86" s="84" t="s">
        <v>229</v>
      </c>
      <c r="D86" s="84">
        <v>12</v>
      </c>
      <c r="E86" s="84" t="s">
        <v>232</v>
      </c>
      <c r="F86" s="84">
        <v>50</v>
      </c>
      <c r="G86" s="84">
        <v>16</v>
      </c>
      <c r="H86" s="84" t="s">
        <v>131</v>
      </c>
    </row>
    <row r="87" spans="1:8" x14ac:dyDescent="0.3">
      <c r="A87" s="81">
        <v>45277</v>
      </c>
      <c r="B87" s="82">
        <v>2023</v>
      </c>
      <c r="C87" s="82" t="s">
        <v>229</v>
      </c>
      <c r="D87" s="82">
        <v>12</v>
      </c>
      <c r="E87" s="82" t="s">
        <v>232</v>
      </c>
      <c r="F87" s="82">
        <v>50</v>
      </c>
      <c r="G87" s="82">
        <v>17</v>
      </c>
      <c r="H87" s="82" t="s">
        <v>133</v>
      </c>
    </row>
    <row r="88" spans="1:8" x14ac:dyDescent="0.3">
      <c r="A88" s="83">
        <v>45278</v>
      </c>
      <c r="B88" s="84">
        <v>2023</v>
      </c>
      <c r="C88" s="84" t="s">
        <v>229</v>
      </c>
      <c r="D88" s="84">
        <v>12</v>
      </c>
      <c r="E88" s="84" t="s">
        <v>232</v>
      </c>
      <c r="F88" s="84">
        <v>51</v>
      </c>
      <c r="G88" s="84">
        <v>18</v>
      </c>
      <c r="H88" s="84" t="s">
        <v>121</v>
      </c>
    </row>
    <row r="89" spans="1:8" x14ac:dyDescent="0.3">
      <c r="A89" s="81">
        <v>45279</v>
      </c>
      <c r="B89" s="82">
        <v>2023</v>
      </c>
      <c r="C89" s="82" t="s">
        <v>229</v>
      </c>
      <c r="D89" s="82">
        <v>12</v>
      </c>
      <c r="E89" s="82" t="s">
        <v>232</v>
      </c>
      <c r="F89" s="82">
        <v>51</v>
      </c>
      <c r="G89" s="82">
        <v>19</v>
      </c>
      <c r="H89" s="82" t="s">
        <v>123</v>
      </c>
    </row>
    <row r="90" spans="1:8" x14ac:dyDescent="0.3">
      <c r="A90" s="83">
        <v>45280</v>
      </c>
      <c r="B90" s="84">
        <v>2023</v>
      </c>
      <c r="C90" s="84" t="s">
        <v>229</v>
      </c>
      <c r="D90" s="84">
        <v>12</v>
      </c>
      <c r="E90" s="84" t="s">
        <v>232</v>
      </c>
      <c r="F90" s="84">
        <v>51</v>
      </c>
      <c r="G90" s="84">
        <v>20</v>
      </c>
      <c r="H90" s="84" t="s">
        <v>125</v>
      </c>
    </row>
    <row r="91" spans="1:8" x14ac:dyDescent="0.3">
      <c r="A91" s="81">
        <v>45281</v>
      </c>
      <c r="B91" s="82">
        <v>2023</v>
      </c>
      <c r="C91" s="82" t="s">
        <v>229</v>
      </c>
      <c r="D91" s="82">
        <v>12</v>
      </c>
      <c r="E91" s="82" t="s">
        <v>232</v>
      </c>
      <c r="F91" s="82">
        <v>51</v>
      </c>
      <c r="G91" s="82">
        <v>21</v>
      </c>
      <c r="H91" s="82" t="s">
        <v>127</v>
      </c>
    </row>
    <row r="92" spans="1:8" x14ac:dyDescent="0.3">
      <c r="A92" s="83">
        <v>45282</v>
      </c>
      <c r="B92" s="84">
        <v>2023</v>
      </c>
      <c r="C92" s="84" t="s">
        <v>229</v>
      </c>
      <c r="D92" s="84">
        <v>12</v>
      </c>
      <c r="E92" s="84" t="s">
        <v>232</v>
      </c>
      <c r="F92" s="84">
        <v>51</v>
      </c>
      <c r="G92" s="84">
        <v>22</v>
      </c>
      <c r="H92" s="84" t="s">
        <v>129</v>
      </c>
    </row>
    <row r="93" spans="1:8" x14ac:dyDescent="0.3">
      <c r="A93" s="81">
        <v>45283</v>
      </c>
      <c r="B93" s="82">
        <v>2023</v>
      </c>
      <c r="C93" s="82" t="s">
        <v>229</v>
      </c>
      <c r="D93" s="82">
        <v>12</v>
      </c>
      <c r="E93" s="82" t="s">
        <v>232</v>
      </c>
      <c r="F93" s="82">
        <v>51</v>
      </c>
      <c r="G93" s="82">
        <v>23</v>
      </c>
      <c r="H93" s="82" t="s">
        <v>131</v>
      </c>
    </row>
    <row r="94" spans="1:8" x14ac:dyDescent="0.3">
      <c r="A94" s="83">
        <v>45284</v>
      </c>
      <c r="B94" s="84">
        <v>2023</v>
      </c>
      <c r="C94" s="84" t="s">
        <v>229</v>
      </c>
      <c r="D94" s="84">
        <v>12</v>
      </c>
      <c r="E94" s="84" t="s">
        <v>232</v>
      </c>
      <c r="F94" s="84">
        <v>51</v>
      </c>
      <c r="G94" s="84">
        <v>24</v>
      </c>
      <c r="H94" s="84" t="s">
        <v>133</v>
      </c>
    </row>
    <row r="95" spans="1:8" x14ac:dyDescent="0.3">
      <c r="A95" s="81">
        <v>45285</v>
      </c>
      <c r="B95" s="82">
        <v>2023</v>
      </c>
      <c r="C95" s="82" t="s">
        <v>229</v>
      </c>
      <c r="D95" s="82">
        <v>12</v>
      </c>
      <c r="E95" s="82" t="s">
        <v>232</v>
      </c>
      <c r="F95" s="82">
        <v>52</v>
      </c>
      <c r="G95" s="82">
        <v>25</v>
      </c>
      <c r="H95" s="82" t="s">
        <v>121</v>
      </c>
    </row>
    <row r="96" spans="1:8" x14ac:dyDescent="0.3">
      <c r="A96" s="83">
        <v>45286</v>
      </c>
      <c r="B96" s="84">
        <v>2023</v>
      </c>
      <c r="C96" s="84" t="s">
        <v>229</v>
      </c>
      <c r="D96" s="84">
        <v>12</v>
      </c>
      <c r="E96" s="84" t="s">
        <v>232</v>
      </c>
      <c r="F96" s="84">
        <v>52</v>
      </c>
      <c r="G96" s="84">
        <v>26</v>
      </c>
      <c r="H96" s="84" t="s">
        <v>123</v>
      </c>
    </row>
    <row r="97" spans="1:8" x14ac:dyDescent="0.3">
      <c r="A97" s="81">
        <v>45287</v>
      </c>
      <c r="B97" s="82">
        <v>2023</v>
      </c>
      <c r="C97" s="82" t="s">
        <v>229</v>
      </c>
      <c r="D97" s="82">
        <v>12</v>
      </c>
      <c r="E97" s="82" t="s">
        <v>232</v>
      </c>
      <c r="F97" s="82">
        <v>52</v>
      </c>
      <c r="G97" s="82">
        <v>27</v>
      </c>
      <c r="H97" s="82" t="s">
        <v>125</v>
      </c>
    </row>
    <row r="98" spans="1:8" x14ac:dyDescent="0.3">
      <c r="A98" s="83">
        <v>45288</v>
      </c>
      <c r="B98" s="84">
        <v>2023</v>
      </c>
      <c r="C98" s="84" t="s">
        <v>229</v>
      </c>
      <c r="D98" s="84">
        <v>12</v>
      </c>
      <c r="E98" s="84" t="s">
        <v>232</v>
      </c>
      <c r="F98" s="84">
        <v>52</v>
      </c>
      <c r="G98" s="84">
        <v>28</v>
      </c>
      <c r="H98" s="84" t="s">
        <v>127</v>
      </c>
    </row>
    <row r="99" spans="1:8" x14ac:dyDescent="0.3">
      <c r="A99" s="81">
        <v>45289</v>
      </c>
      <c r="B99" s="82">
        <v>2023</v>
      </c>
      <c r="C99" s="82" t="s">
        <v>229</v>
      </c>
      <c r="D99" s="82">
        <v>12</v>
      </c>
      <c r="E99" s="82" t="s">
        <v>232</v>
      </c>
      <c r="F99" s="82">
        <v>52</v>
      </c>
      <c r="G99" s="82">
        <v>29</v>
      </c>
      <c r="H99" s="82" t="s">
        <v>129</v>
      </c>
    </row>
    <row r="100" spans="1:8" x14ac:dyDescent="0.3">
      <c r="A100" s="83">
        <v>45290</v>
      </c>
      <c r="B100" s="84">
        <v>2023</v>
      </c>
      <c r="C100" s="84" t="s">
        <v>229</v>
      </c>
      <c r="D100" s="84">
        <v>12</v>
      </c>
      <c r="E100" s="84" t="s">
        <v>232</v>
      </c>
      <c r="F100" s="84">
        <v>52</v>
      </c>
      <c r="G100" s="84">
        <v>30</v>
      </c>
      <c r="H100" s="84" t="s">
        <v>131</v>
      </c>
    </row>
    <row r="101" spans="1:8" x14ac:dyDescent="0.3">
      <c r="A101" s="81">
        <v>45291</v>
      </c>
      <c r="B101" s="82">
        <v>2023</v>
      </c>
      <c r="C101" s="82" t="s">
        <v>229</v>
      </c>
      <c r="D101" s="82">
        <v>12</v>
      </c>
      <c r="E101" s="82" t="s">
        <v>232</v>
      </c>
      <c r="F101" s="82">
        <v>52</v>
      </c>
      <c r="G101" s="82">
        <v>31</v>
      </c>
      <c r="H101" s="82" t="s">
        <v>133</v>
      </c>
    </row>
    <row r="102" spans="1:8" x14ac:dyDescent="0.3">
      <c r="A102" s="83">
        <v>45292</v>
      </c>
      <c r="B102" s="84">
        <v>2024</v>
      </c>
      <c r="C102" s="84" t="s">
        <v>233</v>
      </c>
      <c r="D102" s="84">
        <v>1</v>
      </c>
      <c r="E102" s="84" t="s">
        <v>234</v>
      </c>
      <c r="F102" s="84">
        <v>1</v>
      </c>
      <c r="G102" s="84">
        <v>1</v>
      </c>
      <c r="H102" s="84" t="s">
        <v>121</v>
      </c>
    </row>
    <row r="103" spans="1:8" x14ac:dyDescent="0.3">
      <c r="A103" s="81">
        <v>45293</v>
      </c>
      <c r="B103" s="82">
        <v>2024</v>
      </c>
      <c r="C103" s="82" t="s">
        <v>233</v>
      </c>
      <c r="D103" s="82">
        <v>1</v>
      </c>
      <c r="E103" s="82" t="s">
        <v>234</v>
      </c>
      <c r="F103" s="82">
        <v>1</v>
      </c>
      <c r="G103" s="82">
        <v>2</v>
      </c>
      <c r="H103" s="82" t="s">
        <v>123</v>
      </c>
    </row>
    <row r="104" spans="1:8" x14ac:dyDescent="0.3">
      <c r="A104" s="83">
        <v>45294</v>
      </c>
      <c r="B104" s="84">
        <v>2024</v>
      </c>
      <c r="C104" s="84" t="s">
        <v>233</v>
      </c>
      <c r="D104" s="84">
        <v>1</v>
      </c>
      <c r="E104" s="84" t="s">
        <v>234</v>
      </c>
      <c r="F104" s="84">
        <v>1</v>
      </c>
      <c r="G104" s="84">
        <v>3</v>
      </c>
      <c r="H104" s="84" t="s">
        <v>125</v>
      </c>
    </row>
    <row r="105" spans="1:8" x14ac:dyDescent="0.3">
      <c r="A105" s="81">
        <v>45295</v>
      </c>
      <c r="B105" s="82">
        <v>2024</v>
      </c>
      <c r="C105" s="82" t="s">
        <v>233</v>
      </c>
      <c r="D105" s="82">
        <v>1</v>
      </c>
      <c r="E105" s="82" t="s">
        <v>234</v>
      </c>
      <c r="F105" s="82">
        <v>1</v>
      </c>
      <c r="G105" s="82">
        <v>4</v>
      </c>
      <c r="H105" s="82" t="s">
        <v>127</v>
      </c>
    </row>
    <row r="106" spans="1:8" x14ac:dyDescent="0.3">
      <c r="A106" s="83">
        <v>45296</v>
      </c>
      <c r="B106" s="84">
        <v>2024</v>
      </c>
      <c r="C106" s="84" t="s">
        <v>233</v>
      </c>
      <c r="D106" s="84">
        <v>1</v>
      </c>
      <c r="E106" s="84" t="s">
        <v>234</v>
      </c>
      <c r="F106" s="84">
        <v>1</v>
      </c>
      <c r="G106" s="84">
        <v>5</v>
      </c>
      <c r="H106" s="84" t="s">
        <v>129</v>
      </c>
    </row>
    <row r="107" spans="1:8" x14ac:dyDescent="0.3">
      <c r="A107" s="81">
        <v>45297</v>
      </c>
      <c r="B107" s="82">
        <v>2024</v>
      </c>
      <c r="C107" s="82" t="s">
        <v>233</v>
      </c>
      <c r="D107" s="82">
        <v>1</v>
      </c>
      <c r="E107" s="82" t="s">
        <v>234</v>
      </c>
      <c r="F107" s="82">
        <v>1</v>
      </c>
      <c r="G107" s="82">
        <v>6</v>
      </c>
      <c r="H107" s="82" t="s">
        <v>131</v>
      </c>
    </row>
    <row r="108" spans="1:8" x14ac:dyDescent="0.3">
      <c r="A108" s="83">
        <v>45298</v>
      </c>
      <c r="B108" s="84">
        <v>2024</v>
      </c>
      <c r="C108" s="84" t="s">
        <v>233</v>
      </c>
      <c r="D108" s="84">
        <v>1</v>
      </c>
      <c r="E108" s="84" t="s">
        <v>234</v>
      </c>
      <c r="F108" s="84">
        <v>1</v>
      </c>
      <c r="G108" s="84">
        <v>7</v>
      </c>
      <c r="H108" s="84" t="s">
        <v>133</v>
      </c>
    </row>
    <row r="109" spans="1:8" x14ac:dyDescent="0.3">
      <c r="A109" s="81">
        <v>45299</v>
      </c>
      <c r="B109" s="82">
        <v>2024</v>
      </c>
      <c r="C109" s="82" t="s">
        <v>233</v>
      </c>
      <c r="D109" s="82">
        <v>1</v>
      </c>
      <c r="E109" s="82" t="s">
        <v>234</v>
      </c>
      <c r="F109" s="82">
        <v>2</v>
      </c>
      <c r="G109" s="82">
        <v>8</v>
      </c>
      <c r="H109" s="82" t="s">
        <v>121</v>
      </c>
    </row>
    <row r="110" spans="1:8" x14ac:dyDescent="0.3">
      <c r="A110" s="83">
        <v>45300</v>
      </c>
      <c r="B110" s="84">
        <v>2024</v>
      </c>
      <c r="C110" s="84" t="s">
        <v>233</v>
      </c>
      <c r="D110" s="84">
        <v>1</v>
      </c>
      <c r="E110" s="84" t="s">
        <v>234</v>
      </c>
      <c r="F110" s="84">
        <v>2</v>
      </c>
      <c r="G110" s="84">
        <v>9</v>
      </c>
      <c r="H110" s="84" t="s">
        <v>123</v>
      </c>
    </row>
    <row r="111" spans="1:8" x14ac:dyDescent="0.3">
      <c r="A111" s="81">
        <v>45301</v>
      </c>
      <c r="B111" s="82">
        <v>2024</v>
      </c>
      <c r="C111" s="82" t="s">
        <v>233</v>
      </c>
      <c r="D111" s="82">
        <v>1</v>
      </c>
      <c r="E111" s="82" t="s">
        <v>234</v>
      </c>
      <c r="F111" s="82">
        <v>2</v>
      </c>
      <c r="G111" s="82">
        <v>10</v>
      </c>
      <c r="H111" s="82" t="s">
        <v>125</v>
      </c>
    </row>
    <row r="112" spans="1:8" x14ac:dyDescent="0.3">
      <c r="A112" s="83">
        <v>45302</v>
      </c>
      <c r="B112" s="84">
        <v>2024</v>
      </c>
      <c r="C112" s="84" t="s">
        <v>233</v>
      </c>
      <c r="D112" s="84">
        <v>1</v>
      </c>
      <c r="E112" s="84" t="s">
        <v>234</v>
      </c>
      <c r="F112" s="84">
        <v>2</v>
      </c>
      <c r="G112" s="84">
        <v>11</v>
      </c>
      <c r="H112" s="84" t="s">
        <v>127</v>
      </c>
    </row>
    <row r="113" spans="1:8" x14ac:dyDescent="0.3">
      <c r="A113" s="81">
        <v>45303</v>
      </c>
      <c r="B113" s="82">
        <v>2024</v>
      </c>
      <c r="C113" s="82" t="s">
        <v>233</v>
      </c>
      <c r="D113" s="82">
        <v>1</v>
      </c>
      <c r="E113" s="82" t="s">
        <v>234</v>
      </c>
      <c r="F113" s="82">
        <v>2</v>
      </c>
      <c r="G113" s="82">
        <v>12</v>
      </c>
      <c r="H113" s="82" t="s">
        <v>129</v>
      </c>
    </row>
    <row r="114" spans="1:8" x14ac:dyDescent="0.3">
      <c r="A114" s="83">
        <v>45304</v>
      </c>
      <c r="B114" s="84">
        <v>2024</v>
      </c>
      <c r="C114" s="84" t="s">
        <v>233</v>
      </c>
      <c r="D114" s="84">
        <v>1</v>
      </c>
      <c r="E114" s="84" t="s">
        <v>234</v>
      </c>
      <c r="F114" s="84">
        <v>2</v>
      </c>
      <c r="G114" s="84">
        <v>13</v>
      </c>
      <c r="H114" s="84" t="s">
        <v>131</v>
      </c>
    </row>
    <row r="115" spans="1:8" x14ac:dyDescent="0.3">
      <c r="A115" s="81">
        <v>45305</v>
      </c>
      <c r="B115" s="82">
        <v>2024</v>
      </c>
      <c r="C115" s="82" t="s">
        <v>233</v>
      </c>
      <c r="D115" s="82">
        <v>1</v>
      </c>
      <c r="E115" s="82" t="s">
        <v>234</v>
      </c>
      <c r="F115" s="82">
        <v>2</v>
      </c>
      <c r="G115" s="82">
        <v>14</v>
      </c>
      <c r="H115" s="82" t="s">
        <v>133</v>
      </c>
    </row>
    <row r="116" spans="1:8" x14ac:dyDescent="0.3">
      <c r="A116" s="83">
        <v>45306</v>
      </c>
      <c r="B116" s="84">
        <v>2024</v>
      </c>
      <c r="C116" s="84" t="s">
        <v>233</v>
      </c>
      <c r="D116" s="84">
        <v>1</v>
      </c>
      <c r="E116" s="84" t="s">
        <v>234</v>
      </c>
      <c r="F116" s="84">
        <v>3</v>
      </c>
      <c r="G116" s="84">
        <v>15</v>
      </c>
      <c r="H116" s="84" t="s">
        <v>121</v>
      </c>
    </row>
    <row r="117" spans="1:8" x14ac:dyDescent="0.3">
      <c r="A117" s="81">
        <v>45307</v>
      </c>
      <c r="B117" s="82">
        <v>2024</v>
      </c>
      <c r="C117" s="82" t="s">
        <v>233</v>
      </c>
      <c r="D117" s="82">
        <v>1</v>
      </c>
      <c r="E117" s="82" t="s">
        <v>234</v>
      </c>
      <c r="F117" s="82">
        <v>3</v>
      </c>
      <c r="G117" s="82">
        <v>16</v>
      </c>
      <c r="H117" s="82" t="s">
        <v>123</v>
      </c>
    </row>
    <row r="118" spans="1:8" x14ac:dyDescent="0.3">
      <c r="A118" s="83">
        <v>45308</v>
      </c>
      <c r="B118" s="84">
        <v>2024</v>
      </c>
      <c r="C118" s="84" t="s">
        <v>233</v>
      </c>
      <c r="D118" s="84">
        <v>1</v>
      </c>
      <c r="E118" s="84" t="s">
        <v>234</v>
      </c>
      <c r="F118" s="84">
        <v>3</v>
      </c>
      <c r="G118" s="84">
        <v>17</v>
      </c>
      <c r="H118" s="84" t="s">
        <v>125</v>
      </c>
    </row>
    <row r="119" spans="1:8" x14ac:dyDescent="0.3">
      <c r="A119" s="81">
        <v>45309</v>
      </c>
      <c r="B119" s="82">
        <v>2024</v>
      </c>
      <c r="C119" s="82" t="s">
        <v>233</v>
      </c>
      <c r="D119" s="82">
        <v>1</v>
      </c>
      <c r="E119" s="82" t="s">
        <v>234</v>
      </c>
      <c r="F119" s="82">
        <v>3</v>
      </c>
      <c r="G119" s="82">
        <v>18</v>
      </c>
      <c r="H119" s="82" t="s">
        <v>127</v>
      </c>
    </row>
    <row r="120" spans="1:8" x14ac:dyDescent="0.3">
      <c r="A120" s="83">
        <v>45310</v>
      </c>
      <c r="B120" s="84">
        <v>2024</v>
      </c>
      <c r="C120" s="84" t="s">
        <v>233</v>
      </c>
      <c r="D120" s="84">
        <v>1</v>
      </c>
      <c r="E120" s="84" t="s">
        <v>234</v>
      </c>
      <c r="F120" s="84">
        <v>3</v>
      </c>
      <c r="G120" s="84">
        <v>19</v>
      </c>
      <c r="H120" s="84" t="s">
        <v>129</v>
      </c>
    </row>
    <row r="121" spans="1:8" x14ac:dyDescent="0.3">
      <c r="A121" s="81">
        <v>45311</v>
      </c>
      <c r="B121" s="82">
        <v>2024</v>
      </c>
      <c r="C121" s="82" t="s">
        <v>233</v>
      </c>
      <c r="D121" s="82">
        <v>1</v>
      </c>
      <c r="E121" s="82" t="s">
        <v>234</v>
      </c>
      <c r="F121" s="82">
        <v>3</v>
      </c>
      <c r="G121" s="82">
        <v>20</v>
      </c>
      <c r="H121" s="82" t="s">
        <v>131</v>
      </c>
    </row>
    <row r="122" spans="1:8" x14ac:dyDescent="0.3">
      <c r="A122" s="83">
        <v>45312</v>
      </c>
      <c r="B122" s="84">
        <v>2024</v>
      </c>
      <c r="C122" s="84" t="s">
        <v>233</v>
      </c>
      <c r="D122" s="84">
        <v>1</v>
      </c>
      <c r="E122" s="84" t="s">
        <v>234</v>
      </c>
      <c r="F122" s="84">
        <v>3</v>
      </c>
      <c r="G122" s="84">
        <v>21</v>
      </c>
      <c r="H122" s="84" t="s">
        <v>133</v>
      </c>
    </row>
    <row r="123" spans="1:8" x14ac:dyDescent="0.3">
      <c r="A123" s="81">
        <v>45313</v>
      </c>
      <c r="B123" s="82">
        <v>2024</v>
      </c>
      <c r="C123" s="82" t="s">
        <v>233</v>
      </c>
      <c r="D123" s="82">
        <v>1</v>
      </c>
      <c r="E123" s="82" t="s">
        <v>234</v>
      </c>
      <c r="F123" s="82">
        <v>4</v>
      </c>
      <c r="G123" s="82">
        <v>22</v>
      </c>
      <c r="H123" s="82" t="s">
        <v>121</v>
      </c>
    </row>
    <row r="124" spans="1:8" x14ac:dyDescent="0.3">
      <c r="A124" s="83">
        <v>45314</v>
      </c>
      <c r="B124" s="84">
        <v>2024</v>
      </c>
      <c r="C124" s="84" t="s">
        <v>233</v>
      </c>
      <c r="D124" s="84">
        <v>1</v>
      </c>
      <c r="E124" s="84" t="s">
        <v>234</v>
      </c>
      <c r="F124" s="84">
        <v>4</v>
      </c>
      <c r="G124" s="84">
        <v>23</v>
      </c>
      <c r="H124" s="84" t="s">
        <v>123</v>
      </c>
    </row>
    <row r="125" spans="1:8" x14ac:dyDescent="0.3">
      <c r="A125" s="81">
        <v>45315</v>
      </c>
      <c r="B125" s="82">
        <v>2024</v>
      </c>
      <c r="C125" s="82" t="s">
        <v>233</v>
      </c>
      <c r="D125" s="82">
        <v>1</v>
      </c>
      <c r="E125" s="82" t="s">
        <v>234</v>
      </c>
      <c r="F125" s="82">
        <v>4</v>
      </c>
      <c r="G125" s="82">
        <v>24</v>
      </c>
      <c r="H125" s="82" t="s">
        <v>125</v>
      </c>
    </row>
    <row r="126" spans="1:8" x14ac:dyDescent="0.3">
      <c r="A126" s="83">
        <v>45316</v>
      </c>
      <c r="B126" s="84">
        <v>2024</v>
      </c>
      <c r="C126" s="84" t="s">
        <v>233</v>
      </c>
      <c r="D126" s="84">
        <v>1</v>
      </c>
      <c r="E126" s="84" t="s">
        <v>234</v>
      </c>
      <c r="F126" s="84">
        <v>4</v>
      </c>
      <c r="G126" s="84">
        <v>25</v>
      </c>
      <c r="H126" s="84" t="s">
        <v>127</v>
      </c>
    </row>
    <row r="127" spans="1:8" x14ac:dyDescent="0.3">
      <c r="A127" s="81">
        <v>45317</v>
      </c>
      <c r="B127" s="82">
        <v>2024</v>
      </c>
      <c r="C127" s="82" t="s">
        <v>233</v>
      </c>
      <c r="D127" s="82">
        <v>1</v>
      </c>
      <c r="E127" s="82" t="s">
        <v>234</v>
      </c>
      <c r="F127" s="82">
        <v>4</v>
      </c>
      <c r="G127" s="82">
        <v>26</v>
      </c>
      <c r="H127" s="82" t="s">
        <v>129</v>
      </c>
    </row>
    <row r="128" spans="1:8" x14ac:dyDescent="0.3">
      <c r="A128" s="83">
        <v>45318</v>
      </c>
      <c r="B128" s="84">
        <v>2024</v>
      </c>
      <c r="C128" s="84" t="s">
        <v>233</v>
      </c>
      <c r="D128" s="84">
        <v>1</v>
      </c>
      <c r="E128" s="84" t="s">
        <v>234</v>
      </c>
      <c r="F128" s="84">
        <v>4</v>
      </c>
      <c r="G128" s="84">
        <v>27</v>
      </c>
      <c r="H128" s="84" t="s">
        <v>131</v>
      </c>
    </row>
    <row r="129" spans="1:8" x14ac:dyDescent="0.3">
      <c r="A129" s="81">
        <v>45319</v>
      </c>
      <c r="B129" s="82">
        <v>2024</v>
      </c>
      <c r="C129" s="82" t="s">
        <v>233</v>
      </c>
      <c r="D129" s="82">
        <v>1</v>
      </c>
      <c r="E129" s="82" t="s">
        <v>234</v>
      </c>
      <c r="F129" s="82">
        <v>4</v>
      </c>
      <c r="G129" s="82">
        <v>28</v>
      </c>
      <c r="H129" s="82" t="s">
        <v>133</v>
      </c>
    </row>
    <row r="130" spans="1:8" x14ac:dyDescent="0.3">
      <c r="A130" s="83">
        <v>45320</v>
      </c>
      <c r="B130" s="84">
        <v>2024</v>
      </c>
      <c r="C130" s="84" t="s">
        <v>233</v>
      </c>
      <c r="D130" s="84">
        <v>1</v>
      </c>
      <c r="E130" s="84" t="s">
        <v>234</v>
      </c>
      <c r="F130" s="84">
        <v>5</v>
      </c>
      <c r="G130" s="84">
        <v>29</v>
      </c>
      <c r="H130" s="84" t="s">
        <v>121</v>
      </c>
    </row>
    <row r="131" spans="1:8" x14ac:dyDescent="0.3">
      <c r="A131" s="81">
        <v>45321</v>
      </c>
      <c r="B131" s="82">
        <v>2024</v>
      </c>
      <c r="C131" s="82" t="s">
        <v>233</v>
      </c>
      <c r="D131" s="82">
        <v>1</v>
      </c>
      <c r="E131" s="82" t="s">
        <v>234</v>
      </c>
      <c r="F131" s="82">
        <v>5</v>
      </c>
      <c r="G131" s="82">
        <v>30</v>
      </c>
      <c r="H131" s="82" t="s">
        <v>123</v>
      </c>
    </row>
    <row r="132" spans="1:8" x14ac:dyDescent="0.3">
      <c r="A132" s="83">
        <v>45322</v>
      </c>
      <c r="B132" s="84">
        <v>2024</v>
      </c>
      <c r="C132" s="84" t="s">
        <v>233</v>
      </c>
      <c r="D132" s="84">
        <v>1</v>
      </c>
      <c r="E132" s="84" t="s">
        <v>234</v>
      </c>
      <c r="F132" s="84">
        <v>5</v>
      </c>
      <c r="G132" s="84">
        <v>31</v>
      </c>
      <c r="H132" s="84" t="s">
        <v>125</v>
      </c>
    </row>
    <row r="133" spans="1:8" x14ac:dyDescent="0.3">
      <c r="A133" s="81">
        <v>45323</v>
      </c>
      <c r="B133" s="82">
        <v>2024</v>
      </c>
      <c r="C133" s="82" t="s">
        <v>233</v>
      </c>
      <c r="D133" s="82">
        <v>2</v>
      </c>
      <c r="E133" s="82" t="s">
        <v>235</v>
      </c>
      <c r="F133" s="82">
        <v>5</v>
      </c>
      <c r="G133" s="82">
        <v>1</v>
      </c>
      <c r="H133" s="82" t="s">
        <v>127</v>
      </c>
    </row>
    <row r="134" spans="1:8" x14ac:dyDescent="0.3">
      <c r="A134" s="83">
        <v>45324</v>
      </c>
      <c r="B134" s="84">
        <v>2024</v>
      </c>
      <c r="C134" s="84" t="s">
        <v>233</v>
      </c>
      <c r="D134" s="84">
        <v>2</v>
      </c>
      <c r="E134" s="84" t="s">
        <v>235</v>
      </c>
      <c r="F134" s="84">
        <v>5</v>
      </c>
      <c r="G134" s="84">
        <v>2</v>
      </c>
      <c r="H134" s="84" t="s">
        <v>129</v>
      </c>
    </row>
    <row r="135" spans="1:8" x14ac:dyDescent="0.3">
      <c r="A135" s="81">
        <v>45325</v>
      </c>
      <c r="B135" s="82">
        <v>2024</v>
      </c>
      <c r="C135" s="82" t="s">
        <v>233</v>
      </c>
      <c r="D135" s="82">
        <v>2</v>
      </c>
      <c r="E135" s="82" t="s">
        <v>235</v>
      </c>
      <c r="F135" s="82">
        <v>5</v>
      </c>
      <c r="G135" s="82">
        <v>3</v>
      </c>
      <c r="H135" s="82" t="s">
        <v>131</v>
      </c>
    </row>
    <row r="136" spans="1:8" x14ac:dyDescent="0.3">
      <c r="A136" s="83">
        <v>45326</v>
      </c>
      <c r="B136" s="84">
        <v>2024</v>
      </c>
      <c r="C136" s="84" t="s">
        <v>233</v>
      </c>
      <c r="D136" s="84">
        <v>2</v>
      </c>
      <c r="E136" s="84" t="s">
        <v>235</v>
      </c>
      <c r="F136" s="84">
        <v>5</v>
      </c>
      <c r="G136" s="84">
        <v>4</v>
      </c>
      <c r="H136" s="84" t="s">
        <v>133</v>
      </c>
    </row>
    <row r="137" spans="1:8" x14ac:dyDescent="0.3">
      <c r="A137" s="81">
        <v>45327</v>
      </c>
      <c r="B137" s="82">
        <v>2024</v>
      </c>
      <c r="C137" s="82" t="s">
        <v>233</v>
      </c>
      <c r="D137" s="82">
        <v>2</v>
      </c>
      <c r="E137" s="82" t="s">
        <v>235</v>
      </c>
      <c r="F137" s="82">
        <v>6</v>
      </c>
      <c r="G137" s="82">
        <v>5</v>
      </c>
      <c r="H137" s="82" t="s">
        <v>121</v>
      </c>
    </row>
    <row r="138" spans="1:8" x14ac:dyDescent="0.3">
      <c r="A138" s="83">
        <v>45328</v>
      </c>
      <c r="B138" s="84">
        <v>2024</v>
      </c>
      <c r="C138" s="84" t="s">
        <v>233</v>
      </c>
      <c r="D138" s="84">
        <v>2</v>
      </c>
      <c r="E138" s="84" t="s">
        <v>235</v>
      </c>
      <c r="F138" s="84">
        <v>6</v>
      </c>
      <c r="G138" s="84">
        <v>6</v>
      </c>
      <c r="H138" s="84" t="s">
        <v>123</v>
      </c>
    </row>
    <row r="139" spans="1:8" x14ac:dyDescent="0.3">
      <c r="A139" s="81">
        <v>45329</v>
      </c>
      <c r="B139" s="82">
        <v>2024</v>
      </c>
      <c r="C139" s="82" t="s">
        <v>233</v>
      </c>
      <c r="D139" s="82">
        <v>2</v>
      </c>
      <c r="E139" s="82" t="s">
        <v>235</v>
      </c>
      <c r="F139" s="82">
        <v>6</v>
      </c>
      <c r="G139" s="82">
        <v>7</v>
      </c>
      <c r="H139" s="82" t="s">
        <v>125</v>
      </c>
    </row>
    <row r="140" spans="1:8" x14ac:dyDescent="0.3">
      <c r="A140" s="83">
        <v>45330</v>
      </c>
      <c r="B140" s="84">
        <v>2024</v>
      </c>
      <c r="C140" s="84" t="s">
        <v>233</v>
      </c>
      <c r="D140" s="84">
        <v>2</v>
      </c>
      <c r="E140" s="84" t="s">
        <v>235</v>
      </c>
      <c r="F140" s="84">
        <v>6</v>
      </c>
      <c r="G140" s="84">
        <v>8</v>
      </c>
      <c r="H140" s="84" t="s">
        <v>127</v>
      </c>
    </row>
    <row r="141" spans="1:8" x14ac:dyDescent="0.3">
      <c r="A141" s="81">
        <v>45331</v>
      </c>
      <c r="B141" s="82">
        <v>2024</v>
      </c>
      <c r="C141" s="82" t="s">
        <v>233</v>
      </c>
      <c r="D141" s="82">
        <v>2</v>
      </c>
      <c r="E141" s="82" t="s">
        <v>235</v>
      </c>
      <c r="F141" s="82">
        <v>6</v>
      </c>
      <c r="G141" s="82">
        <v>9</v>
      </c>
      <c r="H141" s="82" t="s">
        <v>129</v>
      </c>
    </row>
    <row r="142" spans="1:8" x14ac:dyDescent="0.3">
      <c r="A142" s="83">
        <v>45332</v>
      </c>
      <c r="B142" s="84">
        <v>2024</v>
      </c>
      <c r="C142" s="84" t="s">
        <v>233</v>
      </c>
      <c r="D142" s="84">
        <v>2</v>
      </c>
      <c r="E142" s="84" t="s">
        <v>235</v>
      </c>
      <c r="F142" s="84">
        <v>6</v>
      </c>
      <c r="G142" s="84">
        <v>10</v>
      </c>
      <c r="H142" s="84" t="s">
        <v>131</v>
      </c>
    </row>
    <row r="143" spans="1:8" x14ac:dyDescent="0.3">
      <c r="A143" s="81">
        <v>45333</v>
      </c>
      <c r="B143" s="82">
        <v>2024</v>
      </c>
      <c r="C143" s="82" t="s">
        <v>233</v>
      </c>
      <c r="D143" s="82">
        <v>2</v>
      </c>
      <c r="E143" s="82" t="s">
        <v>235</v>
      </c>
      <c r="F143" s="82">
        <v>6</v>
      </c>
      <c r="G143" s="82">
        <v>11</v>
      </c>
      <c r="H143" s="82" t="s">
        <v>133</v>
      </c>
    </row>
    <row r="144" spans="1:8" x14ac:dyDescent="0.3">
      <c r="A144" s="83">
        <v>45334</v>
      </c>
      <c r="B144" s="84">
        <v>2024</v>
      </c>
      <c r="C144" s="84" t="s">
        <v>233</v>
      </c>
      <c r="D144" s="84">
        <v>2</v>
      </c>
      <c r="E144" s="84" t="s">
        <v>235</v>
      </c>
      <c r="F144" s="84">
        <v>7</v>
      </c>
      <c r="G144" s="84">
        <v>12</v>
      </c>
      <c r="H144" s="84" t="s">
        <v>121</v>
      </c>
    </row>
    <row r="145" spans="1:8" x14ac:dyDescent="0.3">
      <c r="A145" s="81">
        <v>45335</v>
      </c>
      <c r="B145" s="82">
        <v>2024</v>
      </c>
      <c r="C145" s="82" t="s">
        <v>233</v>
      </c>
      <c r="D145" s="82">
        <v>2</v>
      </c>
      <c r="E145" s="82" t="s">
        <v>235</v>
      </c>
      <c r="F145" s="82">
        <v>7</v>
      </c>
      <c r="G145" s="82">
        <v>13</v>
      </c>
      <c r="H145" s="82" t="s">
        <v>123</v>
      </c>
    </row>
    <row r="146" spans="1:8" x14ac:dyDescent="0.3">
      <c r="A146" s="83">
        <v>45336</v>
      </c>
      <c r="B146" s="84">
        <v>2024</v>
      </c>
      <c r="C146" s="84" t="s">
        <v>233</v>
      </c>
      <c r="D146" s="84">
        <v>2</v>
      </c>
      <c r="E146" s="84" t="s">
        <v>235</v>
      </c>
      <c r="F146" s="84">
        <v>7</v>
      </c>
      <c r="G146" s="84">
        <v>14</v>
      </c>
      <c r="H146" s="84" t="s">
        <v>125</v>
      </c>
    </row>
    <row r="147" spans="1:8" x14ac:dyDescent="0.3">
      <c r="A147" s="81">
        <v>45337</v>
      </c>
      <c r="B147" s="82">
        <v>2024</v>
      </c>
      <c r="C147" s="82" t="s">
        <v>233</v>
      </c>
      <c r="D147" s="82">
        <v>2</v>
      </c>
      <c r="E147" s="82" t="s">
        <v>235</v>
      </c>
      <c r="F147" s="82">
        <v>7</v>
      </c>
      <c r="G147" s="82">
        <v>15</v>
      </c>
      <c r="H147" s="82" t="s">
        <v>127</v>
      </c>
    </row>
    <row r="148" spans="1:8" x14ac:dyDescent="0.3">
      <c r="A148" s="83">
        <v>45338</v>
      </c>
      <c r="B148" s="84">
        <v>2024</v>
      </c>
      <c r="C148" s="84" t="s">
        <v>233</v>
      </c>
      <c r="D148" s="84">
        <v>2</v>
      </c>
      <c r="E148" s="84" t="s">
        <v>235</v>
      </c>
      <c r="F148" s="84">
        <v>7</v>
      </c>
      <c r="G148" s="84">
        <v>16</v>
      </c>
      <c r="H148" s="84" t="s">
        <v>129</v>
      </c>
    </row>
    <row r="149" spans="1:8" x14ac:dyDescent="0.3">
      <c r="A149" s="81">
        <v>45339</v>
      </c>
      <c r="B149" s="82">
        <v>2024</v>
      </c>
      <c r="C149" s="82" t="s">
        <v>233</v>
      </c>
      <c r="D149" s="82">
        <v>2</v>
      </c>
      <c r="E149" s="82" t="s">
        <v>235</v>
      </c>
      <c r="F149" s="82">
        <v>7</v>
      </c>
      <c r="G149" s="82">
        <v>17</v>
      </c>
      <c r="H149" s="82" t="s">
        <v>131</v>
      </c>
    </row>
    <row r="150" spans="1:8" x14ac:dyDescent="0.3">
      <c r="A150" s="83">
        <v>45340</v>
      </c>
      <c r="B150" s="84">
        <v>2024</v>
      </c>
      <c r="C150" s="84" t="s">
        <v>233</v>
      </c>
      <c r="D150" s="84">
        <v>2</v>
      </c>
      <c r="E150" s="84" t="s">
        <v>235</v>
      </c>
      <c r="F150" s="84">
        <v>7</v>
      </c>
      <c r="G150" s="84">
        <v>18</v>
      </c>
      <c r="H150" s="84" t="s">
        <v>133</v>
      </c>
    </row>
    <row r="151" spans="1:8" x14ac:dyDescent="0.3">
      <c r="A151" s="81">
        <v>45341</v>
      </c>
      <c r="B151" s="82">
        <v>2024</v>
      </c>
      <c r="C151" s="82" t="s">
        <v>233</v>
      </c>
      <c r="D151" s="82">
        <v>2</v>
      </c>
      <c r="E151" s="82" t="s">
        <v>235</v>
      </c>
      <c r="F151" s="82">
        <v>8</v>
      </c>
      <c r="G151" s="82">
        <v>19</v>
      </c>
      <c r="H151" s="82" t="s">
        <v>121</v>
      </c>
    </row>
    <row r="152" spans="1:8" x14ac:dyDescent="0.3">
      <c r="A152" s="83">
        <v>45342</v>
      </c>
      <c r="B152" s="84">
        <v>2024</v>
      </c>
      <c r="C152" s="84" t="s">
        <v>233</v>
      </c>
      <c r="D152" s="84">
        <v>2</v>
      </c>
      <c r="E152" s="84" t="s">
        <v>235</v>
      </c>
      <c r="F152" s="84">
        <v>8</v>
      </c>
      <c r="G152" s="84">
        <v>20</v>
      </c>
      <c r="H152" s="84" t="s">
        <v>123</v>
      </c>
    </row>
    <row r="153" spans="1:8" x14ac:dyDescent="0.3">
      <c r="A153" s="81">
        <v>45343</v>
      </c>
      <c r="B153" s="82">
        <v>2024</v>
      </c>
      <c r="C153" s="82" t="s">
        <v>233</v>
      </c>
      <c r="D153" s="82">
        <v>2</v>
      </c>
      <c r="E153" s="82" t="s">
        <v>235</v>
      </c>
      <c r="F153" s="82">
        <v>8</v>
      </c>
      <c r="G153" s="82">
        <v>21</v>
      </c>
      <c r="H153" s="82" t="s">
        <v>125</v>
      </c>
    </row>
    <row r="154" spans="1:8" x14ac:dyDescent="0.3">
      <c r="A154" s="83">
        <v>45344</v>
      </c>
      <c r="B154" s="84">
        <v>2024</v>
      </c>
      <c r="C154" s="84" t="s">
        <v>233</v>
      </c>
      <c r="D154" s="84">
        <v>2</v>
      </c>
      <c r="E154" s="84" t="s">
        <v>235</v>
      </c>
      <c r="F154" s="84">
        <v>8</v>
      </c>
      <c r="G154" s="84">
        <v>22</v>
      </c>
      <c r="H154" s="84" t="s">
        <v>127</v>
      </c>
    </row>
    <row r="155" spans="1:8" x14ac:dyDescent="0.3">
      <c r="A155" s="81">
        <v>45345</v>
      </c>
      <c r="B155" s="82">
        <v>2024</v>
      </c>
      <c r="C155" s="82" t="s">
        <v>233</v>
      </c>
      <c r="D155" s="82">
        <v>2</v>
      </c>
      <c r="E155" s="82" t="s">
        <v>235</v>
      </c>
      <c r="F155" s="82">
        <v>8</v>
      </c>
      <c r="G155" s="82">
        <v>23</v>
      </c>
      <c r="H155" s="82" t="s">
        <v>129</v>
      </c>
    </row>
    <row r="156" spans="1:8" x14ac:dyDescent="0.3">
      <c r="A156" s="83">
        <v>45346</v>
      </c>
      <c r="B156" s="84">
        <v>2024</v>
      </c>
      <c r="C156" s="84" t="s">
        <v>233</v>
      </c>
      <c r="D156" s="84">
        <v>2</v>
      </c>
      <c r="E156" s="84" t="s">
        <v>235</v>
      </c>
      <c r="F156" s="84">
        <v>8</v>
      </c>
      <c r="G156" s="84">
        <v>24</v>
      </c>
      <c r="H156" s="84" t="s">
        <v>131</v>
      </c>
    </row>
    <row r="157" spans="1:8" x14ac:dyDescent="0.3">
      <c r="A157" s="81">
        <v>45347</v>
      </c>
      <c r="B157" s="82">
        <v>2024</v>
      </c>
      <c r="C157" s="82" t="s">
        <v>233</v>
      </c>
      <c r="D157" s="82">
        <v>2</v>
      </c>
      <c r="E157" s="82" t="s">
        <v>235</v>
      </c>
      <c r="F157" s="82">
        <v>8</v>
      </c>
      <c r="G157" s="82">
        <v>25</v>
      </c>
      <c r="H157" s="82" t="s">
        <v>133</v>
      </c>
    </row>
    <row r="158" spans="1:8" x14ac:dyDescent="0.3">
      <c r="A158" s="83">
        <v>45348</v>
      </c>
      <c r="B158" s="84">
        <v>2024</v>
      </c>
      <c r="C158" s="84" t="s">
        <v>233</v>
      </c>
      <c r="D158" s="84">
        <v>2</v>
      </c>
      <c r="E158" s="84" t="s">
        <v>235</v>
      </c>
      <c r="F158" s="84">
        <v>9</v>
      </c>
      <c r="G158" s="84">
        <v>26</v>
      </c>
      <c r="H158" s="84" t="s">
        <v>121</v>
      </c>
    </row>
    <row r="159" spans="1:8" x14ac:dyDescent="0.3">
      <c r="A159" s="81">
        <v>45349</v>
      </c>
      <c r="B159" s="82">
        <v>2024</v>
      </c>
      <c r="C159" s="82" t="s">
        <v>233</v>
      </c>
      <c r="D159" s="82">
        <v>2</v>
      </c>
      <c r="E159" s="82" t="s">
        <v>235</v>
      </c>
      <c r="F159" s="82">
        <v>9</v>
      </c>
      <c r="G159" s="82">
        <v>27</v>
      </c>
      <c r="H159" s="82" t="s">
        <v>123</v>
      </c>
    </row>
    <row r="160" spans="1:8" x14ac:dyDescent="0.3">
      <c r="A160" s="83">
        <v>45350</v>
      </c>
      <c r="B160" s="84">
        <v>2024</v>
      </c>
      <c r="C160" s="84" t="s">
        <v>233</v>
      </c>
      <c r="D160" s="84">
        <v>2</v>
      </c>
      <c r="E160" s="84" t="s">
        <v>235</v>
      </c>
      <c r="F160" s="84">
        <v>9</v>
      </c>
      <c r="G160" s="84">
        <v>28</v>
      </c>
      <c r="H160" s="84" t="s">
        <v>125</v>
      </c>
    </row>
    <row r="161" spans="1:8" x14ac:dyDescent="0.3">
      <c r="A161" s="81">
        <v>45351</v>
      </c>
      <c r="B161" s="82">
        <v>2024</v>
      </c>
      <c r="C161" s="82" t="s">
        <v>233</v>
      </c>
      <c r="D161" s="82">
        <v>2</v>
      </c>
      <c r="E161" s="82" t="s">
        <v>235</v>
      </c>
      <c r="F161" s="82">
        <v>9</v>
      </c>
      <c r="G161" s="82">
        <v>29</v>
      </c>
      <c r="H161" s="82" t="s">
        <v>127</v>
      </c>
    </row>
    <row r="162" spans="1:8" x14ac:dyDescent="0.3">
      <c r="A162" s="83">
        <v>45352</v>
      </c>
      <c r="B162" s="84">
        <v>2024</v>
      </c>
      <c r="C162" s="84" t="s">
        <v>233</v>
      </c>
      <c r="D162" s="84">
        <v>3</v>
      </c>
      <c r="E162" s="84" t="s">
        <v>236</v>
      </c>
      <c r="F162" s="84">
        <v>9</v>
      </c>
      <c r="G162" s="84">
        <v>1</v>
      </c>
      <c r="H162" s="84" t="s">
        <v>129</v>
      </c>
    </row>
    <row r="163" spans="1:8" x14ac:dyDescent="0.3">
      <c r="A163" s="81">
        <v>45353</v>
      </c>
      <c r="B163" s="82">
        <v>2024</v>
      </c>
      <c r="C163" s="82" t="s">
        <v>233</v>
      </c>
      <c r="D163" s="82">
        <v>3</v>
      </c>
      <c r="E163" s="82" t="s">
        <v>236</v>
      </c>
      <c r="F163" s="82">
        <v>9</v>
      </c>
      <c r="G163" s="82">
        <v>2</v>
      </c>
      <c r="H163" s="82" t="s">
        <v>131</v>
      </c>
    </row>
    <row r="164" spans="1:8" x14ac:dyDescent="0.3">
      <c r="A164" s="83">
        <v>45354</v>
      </c>
      <c r="B164" s="84">
        <v>2024</v>
      </c>
      <c r="C164" s="84" t="s">
        <v>233</v>
      </c>
      <c r="D164" s="84">
        <v>3</v>
      </c>
      <c r="E164" s="84" t="s">
        <v>236</v>
      </c>
      <c r="F164" s="84">
        <v>9</v>
      </c>
      <c r="G164" s="84">
        <v>3</v>
      </c>
      <c r="H164" s="84" t="s">
        <v>133</v>
      </c>
    </row>
    <row r="165" spans="1:8" x14ac:dyDescent="0.3">
      <c r="A165" s="81">
        <v>45355</v>
      </c>
      <c r="B165" s="82">
        <v>2024</v>
      </c>
      <c r="C165" s="82" t="s">
        <v>233</v>
      </c>
      <c r="D165" s="82">
        <v>3</v>
      </c>
      <c r="E165" s="82" t="s">
        <v>236</v>
      </c>
      <c r="F165" s="82">
        <v>10</v>
      </c>
      <c r="G165" s="82">
        <v>4</v>
      </c>
      <c r="H165" s="82" t="s">
        <v>121</v>
      </c>
    </row>
    <row r="166" spans="1:8" x14ac:dyDescent="0.3">
      <c r="A166" s="83">
        <v>45356</v>
      </c>
      <c r="B166" s="84">
        <v>2024</v>
      </c>
      <c r="C166" s="84" t="s">
        <v>233</v>
      </c>
      <c r="D166" s="84">
        <v>3</v>
      </c>
      <c r="E166" s="84" t="s">
        <v>236</v>
      </c>
      <c r="F166" s="84">
        <v>10</v>
      </c>
      <c r="G166" s="84">
        <v>5</v>
      </c>
      <c r="H166" s="84" t="s">
        <v>123</v>
      </c>
    </row>
    <row r="167" spans="1:8" x14ac:dyDescent="0.3">
      <c r="A167" s="81">
        <v>45357</v>
      </c>
      <c r="B167" s="82">
        <v>2024</v>
      </c>
      <c r="C167" s="82" t="s">
        <v>233</v>
      </c>
      <c r="D167" s="82">
        <v>3</v>
      </c>
      <c r="E167" s="82" t="s">
        <v>236</v>
      </c>
      <c r="F167" s="82">
        <v>10</v>
      </c>
      <c r="G167" s="82">
        <v>6</v>
      </c>
      <c r="H167" s="82" t="s">
        <v>125</v>
      </c>
    </row>
    <row r="168" spans="1:8" x14ac:dyDescent="0.3">
      <c r="A168" s="83">
        <v>45358</v>
      </c>
      <c r="B168" s="84">
        <v>2024</v>
      </c>
      <c r="C168" s="84" t="s">
        <v>233</v>
      </c>
      <c r="D168" s="84">
        <v>3</v>
      </c>
      <c r="E168" s="84" t="s">
        <v>236</v>
      </c>
      <c r="F168" s="84">
        <v>10</v>
      </c>
      <c r="G168" s="84">
        <v>7</v>
      </c>
      <c r="H168" s="84" t="s">
        <v>127</v>
      </c>
    </row>
    <row r="169" spans="1:8" x14ac:dyDescent="0.3">
      <c r="A169" s="81">
        <v>45359</v>
      </c>
      <c r="B169" s="82">
        <v>2024</v>
      </c>
      <c r="C169" s="82" t="s">
        <v>233</v>
      </c>
      <c r="D169" s="82">
        <v>3</v>
      </c>
      <c r="E169" s="82" t="s">
        <v>236</v>
      </c>
      <c r="F169" s="82">
        <v>10</v>
      </c>
      <c r="G169" s="82">
        <v>8</v>
      </c>
      <c r="H169" s="82" t="s">
        <v>129</v>
      </c>
    </row>
    <row r="170" spans="1:8" x14ac:dyDescent="0.3">
      <c r="A170" s="83">
        <v>45360</v>
      </c>
      <c r="B170" s="84">
        <v>2024</v>
      </c>
      <c r="C170" s="84" t="s">
        <v>233</v>
      </c>
      <c r="D170" s="84">
        <v>3</v>
      </c>
      <c r="E170" s="84" t="s">
        <v>236</v>
      </c>
      <c r="F170" s="84">
        <v>10</v>
      </c>
      <c r="G170" s="84">
        <v>9</v>
      </c>
      <c r="H170" s="84" t="s">
        <v>131</v>
      </c>
    </row>
    <row r="171" spans="1:8" x14ac:dyDescent="0.3">
      <c r="A171" s="81">
        <v>45361</v>
      </c>
      <c r="B171" s="82">
        <v>2024</v>
      </c>
      <c r="C171" s="82" t="s">
        <v>233</v>
      </c>
      <c r="D171" s="82">
        <v>3</v>
      </c>
      <c r="E171" s="82" t="s">
        <v>236</v>
      </c>
      <c r="F171" s="82">
        <v>10</v>
      </c>
      <c r="G171" s="82">
        <v>10</v>
      </c>
      <c r="H171" s="82" t="s">
        <v>133</v>
      </c>
    </row>
    <row r="172" spans="1:8" x14ac:dyDescent="0.3">
      <c r="A172" s="83">
        <v>45362</v>
      </c>
      <c r="B172" s="84">
        <v>2024</v>
      </c>
      <c r="C172" s="84" t="s">
        <v>233</v>
      </c>
      <c r="D172" s="84">
        <v>3</v>
      </c>
      <c r="E172" s="84" t="s">
        <v>236</v>
      </c>
      <c r="F172" s="84">
        <v>11</v>
      </c>
      <c r="G172" s="84">
        <v>11</v>
      </c>
      <c r="H172" s="84" t="s">
        <v>121</v>
      </c>
    </row>
    <row r="173" spans="1:8" x14ac:dyDescent="0.3">
      <c r="A173" s="81">
        <v>45363</v>
      </c>
      <c r="B173" s="82">
        <v>2024</v>
      </c>
      <c r="C173" s="82" t="s">
        <v>233</v>
      </c>
      <c r="D173" s="82">
        <v>3</v>
      </c>
      <c r="E173" s="82" t="s">
        <v>236</v>
      </c>
      <c r="F173" s="82">
        <v>11</v>
      </c>
      <c r="G173" s="82">
        <v>12</v>
      </c>
      <c r="H173" s="82" t="s">
        <v>123</v>
      </c>
    </row>
    <row r="174" spans="1:8" x14ac:dyDescent="0.3">
      <c r="A174" s="83">
        <v>45364</v>
      </c>
      <c r="B174" s="84">
        <v>2024</v>
      </c>
      <c r="C174" s="84" t="s">
        <v>233</v>
      </c>
      <c r="D174" s="84">
        <v>3</v>
      </c>
      <c r="E174" s="84" t="s">
        <v>236</v>
      </c>
      <c r="F174" s="84">
        <v>11</v>
      </c>
      <c r="G174" s="84">
        <v>13</v>
      </c>
      <c r="H174" s="84" t="s">
        <v>125</v>
      </c>
    </row>
    <row r="175" spans="1:8" x14ac:dyDescent="0.3">
      <c r="A175" s="81">
        <v>45365</v>
      </c>
      <c r="B175" s="82">
        <v>2024</v>
      </c>
      <c r="C175" s="82" t="s">
        <v>233</v>
      </c>
      <c r="D175" s="82">
        <v>3</v>
      </c>
      <c r="E175" s="82" t="s">
        <v>236</v>
      </c>
      <c r="F175" s="82">
        <v>11</v>
      </c>
      <c r="G175" s="82">
        <v>14</v>
      </c>
      <c r="H175" s="82" t="s">
        <v>127</v>
      </c>
    </row>
    <row r="176" spans="1:8" x14ac:dyDescent="0.3">
      <c r="A176" s="83">
        <v>45366</v>
      </c>
      <c r="B176" s="84">
        <v>2024</v>
      </c>
      <c r="C176" s="84" t="s">
        <v>233</v>
      </c>
      <c r="D176" s="84">
        <v>3</v>
      </c>
      <c r="E176" s="84" t="s">
        <v>236</v>
      </c>
      <c r="F176" s="84">
        <v>11</v>
      </c>
      <c r="G176" s="84">
        <v>15</v>
      </c>
      <c r="H176" s="84" t="s">
        <v>129</v>
      </c>
    </row>
    <row r="177" spans="1:8" x14ac:dyDescent="0.3">
      <c r="A177" s="81">
        <v>45367</v>
      </c>
      <c r="B177" s="82">
        <v>2024</v>
      </c>
      <c r="C177" s="82" t="s">
        <v>233</v>
      </c>
      <c r="D177" s="82">
        <v>3</v>
      </c>
      <c r="E177" s="82" t="s">
        <v>236</v>
      </c>
      <c r="F177" s="82">
        <v>11</v>
      </c>
      <c r="G177" s="82">
        <v>16</v>
      </c>
      <c r="H177" s="82" t="s">
        <v>131</v>
      </c>
    </row>
    <row r="178" spans="1:8" x14ac:dyDescent="0.3">
      <c r="A178" s="83">
        <v>45368</v>
      </c>
      <c r="B178" s="84">
        <v>2024</v>
      </c>
      <c r="C178" s="84" t="s">
        <v>233</v>
      </c>
      <c r="D178" s="84">
        <v>3</v>
      </c>
      <c r="E178" s="84" t="s">
        <v>236</v>
      </c>
      <c r="F178" s="84">
        <v>11</v>
      </c>
      <c r="G178" s="84">
        <v>17</v>
      </c>
      <c r="H178" s="84" t="s">
        <v>133</v>
      </c>
    </row>
    <row r="179" spans="1:8" x14ac:dyDescent="0.3">
      <c r="A179" s="81">
        <v>45369</v>
      </c>
      <c r="B179" s="82">
        <v>2024</v>
      </c>
      <c r="C179" s="82" t="s">
        <v>233</v>
      </c>
      <c r="D179" s="82">
        <v>3</v>
      </c>
      <c r="E179" s="82" t="s">
        <v>236</v>
      </c>
      <c r="F179" s="82">
        <v>12</v>
      </c>
      <c r="G179" s="82">
        <v>18</v>
      </c>
      <c r="H179" s="82" t="s">
        <v>121</v>
      </c>
    </row>
    <row r="180" spans="1:8" x14ac:dyDescent="0.3">
      <c r="A180" s="83">
        <v>45370</v>
      </c>
      <c r="B180" s="84">
        <v>2024</v>
      </c>
      <c r="C180" s="84" t="s">
        <v>233</v>
      </c>
      <c r="D180" s="84">
        <v>3</v>
      </c>
      <c r="E180" s="84" t="s">
        <v>236</v>
      </c>
      <c r="F180" s="84">
        <v>12</v>
      </c>
      <c r="G180" s="84">
        <v>19</v>
      </c>
      <c r="H180" s="84" t="s">
        <v>123</v>
      </c>
    </row>
    <row r="181" spans="1:8" x14ac:dyDescent="0.3">
      <c r="A181" s="81">
        <v>45371</v>
      </c>
      <c r="B181" s="82">
        <v>2024</v>
      </c>
      <c r="C181" s="82" t="s">
        <v>233</v>
      </c>
      <c r="D181" s="82">
        <v>3</v>
      </c>
      <c r="E181" s="82" t="s">
        <v>236</v>
      </c>
      <c r="F181" s="82">
        <v>12</v>
      </c>
      <c r="G181" s="82">
        <v>20</v>
      </c>
      <c r="H181" s="82" t="s">
        <v>125</v>
      </c>
    </row>
    <row r="182" spans="1:8" x14ac:dyDescent="0.3">
      <c r="A182" s="83">
        <v>45372</v>
      </c>
      <c r="B182" s="84">
        <v>2024</v>
      </c>
      <c r="C182" s="84" t="s">
        <v>233</v>
      </c>
      <c r="D182" s="84">
        <v>3</v>
      </c>
      <c r="E182" s="84" t="s">
        <v>236</v>
      </c>
      <c r="F182" s="84">
        <v>12</v>
      </c>
      <c r="G182" s="84">
        <v>21</v>
      </c>
      <c r="H182" s="84" t="s">
        <v>127</v>
      </c>
    </row>
    <row r="183" spans="1:8" x14ac:dyDescent="0.3">
      <c r="A183" s="81">
        <v>45373</v>
      </c>
      <c r="B183" s="82">
        <v>2024</v>
      </c>
      <c r="C183" s="82" t="s">
        <v>233</v>
      </c>
      <c r="D183" s="82">
        <v>3</v>
      </c>
      <c r="E183" s="82" t="s">
        <v>236</v>
      </c>
      <c r="F183" s="82">
        <v>12</v>
      </c>
      <c r="G183" s="82">
        <v>22</v>
      </c>
      <c r="H183" s="82" t="s">
        <v>129</v>
      </c>
    </row>
    <row r="184" spans="1:8" x14ac:dyDescent="0.3">
      <c r="A184" s="83">
        <v>45374</v>
      </c>
      <c r="B184" s="84">
        <v>2024</v>
      </c>
      <c r="C184" s="84" t="s">
        <v>233</v>
      </c>
      <c r="D184" s="84">
        <v>3</v>
      </c>
      <c r="E184" s="84" t="s">
        <v>236</v>
      </c>
      <c r="F184" s="84">
        <v>12</v>
      </c>
      <c r="G184" s="84">
        <v>23</v>
      </c>
      <c r="H184" s="84" t="s">
        <v>131</v>
      </c>
    </row>
    <row r="185" spans="1:8" x14ac:dyDescent="0.3">
      <c r="A185" s="81">
        <v>45375</v>
      </c>
      <c r="B185" s="82">
        <v>2024</v>
      </c>
      <c r="C185" s="82" t="s">
        <v>233</v>
      </c>
      <c r="D185" s="82">
        <v>3</v>
      </c>
      <c r="E185" s="82" t="s">
        <v>236</v>
      </c>
      <c r="F185" s="82">
        <v>12</v>
      </c>
      <c r="G185" s="82">
        <v>24</v>
      </c>
      <c r="H185" s="82" t="s">
        <v>133</v>
      </c>
    </row>
    <row r="186" spans="1:8" x14ac:dyDescent="0.3">
      <c r="A186" s="83">
        <v>45376</v>
      </c>
      <c r="B186" s="84">
        <v>2024</v>
      </c>
      <c r="C186" s="84" t="s">
        <v>233</v>
      </c>
      <c r="D186" s="84">
        <v>3</v>
      </c>
      <c r="E186" s="84" t="s">
        <v>236</v>
      </c>
      <c r="F186" s="84">
        <v>13</v>
      </c>
      <c r="G186" s="84">
        <v>25</v>
      </c>
      <c r="H186" s="84" t="s">
        <v>121</v>
      </c>
    </row>
    <row r="187" spans="1:8" x14ac:dyDescent="0.3">
      <c r="A187" s="81">
        <v>45377</v>
      </c>
      <c r="B187" s="82">
        <v>2024</v>
      </c>
      <c r="C187" s="82" t="s">
        <v>233</v>
      </c>
      <c r="D187" s="82">
        <v>3</v>
      </c>
      <c r="E187" s="82" t="s">
        <v>236</v>
      </c>
      <c r="F187" s="82">
        <v>13</v>
      </c>
      <c r="G187" s="82">
        <v>26</v>
      </c>
      <c r="H187" s="82" t="s">
        <v>123</v>
      </c>
    </row>
    <row r="188" spans="1:8" x14ac:dyDescent="0.3">
      <c r="A188" s="83">
        <v>45378</v>
      </c>
      <c r="B188" s="84">
        <v>2024</v>
      </c>
      <c r="C188" s="84" t="s">
        <v>233</v>
      </c>
      <c r="D188" s="84">
        <v>3</v>
      </c>
      <c r="E188" s="84" t="s">
        <v>236</v>
      </c>
      <c r="F188" s="84">
        <v>13</v>
      </c>
      <c r="G188" s="84">
        <v>27</v>
      </c>
      <c r="H188" s="84" t="s">
        <v>125</v>
      </c>
    </row>
    <row r="189" spans="1:8" x14ac:dyDescent="0.3">
      <c r="A189" s="81">
        <v>45379</v>
      </c>
      <c r="B189" s="82">
        <v>2024</v>
      </c>
      <c r="C189" s="82" t="s">
        <v>233</v>
      </c>
      <c r="D189" s="82">
        <v>3</v>
      </c>
      <c r="E189" s="82" t="s">
        <v>236</v>
      </c>
      <c r="F189" s="82">
        <v>13</v>
      </c>
      <c r="G189" s="82">
        <v>28</v>
      </c>
      <c r="H189" s="82" t="s">
        <v>127</v>
      </c>
    </row>
    <row r="190" spans="1:8" x14ac:dyDescent="0.3">
      <c r="A190" s="83">
        <v>45380</v>
      </c>
      <c r="B190" s="84">
        <v>2024</v>
      </c>
      <c r="C190" s="84" t="s">
        <v>233</v>
      </c>
      <c r="D190" s="84">
        <v>3</v>
      </c>
      <c r="E190" s="84" t="s">
        <v>236</v>
      </c>
      <c r="F190" s="84">
        <v>13</v>
      </c>
      <c r="G190" s="84">
        <v>29</v>
      </c>
      <c r="H190" s="84" t="s">
        <v>129</v>
      </c>
    </row>
    <row r="191" spans="1:8" x14ac:dyDescent="0.3">
      <c r="A191" s="81">
        <v>45381</v>
      </c>
      <c r="B191" s="82">
        <v>2024</v>
      </c>
      <c r="C191" s="82" t="s">
        <v>233</v>
      </c>
      <c r="D191" s="82">
        <v>3</v>
      </c>
      <c r="E191" s="82" t="s">
        <v>236</v>
      </c>
      <c r="F191" s="82">
        <v>13</v>
      </c>
      <c r="G191" s="82">
        <v>30</v>
      </c>
      <c r="H191" s="82" t="s">
        <v>131</v>
      </c>
    </row>
    <row r="192" spans="1:8" x14ac:dyDescent="0.3">
      <c r="A192" s="83">
        <v>45382</v>
      </c>
      <c r="B192" s="84">
        <v>2024</v>
      </c>
      <c r="C192" s="84" t="s">
        <v>233</v>
      </c>
      <c r="D192" s="84">
        <v>3</v>
      </c>
      <c r="E192" s="84" t="s">
        <v>236</v>
      </c>
      <c r="F192" s="84">
        <v>13</v>
      </c>
      <c r="G192" s="84">
        <v>31</v>
      </c>
      <c r="H192" s="84" t="s">
        <v>133</v>
      </c>
    </row>
    <row r="193" spans="1:8" x14ac:dyDescent="0.3">
      <c r="A193" s="81">
        <v>45383</v>
      </c>
      <c r="B193" s="82">
        <v>2024</v>
      </c>
      <c r="C193" s="82" t="s">
        <v>237</v>
      </c>
      <c r="D193" s="82">
        <v>4</v>
      </c>
      <c r="E193" s="82" t="s">
        <v>238</v>
      </c>
      <c r="F193" s="82">
        <v>14</v>
      </c>
      <c r="G193" s="82">
        <v>1</v>
      </c>
      <c r="H193" s="82" t="s">
        <v>121</v>
      </c>
    </row>
    <row r="194" spans="1:8" x14ac:dyDescent="0.3">
      <c r="A194" s="83">
        <v>45384</v>
      </c>
      <c r="B194" s="84">
        <v>2024</v>
      </c>
      <c r="C194" s="84" t="s">
        <v>237</v>
      </c>
      <c r="D194" s="84">
        <v>4</v>
      </c>
      <c r="E194" s="84" t="s">
        <v>238</v>
      </c>
      <c r="F194" s="84">
        <v>14</v>
      </c>
      <c r="G194" s="84">
        <v>2</v>
      </c>
      <c r="H194" s="84" t="s">
        <v>123</v>
      </c>
    </row>
    <row r="195" spans="1:8" x14ac:dyDescent="0.3">
      <c r="A195" s="81">
        <v>45385</v>
      </c>
      <c r="B195" s="82">
        <v>2024</v>
      </c>
      <c r="C195" s="82" t="s">
        <v>237</v>
      </c>
      <c r="D195" s="82">
        <v>4</v>
      </c>
      <c r="E195" s="82" t="s">
        <v>238</v>
      </c>
      <c r="F195" s="82">
        <v>14</v>
      </c>
      <c r="G195" s="82">
        <v>3</v>
      </c>
      <c r="H195" s="82" t="s">
        <v>125</v>
      </c>
    </row>
    <row r="196" spans="1:8" x14ac:dyDescent="0.3">
      <c r="A196" s="83">
        <v>45386</v>
      </c>
      <c r="B196" s="84">
        <v>2024</v>
      </c>
      <c r="C196" s="84" t="s">
        <v>237</v>
      </c>
      <c r="D196" s="84">
        <v>4</v>
      </c>
      <c r="E196" s="84" t="s">
        <v>238</v>
      </c>
      <c r="F196" s="84">
        <v>14</v>
      </c>
      <c r="G196" s="84">
        <v>4</v>
      </c>
      <c r="H196" s="84" t="s">
        <v>127</v>
      </c>
    </row>
    <row r="197" spans="1:8" x14ac:dyDescent="0.3">
      <c r="A197" s="81">
        <v>45387</v>
      </c>
      <c r="B197" s="82">
        <v>2024</v>
      </c>
      <c r="C197" s="82" t="s">
        <v>237</v>
      </c>
      <c r="D197" s="82">
        <v>4</v>
      </c>
      <c r="E197" s="82" t="s">
        <v>238</v>
      </c>
      <c r="F197" s="82">
        <v>14</v>
      </c>
      <c r="G197" s="82">
        <v>5</v>
      </c>
      <c r="H197" s="82" t="s">
        <v>129</v>
      </c>
    </row>
    <row r="198" spans="1:8" x14ac:dyDescent="0.3">
      <c r="A198" s="83">
        <v>45388</v>
      </c>
      <c r="B198" s="84">
        <v>2024</v>
      </c>
      <c r="C198" s="84" t="s">
        <v>237</v>
      </c>
      <c r="D198" s="84">
        <v>4</v>
      </c>
      <c r="E198" s="84" t="s">
        <v>238</v>
      </c>
      <c r="F198" s="84">
        <v>14</v>
      </c>
      <c r="G198" s="84">
        <v>6</v>
      </c>
      <c r="H198" s="84" t="s">
        <v>131</v>
      </c>
    </row>
    <row r="199" spans="1:8" x14ac:dyDescent="0.3">
      <c r="A199" s="81">
        <v>45389</v>
      </c>
      <c r="B199" s="82">
        <v>2024</v>
      </c>
      <c r="C199" s="82" t="s">
        <v>237</v>
      </c>
      <c r="D199" s="82">
        <v>4</v>
      </c>
      <c r="E199" s="82" t="s">
        <v>238</v>
      </c>
      <c r="F199" s="82">
        <v>14</v>
      </c>
      <c r="G199" s="82">
        <v>7</v>
      </c>
      <c r="H199" s="82" t="s">
        <v>133</v>
      </c>
    </row>
    <row r="200" spans="1:8" x14ac:dyDescent="0.3">
      <c r="A200" s="83">
        <v>45390</v>
      </c>
      <c r="B200" s="84">
        <v>2024</v>
      </c>
      <c r="C200" s="84" t="s">
        <v>237</v>
      </c>
      <c r="D200" s="84">
        <v>4</v>
      </c>
      <c r="E200" s="84" t="s">
        <v>238</v>
      </c>
      <c r="F200" s="84">
        <v>15</v>
      </c>
      <c r="G200" s="84">
        <v>8</v>
      </c>
      <c r="H200" s="84" t="s">
        <v>121</v>
      </c>
    </row>
    <row r="201" spans="1:8" x14ac:dyDescent="0.3">
      <c r="A201" s="81">
        <v>45391</v>
      </c>
      <c r="B201" s="82">
        <v>2024</v>
      </c>
      <c r="C201" s="82" t="s">
        <v>237</v>
      </c>
      <c r="D201" s="82">
        <v>4</v>
      </c>
      <c r="E201" s="82" t="s">
        <v>238</v>
      </c>
      <c r="F201" s="82">
        <v>15</v>
      </c>
      <c r="G201" s="82">
        <v>9</v>
      </c>
      <c r="H201" s="82" t="s">
        <v>123</v>
      </c>
    </row>
    <row r="202" spans="1:8" x14ac:dyDescent="0.3">
      <c r="A202" s="83">
        <v>45392</v>
      </c>
      <c r="B202" s="84">
        <v>2024</v>
      </c>
      <c r="C202" s="84" t="s">
        <v>237</v>
      </c>
      <c r="D202" s="84">
        <v>4</v>
      </c>
      <c r="E202" s="84" t="s">
        <v>238</v>
      </c>
      <c r="F202" s="84">
        <v>15</v>
      </c>
      <c r="G202" s="84">
        <v>10</v>
      </c>
      <c r="H202" s="84" t="s">
        <v>125</v>
      </c>
    </row>
    <row r="203" spans="1:8" x14ac:dyDescent="0.3">
      <c r="A203" s="81">
        <v>45393</v>
      </c>
      <c r="B203" s="82">
        <v>2024</v>
      </c>
      <c r="C203" s="82" t="s">
        <v>237</v>
      </c>
      <c r="D203" s="82">
        <v>4</v>
      </c>
      <c r="E203" s="82" t="s">
        <v>238</v>
      </c>
      <c r="F203" s="82">
        <v>15</v>
      </c>
      <c r="G203" s="82">
        <v>11</v>
      </c>
      <c r="H203" s="82" t="s">
        <v>127</v>
      </c>
    </row>
    <row r="204" spans="1:8" x14ac:dyDescent="0.3">
      <c r="A204" s="83">
        <v>45394</v>
      </c>
      <c r="B204" s="84">
        <v>2024</v>
      </c>
      <c r="C204" s="84" t="s">
        <v>237</v>
      </c>
      <c r="D204" s="84">
        <v>4</v>
      </c>
      <c r="E204" s="84" t="s">
        <v>238</v>
      </c>
      <c r="F204" s="84">
        <v>15</v>
      </c>
      <c r="G204" s="84">
        <v>12</v>
      </c>
      <c r="H204" s="84" t="s">
        <v>129</v>
      </c>
    </row>
    <row r="205" spans="1:8" x14ac:dyDescent="0.3">
      <c r="A205" s="81">
        <v>45395</v>
      </c>
      <c r="B205" s="82">
        <v>2024</v>
      </c>
      <c r="C205" s="82" t="s">
        <v>237</v>
      </c>
      <c r="D205" s="82">
        <v>4</v>
      </c>
      <c r="E205" s="82" t="s">
        <v>238</v>
      </c>
      <c r="F205" s="82">
        <v>15</v>
      </c>
      <c r="G205" s="82">
        <v>13</v>
      </c>
      <c r="H205" s="82" t="s">
        <v>131</v>
      </c>
    </row>
    <row r="206" spans="1:8" x14ac:dyDescent="0.3">
      <c r="A206" s="83">
        <v>45396</v>
      </c>
      <c r="B206" s="84">
        <v>2024</v>
      </c>
      <c r="C206" s="84" t="s">
        <v>237</v>
      </c>
      <c r="D206" s="84">
        <v>4</v>
      </c>
      <c r="E206" s="84" t="s">
        <v>238</v>
      </c>
      <c r="F206" s="84">
        <v>15</v>
      </c>
      <c r="G206" s="84">
        <v>14</v>
      </c>
      <c r="H206" s="84" t="s">
        <v>133</v>
      </c>
    </row>
    <row r="207" spans="1:8" x14ac:dyDescent="0.3">
      <c r="A207" s="81">
        <v>45397</v>
      </c>
      <c r="B207" s="82">
        <v>2024</v>
      </c>
      <c r="C207" s="82" t="s">
        <v>237</v>
      </c>
      <c r="D207" s="82">
        <v>4</v>
      </c>
      <c r="E207" s="82" t="s">
        <v>238</v>
      </c>
      <c r="F207" s="82">
        <v>16</v>
      </c>
      <c r="G207" s="82">
        <v>15</v>
      </c>
      <c r="H207" s="82" t="s">
        <v>121</v>
      </c>
    </row>
    <row r="208" spans="1:8" x14ac:dyDescent="0.3">
      <c r="A208" s="83">
        <v>45398</v>
      </c>
      <c r="B208" s="84">
        <v>2024</v>
      </c>
      <c r="C208" s="84" t="s">
        <v>237</v>
      </c>
      <c r="D208" s="84">
        <v>4</v>
      </c>
      <c r="E208" s="84" t="s">
        <v>238</v>
      </c>
      <c r="F208" s="84">
        <v>16</v>
      </c>
      <c r="G208" s="84">
        <v>16</v>
      </c>
      <c r="H208" s="84" t="s">
        <v>123</v>
      </c>
    </row>
    <row r="209" spans="1:8" x14ac:dyDescent="0.3">
      <c r="A209" s="81">
        <v>45399</v>
      </c>
      <c r="B209" s="82">
        <v>2024</v>
      </c>
      <c r="C209" s="82" t="s">
        <v>237</v>
      </c>
      <c r="D209" s="82">
        <v>4</v>
      </c>
      <c r="E209" s="82" t="s">
        <v>238</v>
      </c>
      <c r="F209" s="82">
        <v>16</v>
      </c>
      <c r="G209" s="82">
        <v>17</v>
      </c>
      <c r="H209" s="82" t="s">
        <v>125</v>
      </c>
    </row>
    <row r="210" spans="1:8" x14ac:dyDescent="0.3">
      <c r="A210" s="83">
        <v>45400</v>
      </c>
      <c r="B210" s="84">
        <v>2024</v>
      </c>
      <c r="C210" s="84" t="s">
        <v>237</v>
      </c>
      <c r="D210" s="84">
        <v>4</v>
      </c>
      <c r="E210" s="84" t="s">
        <v>238</v>
      </c>
      <c r="F210" s="84">
        <v>16</v>
      </c>
      <c r="G210" s="84">
        <v>18</v>
      </c>
      <c r="H210" s="84" t="s">
        <v>127</v>
      </c>
    </row>
    <row r="211" spans="1:8" x14ac:dyDescent="0.3">
      <c r="A211" s="81">
        <v>45401</v>
      </c>
      <c r="B211" s="82">
        <v>2024</v>
      </c>
      <c r="C211" s="82" t="s">
        <v>237</v>
      </c>
      <c r="D211" s="82">
        <v>4</v>
      </c>
      <c r="E211" s="82" t="s">
        <v>238</v>
      </c>
      <c r="F211" s="82">
        <v>16</v>
      </c>
      <c r="G211" s="82">
        <v>19</v>
      </c>
      <c r="H211" s="82" t="s">
        <v>129</v>
      </c>
    </row>
    <row r="212" spans="1:8" x14ac:dyDescent="0.3">
      <c r="A212" s="83">
        <v>45402</v>
      </c>
      <c r="B212" s="84">
        <v>2024</v>
      </c>
      <c r="C212" s="84" t="s">
        <v>237</v>
      </c>
      <c r="D212" s="84">
        <v>4</v>
      </c>
      <c r="E212" s="84" t="s">
        <v>238</v>
      </c>
      <c r="F212" s="84">
        <v>16</v>
      </c>
      <c r="G212" s="84">
        <v>20</v>
      </c>
      <c r="H212" s="84" t="s">
        <v>131</v>
      </c>
    </row>
    <row r="213" spans="1:8" x14ac:dyDescent="0.3">
      <c r="A213" s="81">
        <v>45403</v>
      </c>
      <c r="B213" s="82">
        <v>2024</v>
      </c>
      <c r="C213" s="82" t="s">
        <v>237</v>
      </c>
      <c r="D213" s="82">
        <v>4</v>
      </c>
      <c r="E213" s="82" t="s">
        <v>238</v>
      </c>
      <c r="F213" s="82">
        <v>16</v>
      </c>
      <c r="G213" s="82">
        <v>21</v>
      </c>
      <c r="H213" s="82" t="s">
        <v>133</v>
      </c>
    </row>
    <row r="214" spans="1:8" x14ac:dyDescent="0.3">
      <c r="A214" s="83">
        <v>45404</v>
      </c>
      <c r="B214" s="84">
        <v>2024</v>
      </c>
      <c r="C214" s="84" t="s">
        <v>237</v>
      </c>
      <c r="D214" s="84">
        <v>4</v>
      </c>
      <c r="E214" s="84" t="s">
        <v>238</v>
      </c>
      <c r="F214" s="84">
        <v>17</v>
      </c>
      <c r="G214" s="84">
        <v>22</v>
      </c>
      <c r="H214" s="84" t="s">
        <v>121</v>
      </c>
    </row>
    <row r="215" spans="1:8" x14ac:dyDescent="0.3">
      <c r="A215" s="81">
        <v>45405</v>
      </c>
      <c r="B215" s="82">
        <v>2024</v>
      </c>
      <c r="C215" s="82" t="s">
        <v>237</v>
      </c>
      <c r="D215" s="82">
        <v>4</v>
      </c>
      <c r="E215" s="82" t="s">
        <v>238</v>
      </c>
      <c r="F215" s="82">
        <v>17</v>
      </c>
      <c r="G215" s="82">
        <v>23</v>
      </c>
      <c r="H215" s="82" t="s">
        <v>123</v>
      </c>
    </row>
    <row r="216" spans="1:8" x14ac:dyDescent="0.3">
      <c r="A216" s="83">
        <v>45406</v>
      </c>
      <c r="B216" s="84">
        <v>2024</v>
      </c>
      <c r="C216" s="84" t="s">
        <v>237</v>
      </c>
      <c r="D216" s="84">
        <v>4</v>
      </c>
      <c r="E216" s="84" t="s">
        <v>238</v>
      </c>
      <c r="F216" s="84">
        <v>17</v>
      </c>
      <c r="G216" s="84">
        <v>24</v>
      </c>
      <c r="H216" s="84" t="s">
        <v>125</v>
      </c>
    </row>
    <row r="217" spans="1:8" x14ac:dyDescent="0.3">
      <c r="A217" s="81">
        <v>45407</v>
      </c>
      <c r="B217" s="82">
        <v>2024</v>
      </c>
      <c r="C217" s="82" t="s">
        <v>237</v>
      </c>
      <c r="D217" s="82">
        <v>4</v>
      </c>
      <c r="E217" s="82" t="s">
        <v>238</v>
      </c>
      <c r="F217" s="82">
        <v>17</v>
      </c>
      <c r="G217" s="82">
        <v>25</v>
      </c>
      <c r="H217" s="82" t="s">
        <v>127</v>
      </c>
    </row>
    <row r="218" spans="1:8" x14ac:dyDescent="0.3">
      <c r="A218" s="83">
        <v>45408</v>
      </c>
      <c r="B218" s="84">
        <v>2024</v>
      </c>
      <c r="C218" s="84" t="s">
        <v>237</v>
      </c>
      <c r="D218" s="84">
        <v>4</v>
      </c>
      <c r="E218" s="84" t="s">
        <v>238</v>
      </c>
      <c r="F218" s="84">
        <v>17</v>
      </c>
      <c r="G218" s="84">
        <v>26</v>
      </c>
      <c r="H218" s="84" t="s">
        <v>129</v>
      </c>
    </row>
    <row r="219" spans="1:8" x14ac:dyDescent="0.3">
      <c r="A219" s="81">
        <v>45409</v>
      </c>
      <c r="B219" s="82">
        <v>2024</v>
      </c>
      <c r="C219" s="82" t="s">
        <v>237</v>
      </c>
      <c r="D219" s="82">
        <v>4</v>
      </c>
      <c r="E219" s="82" t="s">
        <v>238</v>
      </c>
      <c r="F219" s="82">
        <v>17</v>
      </c>
      <c r="G219" s="82">
        <v>27</v>
      </c>
      <c r="H219" s="82" t="s">
        <v>131</v>
      </c>
    </row>
    <row r="220" spans="1:8" x14ac:dyDescent="0.3">
      <c r="A220" s="83">
        <v>45410</v>
      </c>
      <c r="B220" s="84">
        <v>2024</v>
      </c>
      <c r="C220" s="84" t="s">
        <v>237</v>
      </c>
      <c r="D220" s="84">
        <v>4</v>
      </c>
      <c r="E220" s="84" t="s">
        <v>238</v>
      </c>
      <c r="F220" s="84">
        <v>17</v>
      </c>
      <c r="G220" s="84">
        <v>28</v>
      </c>
      <c r="H220" s="84" t="s">
        <v>133</v>
      </c>
    </row>
    <row r="221" spans="1:8" x14ac:dyDescent="0.3">
      <c r="A221" s="81">
        <v>45411</v>
      </c>
      <c r="B221" s="82">
        <v>2024</v>
      </c>
      <c r="C221" s="82" t="s">
        <v>237</v>
      </c>
      <c r="D221" s="82">
        <v>4</v>
      </c>
      <c r="E221" s="82" t="s">
        <v>238</v>
      </c>
      <c r="F221" s="82">
        <v>18</v>
      </c>
      <c r="G221" s="82">
        <v>29</v>
      </c>
      <c r="H221" s="82" t="s">
        <v>121</v>
      </c>
    </row>
    <row r="222" spans="1:8" x14ac:dyDescent="0.3">
      <c r="A222" s="83">
        <v>45412</v>
      </c>
      <c r="B222" s="84">
        <v>2024</v>
      </c>
      <c r="C222" s="84" t="s">
        <v>237</v>
      </c>
      <c r="D222" s="84">
        <v>4</v>
      </c>
      <c r="E222" s="84" t="s">
        <v>238</v>
      </c>
      <c r="F222" s="84">
        <v>18</v>
      </c>
      <c r="G222" s="84">
        <v>30</v>
      </c>
      <c r="H222" s="84" t="s">
        <v>123</v>
      </c>
    </row>
    <row r="223" spans="1:8" x14ac:dyDescent="0.3">
      <c r="A223" s="81">
        <v>45413</v>
      </c>
      <c r="B223" s="82">
        <v>2024</v>
      </c>
      <c r="C223" s="82" t="s">
        <v>237</v>
      </c>
      <c r="D223" s="82">
        <v>5</v>
      </c>
      <c r="E223" s="82" t="s">
        <v>239</v>
      </c>
      <c r="F223" s="82">
        <v>18</v>
      </c>
      <c r="G223" s="82">
        <v>1</v>
      </c>
      <c r="H223" s="82" t="s">
        <v>125</v>
      </c>
    </row>
    <row r="224" spans="1:8" x14ac:dyDescent="0.3">
      <c r="A224" s="83">
        <v>45414</v>
      </c>
      <c r="B224" s="84">
        <v>2024</v>
      </c>
      <c r="C224" s="84" t="s">
        <v>237</v>
      </c>
      <c r="D224" s="84">
        <v>5</v>
      </c>
      <c r="E224" s="84" t="s">
        <v>239</v>
      </c>
      <c r="F224" s="84">
        <v>18</v>
      </c>
      <c r="G224" s="84">
        <v>2</v>
      </c>
      <c r="H224" s="84" t="s">
        <v>127</v>
      </c>
    </row>
    <row r="225" spans="1:8" x14ac:dyDescent="0.3">
      <c r="A225" s="81">
        <v>45415</v>
      </c>
      <c r="B225" s="82">
        <v>2024</v>
      </c>
      <c r="C225" s="82" t="s">
        <v>237</v>
      </c>
      <c r="D225" s="82">
        <v>5</v>
      </c>
      <c r="E225" s="82" t="s">
        <v>239</v>
      </c>
      <c r="F225" s="82">
        <v>18</v>
      </c>
      <c r="G225" s="82">
        <v>3</v>
      </c>
      <c r="H225" s="82" t="s">
        <v>129</v>
      </c>
    </row>
    <row r="226" spans="1:8" x14ac:dyDescent="0.3">
      <c r="A226" s="83">
        <v>45416</v>
      </c>
      <c r="B226" s="84">
        <v>2024</v>
      </c>
      <c r="C226" s="84" t="s">
        <v>237</v>
      </c>
      <c r="D226" s="84">
        <v>5</v>
      </c>
      <c r="E226" s="84" t="s">
        <v>239</v>
      </c>
      <c r="F226" s="84">
        <v>18</v>
      </c>
      <c r="G226" s="84">
        <v>4</v>
      </c>
      <c r="H226" s="84" t="s">
        <v>131</v>
      </c>
    </row>
    <row r="227" spans="1:8" x14ac:dyDescent="0.3">
      <c r="A227" s="81">
        <v>45417</v>
      </c>
      <c r="B227" s="82">
        <v>2024</v>
      </c>
      <c r="C227" s="82" t="s">
        <v>237</v>
      </c>
      <c r="D227" s="82">
        <v>5</v>
      </c>
      <c r="E227" s="82" t="s">
        <v>239</v>
      </c>
      <c r="F227" s="82">
        <v>18</v>
      </c>
      <c r="G227" s="82">
        <v>5</v>
      </c>
      <c r="H227" s="82" t="s">
        <v>133</v>
      </c>
    </row>
    <row r="228" spans="1:8" x14ac:dyDescent="0.3">
      <c r="A228" s="83">
        <v>45418</v>
      </c>
      <c r="B228" s="84">
        <v>2024</v>
      </c>
      <c r="C228" s="84" t="s">
        <v>237</v>
      </c>
      <c r="D228" s="84">
        <v>5</v>
      </c>
      <c r="E228" s="84" t="s">
        <v>239</v>
      </c>
      <c r="F228" s="84">
        <v>19</v>
      </c>
      <c r="G228" s="84">
        <v>6</v>
      </c>
      <c r="H228" s="84" t="s">
        <v>121</v>
      </c>
    </row>
    <row r="229" spans="1:8" x14ac:dyDescent="0.3">
      <c r="A229" s="81">
        <v>45419</v>
      </c>
      <c r="B229" s="82">
        <v>2024</v>
      </c>
      <c r="C229" s="82" t="s">
        <v>237</v>
      </c>
      <c r="D229" s="82">
        <v>5</v>
      </c>
      <c r="E229" s="82" t="s">
        <v>239</v>
      </c>
      <c r="F229" s="82">
        <v>19</v>
      </c>
      <c r="G229" s="82">
        <v>7</v>
      </c>
      <c r="H229" s="82" t="s">
        <v>123</v>
      </c>
    </row>
    <row r="230" spans="1:8" x14ac:dyDescent="0.3">
      <c r="A230" s="83">
        <v>45420</v>
      </c>
      <c r="B230" s="84">
        <v>2024</v>
      </c>
      <c r="C230" s="84" t="s">
        <v>237</v>
      </c>
      <c r="D230" s="84">
        <v>5</v>
      </c>
      <c r="E230" s="84" t="s">
        <v>239</v>
      </c>
      <c r="F230" s="84">
        <v>19</v>
      </c>
      <c r="G230" s="84">
        <v>8</v>
      </c>
      <c r="H230" s="84" t="s">
        <v>125</v>
      </c>
    </row>
    <row r="231" spans="1:8" x14ac:dyDescent="0.3">
      <c r="A231" s="81">
        <v>45421</v>
      </c>
      <c r="B231" s="82">
        <v>2024</v>
      </c>
      <c r="C231" s="82" t="s">
        <v>237</v>
      </c>
      <c r="D231" s="82">
        <v>5</v>
      </c>
      <c r="E231" s="82" t="s">
        <v>239</v>
      </c>
      <c r="F231" s="82">
        <v>19</v>
      </c>
      <c r="G231" s="82">
        <v>9</v>
      </c>
      <c r="H231" s="82" t="s">
        <v>127</v>
      </c>
    </row>
    <row r="232" spans="1:8" x14ac:dyDescent="0.3">
      <c r="A232" s="83">
        <v>45422</v>
      </c>
      <c r="B232" s="84">
        <v>2024</v>
      </c>
      <c r="C232" s="84" t="s">
        <v>237</v>
      </c>
      <c r="D232" s="84">
        <v>5</v>
      </c>
      <c r="E232" s="84" t="s">
        <v>239</v>
      </c>
      <c r="F232" s="84">
        <v>19</v>
      </c>
      <c r="G232" s="84">
        <v>10</v>
      </c>
      <c r="H232" s="84" t="s">
        <v>129</v>
      </c>
    </row>
    <row r="233" spans="1:8" x14ac:dyDescent="0.3">
      <c r="A233" s="81">
        <v>45423</v>
      </c>
      <c r="B233" s="82">
        <v>2024</v>
      </c>
      <c r="C233" s="82" t="s">
        <v>237</v>
      </c>
      <c r="D233" s="82">
        <v>5</v>
      </c>
      <c r="E233" s="82" t="s">
        <v>239</v>
      </c>
      <c r="F233" s="82">
        <v>19</v>
      </c>
      <c r="G233" s="82">
        <v>11</v>
      </c>
      <c r="H233" s="82" t="s">
        <v>131</v>
      </c>
    </row>
    <row r="234" spans="1:8" x14ac:dyDescent="0.3">
      <c r="A234" s="83">
        <v>45424</v>
      </c>
      <c r="B234" s="84">
        <v>2024</v>
      </c>
      <c r="C234" s="84" t="s">
        <v>237</v>
      </c>
      <c r="D234" s="84">
        <v>5</v>
      </c>
      <c r="E234" s="84" t="s">
        <v>239</v>
      </c>
      <c r="F234" s="84">
        <v>19</v>
      </c>
      <c r="G234" s="84">
        <v>12</v>
      </c>
      <c r="H234" s="84" t="s">
        <v>133</v>
      </c>
    </row>
    <row r="235" spans="1:8" x14ac:dyDescent="0.3">
      <c r="A235" s="81">
        <v>45425</v>
      </c>
      <c r="B235" s="82">
        <v>2024</v>
      </c>
      <c r="C235" s="82" t="s">
        <v>237</v>
      </c>
      <c r="D235" s="82">
        <v>5</v>
      </c>
      <c r="E235" s="82" t="s">
        <v>239</v>
      </c>
      <c r="F235" s="82">
        <v>20</v>
      </c>
      <c r="G235" s="82">
        <v>13</v>
      </c>
      <c r="H235" s="82" t="s">
        <v>121</v>
      </c>
    </row>
    <row r="236" spans="1:8" x14ac:dyDescent="0.3">
      <c r="A236" s="83">
        <v>45426</v>
      </c>
      <c r="B236" s="84">
        <v>2024</v>
      </c>
      <c r="C236" s="84" t="s">
        <v>237</v>
      </c>
      <c r="D236" s="84">
        <v>5</v>
      </c>
      <c r="E236" s="84" t="s">
        <v>239</v>
      </c>
      <c r="F236" s="84">
        <v>20</v>
      </c>
      <c r="G236" s="84">
        <v>14</v>
      </c>
      <c r="H236" s="84" t="s">
        <v>123</v>
      </c>
    </row>
    <row r="237" spans="1:8" x14ac:dyDescent="0.3">
      <c r="A237" s="81">
        <v>45427</v>
      </c>
      <c r="B237" s="82">
        <v>2024</v>
      </c>
      <c r="C237" s="82" t="s">
        <v>237</v>
      </c>
      <c r="D237" s="82">
        <v>5</v>
      </c>
      <c r="E237" s="82" t="s">
        <v>239</v>
      </c>
      <c r="F237" s="82">
        <v>20</v>
      </c>
      <c r="G237" s="82">
        <v>15</v>
      </c>
      <c r="H237" s="82" t="s">
        <v>125</v>
      </c>
    </row>
    <row r="238" spans="1:8" x14ac:dyDescent="0.3">
      <c r="A238" s="83">
        <v>45428</v>
      </c>
      <c r="B238" s="84">
        <v>2024</v>
      </c>
      <c r="C238" s="84" t="s">
        <v>237</v>
      </c>
      <c r="D238" s="84">
        <v>5</v>
      </c>
      <c r="E238" s="84" t="s">
        <v>239</v>
      </c>
      <c r="F238" s="84">
        <v>20</v>
      </c>
      <c r="G238" s="84">
        <v>16</v>
      </c>
      <c r="H238" s="84" t="s">
        <v>127</v>
      </c>
    </row>
    <row r="239" spans="1:8" x14ac:dyDescent="0.3">
      <c r="A239" s="81">
        <v>45429</v>
      </c>
      <c r="B239" s="82">
        <v>2024</v>
      </c>
      <c r="C239" s="82" t="s">
        <v>237</v>
      </c>
      <c r="D239" s="82">
        <v>5</v>
      </c>
      <c r="E239" s="82" t="s">
        <v>239</v>
      </c>
      <c r="F239" s="82">
        <v>20</v>
      </c>
      <c r="G239" s="82">
        <v>17</v>
      </c>
      <c r="H239" s="82" t="s">
        <v>129</v>
      </c>
    </row>
    <row r="240" spans="1:8" x14ac:dyDescent="0.3">
      <c r="A240" s="83">
        <v>45430</v>
      </c>
      <c r="B240" s="84">
        <v>2024</v>
      </c>
      <c r="C240" s="84" t="s">
        <v>237</v>
      </c>
      <c r="D240" s="84">
        <v>5</v>
      </c>
      <c r="E240" s="84" t="s">
        <v>239</v>
      </c>
      <c r="F240" s="84">
        <v>20</v>
      </c>
      <c r="G240" s="84">
        <v>18</v>
      </c>
      <c r="H240" s="84" t="s">
        <v>131</v>
      </c>
    </row>
    <row r="241" spans="1:8" x14ac:dyDescent="0.3">
      <c r="A241" s="81">
        <v>45431</v>
      </c>
      <c r="B241" s="82">
        <v>2024</v>
      </c>
      <c r="C241" s="82" t="s">
        <v>237</v>
      </c>
      <c r="D241" s="82">
        <v>5</v>
      </c>
      <c r="E241" s="82" t="s">
        <v>239</v>
      </c>
      <c r="F241" s="82">
        <v>20</v>
      </c>
      <c r="G241" s="82">
        <v>19</v>
      </c>
      <c r="H241" s="82" t="s">
        <v>133</v>
      </c>
    </row>
    <row r="242" spans="1:8" x14ac:dyDescent="0.3">
      <c r="A242" s="83">
        <v>45432</v>
      </c>
      <c r="B242" s="84">
        <v>2024</v>
      </c>
      <c r="C242" s="84" t="s">
        <v>237</v>
      </c>
      <c r="D242" s="84">
        <v>5</v>
      </c>
      <c r="E242" s="84" t="s">
        <v>239</v>
      </c>
      <c r="F242" s="84">
        <v>21</v>
      </c>
      <c r="G242" s="84">
        <v>20</v>
      </c>
      <c r="H242" s="84" t="s">
        <v>121</v>
      </c>
    </row>
    <row r="243" spans="1:8" x14ac:dyDescent="0.3">
      <c r="A243" s="81">
        <v>45433</v>
      </c>
      <c r="B243" s="82">
        <v>2024</v>
      </c>
      <c r="C243" s="82" t="s">
        <v>237</v>
      </c>
      <c r="D243" s="82">
        <v>5</v>
      </c>
      <c r="E243" s="82" t="s">
        <v>239</v>
      </c>
      <c r="F243" s="82">
        <v>21</v>
      </c>
      <c r="G243" s="82">
        <v>21</v>
      </c>
      <c r="H243" s="82" t="s">
        <v>123</v>
      </c>
    </row>
    <row r="244" spans="1:8" x14ac:dyDescent="0.3">
      <c r="A244" s="83">
        <v>45434</v>
      </c>
      <c r="B244" s="84">
        <v>2024</v>
      </c>
      <c r="C244" s="84" t="s">
        <v>237</v>
      </c>
      <c r="D244" s="84">
        <v>5</v>
      </c>
      <c r="E244" s="84" t="s">
        <v>239</v>
      </c>
      <c r="F244" s="84">
        <v>21</v>
      </c>
      <c r="G244" s="84">
        <v>22</v>
      </c>
      <c r="H244" s="84" t="s">
        <v>125</v>
      </c>
    </row>
    <row r="245" spans="1:8" x14ac:dyDescent="0.3">
      <c r="A245" s="81">
        <v>45435</v>
      </c>
      <c r="B245" s="82">
        <v>2024</v>
      </c>
      <c r="C245" s="82" t="s">
        <v>237</v>
      </c>
      <c r="D245" s="82">
        <v>5</v>
      </c>
      <c r="E245" s="82" t="s">
        <v>239</v>
      </c>
      <c r="F245" s="82">
        <v>21</v>
      </c>
      <c r="G245" s="82">
        <v>23</v>
      </c>
      <c r="H245" s="82" t="s">
        <v>127</v>
      </c>
    </row>
    <row r="246" spans="1:8" x14ac:dyDescent="0.3">
      <c r="A246" s="83">
        <v>45436</v>
      </c>
      <c r="B246" s="84">
        <v>2024</v>
      </c>
      <c r="C246" s="84" t="s">
        <v>237</v>
      </c>
      <c r="D246" s="84">
        <v>5</v>
      </c>
      <c r="E246" s="84" t="s">
        <v>239</v>
      </c>
      <c r="F246" s="84">
        <v>21</v>
      </c>
      <c r="G246" s="84">
        <v>24</v>
      </c>
      <c r="H246" s="84" t="s">
        <v>129</v>
      </c>
    </row>
    <row r="247" spans="1:8" x14ac:dyDescent="0.3">
      <c r="A247" s="81">
        <v>45437</v>
      </c>
      <c r="B247" s="82">
        <v>2024</v>
      </c>
      <c r="C247" s="82" t="s">
        <v>237</v>
      </c>
      <c r="D247" s="82">
        <v>5</v>
      </c>
      <c r="E247" s="82" t="s">
        <v>239</v>
      </c>
      <c r="F247" s="82">
        <v>21</v>
      </c>
      <c r="G247" s="82">
        <v>25</v>
      </c>
      <c r="H247" s="82" t="s">
        <v>131</v>
      </c>
    </row>
    <row r="248" spans="1:8" x14ac:dyDescent="0.3">
      <c r="A248" s="83">
        <v>45438</v>
      </c>
      <c r="B248" s="84">
        <v>2024</v>
      </c>
      <c r="C248" s="84" t="s">
        <v>237</v>
      </c>
      <c r="D248" s="84">
        <v>5</v>
      </c>
      <c r="E248" s="84" t="s">
        <v>239</v>
      </c>
      <c r="F248" s="84">
        <v>21</v>
      </c>
      <c r="G248" s="84">
        <v>26</v>
      </c>
      <c r="H248" s="84" t="s">
        <v>133</v>
      </c>
    </row>
    <row r="249" spans="1:8" x14ac:dyDescent="0.3">
      <c r="A249" s="81">
        <v>45439</v>
      </c>
      <c r="B249" s="82">
        <v>2024</v>
      </c>
      <c r="C249" s="82" t="s">
        <v>237</v>
      </c>
      <c r="D249" s="82">
        <v>5</v>
      </c>
      <c r="E249" s="82" t="s">
        <v>239</v>
      </c>
      <c r="F249" s="82">
        <v>22</v>
      </c>
      <c r="G249" s="82">
        <v>27</v>
      </c>
      <c r="H249" s="82" t="s">
        <v>121</v>
      </c>
    </row>
    <row r="250" spans="1:8" x14ac:dyDescent="0.3">
      <c r="A250" s="83">
        <v>45440</v>
      </c>
      <c r="B250" s="84">
        <v>2024</v>
      </c>
      <c r="C250" s="84" t="s">
        <v>237</v>
      </c>
      <c r="D250" s="84">
        <v>5</v>
      </c>
      <c r="E250" s="84" t="s">
        <v>239</v>
      </c>
      <c r="F250" s="84">
        <v>22</v>
      </c>
      <c r="G250" s="84">
        <v>28</v>
      </c>
      <c r="H250" s="84" t="s">
        <v>123</v>
      </c>
    </row>
    <row r="251" spans="1:8" x14ac:dyDescent="0.3">
      <c r="A251" s="81">
        <v>45441</v>
      </c>
      <c r="B251" s="82">
        <v>2024</v>
      </c>
      <c r="C251" s="82" t="s">
        <v>237</v>
      </c>
      <c r="D251" s="82">
        <v>5</v>
      </c>
      <c r="E251" s="82" t="s">
        <v>239</v>
      </c>
      <c r="F251" s="82">
        <v>22</v>
      </c>
      <c r="G251" s="82">
        <v>29</v>
      </c>
      <c r="H251" s="82" t="s">
        <v>125</v>
      </c>
    </row>
    <row r="252" spans="1:8" x14ac:dyDescent="0.3">
      <c r="A252" s="83">
        <v>45442</v>
      </c>
      <c r="B252" s="84">
        <v>2024</v>
      </c>
      <c r="C252" s="84" t="s">
        <v>237</v>
      </c>
      <c r="D252" s="84">
        <v>5</v>
      </c>
      <c r="E252" s="84" t="s">
        <v>239</v>
      </c>
      <c r="F252" s="84">
        <v>22</v>
      </c>
      <c r="G252" s="84">
        <v>30</v>
      </c>
      <c r="H252" s="84" t="s">
        <v>127</v>
      </c>
    </row>
    <row r="253" spans="1:8" x14ac:dyDescent="0.3">
      <c r="A253" s="81">
        <v>45443</v>
      </c>
      <c r="B253" s="82">
        <v>2024</v>
      </c>
      <c r="C253" s="82" t="s">
        <v>237</v>
      </c>
      <c r="D253" s="82">
        <v>5</v>
      </c>
      <c r="E253" s="82" t="s">
        <v>239</v>
      </c>
      <c r="F253" s="82">
        <v>22</v>
      </c>
      <c r="G253" s="82">
        <v>31</v>
      </c>
      <c r="H253" s="82" t="s">
        <v>129</v>
      </c>
    </row>
    <row r="254" spans="1:8" x14ac:dyDescent="0.3">
      <c r="A254" s="83">
        <v>45444</v>
      </c>
      <c r="B254" s="84">
        <v>2024</v>
      </c>
      <c r="C254" s="84" t="s">
        <v>237</v>
      </c>
      <c r="D254" s="84">
        <v>6</v>
      </c>
      <c r="E254" s="84" t="s">
        <v>240</v>
      </c>
      <c r="F254" s="84">
        <v>22</v>
      </c>
      <c r="G254" s="84">
        <v>1</v>
      </c>
      <c r="H254" s="84" t="s">
        <v>131</v>
      </c>
    </row>
    <row r="255" spans="1:8" x14ac:dyDescent="0.3">
      <c r="A255" s="81">
        <v>45445</v>
      </c>
      <c r="B255" s="82">
        <v>2024</v>
      </c>
      <c r="C255" s="82" t="s">
        <v>237</v>
      </c>
      <c r="D255" s="82">
        <v>6</v>
      </c>
      <c r="E255" s="82" t="s">
        <v>240</v>
      </c>
      <c r="F255" s="82">
        <v>22</v>
      </c>
      <c r="G255" s="82">
        <v>2</v>
      </c>
      <c r="H255" s="82" t="s">
        <v>133</v>
      </c>
    </row>
    <row r="256" spans="1:8" x14ac:dyDescent="0.3">
      <c r="A256" s="83">
        <v>45446</v>
      </c>
      <c r="B256" s="84">
        <v>2024</v>
      </c>
      <c r="C256" s="84" t="s">
        <v>237</v>
      </c>
      <c r="D256" s="84">
        <v>6</v>
      </c>
      <c r="E256" s="84" t="s">
        <v>240</v>
      </c>
      <c r="F256" s="84">
        <v>23</v>
      </c>
      <c r="G256" s="84">
        <v>3</v>
      </c>
      <c r="H256" s="84" t="s">
        <v>121</v>
      </c>
    </row>
    <row r="257" spans="1:8" x14ac:dyDescent="0.3">
      <c r="A257" s="81">
        <v>45447</v>
      </c>
      <c r="B257" s="82">
        <v>2024</v>
      </c>
      <c r="C257" s="82" t="s">
        <v>237</v>
      </c>
      <c r="D257" s="82">
        <v>6</v>
      </c>
      <c r="E257" s="82" t="s">
        <v>240</v>
      </c>
      <c r="F257" s="82">
        <v>23</v>
      </c>
      <c r="G257" s="82">
        <v>4</v>
      </c>
      <c r="H257" s="82" t="s">
        <v>123</v>
      </c>
    </row>
    <row r="258" spans="1:8" x14ac:dyDescent="0.3">
      <c r="A258" s="83">
        <v>45448</v>
      </c>
      <c r="B258" s="84">
        <v>2024</v>
      </c>
      <c r="C258" s="84" t="s">
        <v>237</v>
      </c>
      <c r="D258" s="84">
        <v>6</v>
      </c>
      <c r="E258" s="84" t="s">
        <v>240</v>
      </c>
      <c r="F258" s="84">
        <v>23</v>
      </c>
      <c r="G258" s="84">
        <v>5</v>
      </c>
      <c r="H258" s="84" t="s">
        <v>125</v>
      </c>
    </row>
    <row r="259" spans="1:8" x14ac:dyDescent="0.3">
      <c r="A259" s="81">
        <v>45449</v>
      </c>
      <c r="B259" s="82">
        <v>2024</v>
      </c>
      <c r="C259" s="82" t="s">
        <v>237</v>
      </c>
      <c r="D259" s="82">
        <v>6</v>
      </c>
      <c r="E259" s="82" t="s">
        <v>240</v>
      </c>
      <c r="F259" s="82">
        <v>23</v>
      </c>
      <c r="G259" s="82">
        <v>6</v>
      </c>
      <c r="H259" s="82" t="s">
        <v>127</v>
      </c>
    </row>
    <row r="260" spans="1:8" x14ac:dyDescent="0.3">
      <c r="A260" s="83">
        <v>45450</v>
      </c>
      <c r="B260" s="84">
        <v>2024</v>
      </c>
      <c r="C260" s="84" t="s">
        <v>237</v>
      </c>
      <c r="D260" s="84">
        <v>6</v>
      </c>
      <c r="E260" s="84" t="s">
        <v>240</v>
      </c>
      <c r="F260" s="84">
        <v>23</v>
      </c>
      <c r="G260" s="84">
        <v>7</v>
      </c>
      <c r="H260" s="84" t="s">
        <v>129</v>
      </c>
    </row>
    <row r="261" spans="1:8" x14ac:dyDescent="0.3">
      <c r="A261" s="81">
        <v>45451</v>
      </c>
      <c r="B261" s="82">
        <v>2024</v>
      </c>
      <c r="C261" s="82" t="s">
        <v>237</v>
      </c>
      <c r="D261" s="82">
        <v>6</v>
      </c>
      <c r="E261" s="82" t="s">
        <v>240</v>
      </c>
      <c r="F261" s="82">
        <v>23</v>
      </c>
      <c r="G261" s="82">
        <v>8</v>
      </c>
      <c r="H261" s="82" t="s">
        <v>131</v>
      </c>
    </row>
    <row r="262" spans="1:8" x14ac:dyDescent="0.3">
      <c r="A262" s="83">
        <v>45452</v>
      </c>
      <c r="B262" s="84">
        <v>2024</v>
      </c>
      <c r="C262" s="84" t="s">
        <v>237</v>
      </c>
      <c r="D262" s="84">
        <v>6</v>
      </c>
      <c r="E262" s="84" t="s">
        <v>240</v>
      </c>
      <c r="F262" s="84">
        <v>23</v>
      </c>
      <c r="G262" s="84">
        <v>9</v>
      </c>
      <c r="H262" s="84" t="s">
        <v>133</v>
      </c>
    </row>
    <row r="263" spans="1:8" x14ac:dyDescent="0.3">
      <c r="A263" s="81">
        <v>45453</v>
      </c>
      <c r="B263" s="82">
        <v>2024</v>
      </c>
      <c r="C263" s="82" t="s">
        <v>237</v>
      </c>
      <c r="D263" s="82">
        <v>6</v>
      </c>
      <c r="E263" s="82" t="s">
        <v>240</v>
      </c>
      <c r="F263" s="82">
        <v>24</v>
      </c>
      <c r="G263" s="82">
        <v>10</v>
      </c>
      <c r="H263" s="82" t="s">
        <v>121</v>
      </c>
    </row>
    <row r="264" spans="1:8" x14ac:dyDescent="0.3">
      <c r="A264" s="83">
        <v>45454</v>
      </c>
      <c r="B264" s="84">
        <v>2024</v>
      </c>
      <c r="C264" s="84" t="s">
        <v>237</v>
      </c>
      <c r="D264" s="84">
        <v>6</v>
      </c>
      <c r="E264" s="84" t="s">
        <v>240</v>
      </c>
      <c r="F264" s="84">
        <v>24</v>
      </c>
      <c r="G264" s="84">
        <v>11</v>
      </c>
      <c r="H264" s="84" t="s">
        <v>123</v>
      </c>
    </row>
    <row r="265" spans="1:8" x14ac:dyDescent="0.3">
      <c r="A265" s="81">
        <v>45455</v>
      </c>
      <c r="B265" s="82">
        <v>2024</v>
      </c>
      <c r="C265" s="82" t="s">
        <v>237</v>
      </c>
      <c r="D265" s="82">
        <v>6</v>
      </c>
      <c r="E265" s="82" t="s">
        <v>240</v>
      </c>
      <c r="F265" s="82">
        <v>24</v>
      </c>
      <c r="G265" s="82">
        <v>12</v>
      </c>
      <c r="H265" s="82" t="s">
        <v>125</v>
      </c>
    </row>
    <row r="266" spans="1:8" x14ac:dyDescent="0.3">
      <c r="A266" s="83">
        <v>45456</v>
      </c>
      <c r="B266" s="84">
        <v>2024</v>
      </c>
      <c r="C266" s="84" t="s">
        <v>237</v>
      </c>
      <c r="D266" s="84">
        <v>6</v>
      </c>
      <c r="E266" s="84" t="s">
        <v>240</v>
      </c>
      <c r="F266" s="84">
        <v>24</v>
      </c>
      <c r="G266" s="84">
        <v>13</v>
      </c>
      <c r="H266" s="84" t="s">
        <v>127</v>
      </c>
    </row>
    <row r="267" spans="1:8" x14ac:dyDescent="0.3">
      <c r="A267" s="81">
        <v>45457</v>
      </c>
      <c r="B267" s="82">
        <v>2024</v>
      </c>
      <c r="C267" s="82" t="s">
        <v>237</v>
      </c>
      <c r="D267" s="82">
        <v>6</v>
      </c>
      <c r="E267" s="82" t="s">
        <v>240</v>
      </c>
      <c r="F267" s="82">
        <v>24</v>
      </c>
      <c r="G267" s="82">
        <v>14</v>
      </c>
      <c r="H267" s="82" t="s">
        <v>129</v>
      </c>
    </row>
    <row r="268" spans="1:8" x14ac:dyDescent="0.3">
      <c r="A268" s="83">
        <v>45458</v>
      </c>
      <c r="B268" s="84">
        <v>2024</v>
      </c>
      <c r="C268" s="84" t="s">
        <v>237</v>
      </c>
      <c r="D268" s="84">
        <v>6</v>
      </c>
      <c r="E268" s="84" t="s">
        <v>240</v>
      </c>
      <c r="F268" s="84">
        <v>24</v>
      </c>
      <c r="G268" s="84">
        <v>15</v>
      </c>
      <c r="H268" s="84" t="s">
        <v>131</v>
      </c>
    </row>
    <row r="269" spans="1:8" x14ac:dyDescent="0.3">
      <c r="A269" s="81">
        <v>45459</v>
      </c>
      <c r="B269" s="82">
        <v>2024</v>
      </c>
      <c r="C269" s="82" t="s">
        <v>237</v>
      </c>
      <c r="D269" s="82">
        <v>6</v>
      </c>
      <c r="E269" s="82" t="s">
        <v>240</v>
      </c>
      <c r="F269" s="82">
        <v>24</v>
      </c>
      <c r="G269" s="82">
        <v>16</v>
      </c>
      <c r="H269" s="82" t="s">
        <v>133</v>
      </c>
    </row>
    <row r="270" spans="1:8" x14ac:dyDescent="0.3">
      <c r="A270" s="83">
        <v>45460</v>
      </c>
      <c r="B270" s="84">
        <v>2024</v>
      </c>
      <c r="C270" s="84" t="s">
        <v>237</v>
      </c>
      <c r="D270" s="84">
        <v>6</v>
      </c>
      <c r="E270" s="84" t="s">
        <v>240</v>
      </c>
      <c r="F270" s="84">
        <v>25</v>
      </c>
      <c r="G270" s="84">
        <v>17</v>
      </c>
      <c r="H270" s="84" t="s">
        <v>121</v>
      </c>
    </row>
    <row r="271" spans="1:8" x14ac:dyDescent="0.3">
      <c r="A271" s="81">
        <v>45461</v>
      </c>
      <c r="B271" s="82">
        <v>2024</v>
      </c>
      <c r="C271" s="82" t="s">
        <v>237</v>
      </c>
      <c r="D271" s="82">
        <v>6</v>
      </c>
      <c r="E271" s="82" t="s">
        <v>240</v>
      </c>
      <c r="F271" s="82">
        <v>25</v>
      </c>
      <c r="G271" s="82">
        <v>18</v>
      </c>
      <c r="H271" s="82" t="s">
        <v>123</v>
      </c>
    </row>
    <row r="272" spans="1:8" x14ac:dyDescent="0.3">
      <c r="A272" s="83">
        <v>45462</v>
      </c>
      <c r="B272" s="84">
        <v>2024</v>
      </c>
      <c r="C272" s="84" t="s">
        <v>237</v>
      </c>
      <c r="D272" s="84">
        <v>6</v>
      </c>
      <c r="E272" s="84" t="s">
        <v>240</v>
      </c>
      <c r="F272" s="84">
        <v>25</v>
      </c>
      <c r="G272" s="84">
        <v>19</v>
      </c>
      <c r="H272" s="84" t="s">
        <v>125</v>
      </c>
    </row>
    <row r="273" spans="1:8" x14ac:dyDescent="0.3">
      <c r="A273" s="81">
        <v>45463</v>
      </c>
      <c r="B273" s="82">
        <v>2024</v>
      </c>
      <c r="C273" s="82" t="s">
        <v>237</v>
      </c>
      <c r="D273" s="82">
        <v>6</v>
      </c>
      <c r="E273" s="82" t="s">
        <v>240</v>
      </c>
      <c r="F273" s="82">
        <v>25</v>
      </c>
      <c r="G273" s="82">
        <v>20</v>
      </c>
      <c r="H273" s="82" t="s">
        <v>127</v>
      </c>
    </row>
    <row r="274" spans="1:8" x14ac:dyDescent="0.3">
      <c r="A274" s="83">
        <v>45464</v>
      </c>
      <c r="B274" s="84">
        <v>2024</v>
      </c>
      <c r="C274" s="84" t="s">
        <v>237</v>
      </c>
      <c r="D274" s="84">
        <v>6</v>
      </c>
      <c r="E274" s="84" t="s">
        <v>240</v>
      </c>
      <c r="F274" s="84">
        <v>25</v>
      </c>
      <c r="G274" s="84">
        <v>21</v>
      </c>
      <c r="H274" s="84" t="s">
        <v>129</v>
      </c>
    </row>
    <row r="275" spans="1:8" x14ac:dyDescent="0.3">
      <c r="A275" s="81">
        <v>45465</v>
      </c>
      <c r="B275" s="82">
        <v>2024</v>
      </c>
      <c r="C275" s="82" t="s">
        <v>237</v>
      </c>
      <c r="D275" s="82">
        <v>6</v>
      </c>
      <c r="E275" s="82" t="s">
        <v>240</v>
      </c>
      <c r="F275" s="82">
        <v>25</v>
      </c>
      <c r="G275" s="82">
        <v>22</v>
      </c>
      <c r="H275" s="82" t="s">
        <v>131</v>
      </c>
    </row>
    <row r="276" spans="1:8" x14ac:dyDescent="0.3">
      <c r="A276" s="83">
        <v>45466</v>
      </c>
      <c r="B276" s="84">
        <v>2024</v>
      </c>
      <c r="C276" s="84" t="s">
        <v>237</v>
      </c>
      <c r="D276" s="84">
        <v>6</v>
      </c>
      <c r="E276" s="84" t="s">
        <v>240</v>
      </c>
      <c r="F276" s="84">
        <v>25</v>
      </c>
      <c r="G276" s="84">
        <v>23</v>
      </c>
      <c r="H276" s="84" t="s">
        <v>133</v>
      </c>
    </row>
    <row r="277" spans="1:8" x14ac:dyDescent="0.3">
      <c r="A277" s="81">
        <v>45467</v>
      </c>
      <c r="B277" s="82">
        <v>2024</v>
      </c>
      <c r="C277" s="82" t="s">
        <v>237</v>
      </c>
      <c r="D277" s="82">
        <v>6</v>
      </c>
      <c r="E277" s="82" t="s">
        <v>240</v>
      </c>
      <c r="F277" s="82">
        <v>26</v>
      </c>
      <c r="G277" s="82">
        <v>24</v>
      </c>
      <c r="H277" s="82" t="s">
        <v>121</v>
      </c>
    </row>
    <row r="278" spans="1:8" x14ac:dyDescent="0.3">
      <c r="A278" s="83">
        <v>45468</v>
      </c>
      <c r="B278" s="84">
        <v>2024</v>
      </c>
      <c r="C278" s="84" t="s">
        <v>237</v>
      </c>
      <c r="D278" s="84">
        <v>6</v>
      </c>
      <c r="E278" s="84" t="s">
        <v>240</v>
      </c>
      <c r="F278" s="84">
        <v>26</v>
      </c>
      <c r="G278" s="84">
        <v>25</v>
      </c>
      <c r="H278" s="84" t="s">
        <v>123</v>
      </c>
    </row>
    <row r="279" spans="1:8" x14ac:dyDescent="0.3">
      <c r="A279" s="81">
        <v>45469</v>
      </c>
      <c r="B279" s="82">
        <v>2024</v>
      </c>
      <c r="C279" s="82" t="s">
        <v>237</v>
      </c>
      <c r="D279" s="82">
        <v>6</v>
      </c>
      <c r="E279" s="82" t="s">
        <v>240</v>
      </c>
      <c r="F279" s="82">
        <v>26</v>
      </c>
      <c r="G279" s="82">
        <v>26</v>
      </c>
      <c r="H279" s="82" t="s">
        <v>125</v>
      </c>
    </row>
    <row r="280" spans="1:8" x14ac:dyDescent="0.3">
      <c r="A280" s="83">
        <v>45470</v>
      </c>
      <c r="B280" s="84">
        <v>2024</v>
      </c>
      <c r="C280" s="84" t="s">
        <v>237</v>
      </c>
      <c r="D280" s="84">
        <v>6</v>
      </c>
      <c r="E280" s="84" t="s">
        <v>240</v>
      </c>
      <c r="F280" s="84">
        <v>26</v>
      </c>
      <c r="G280" s="84">
        <v>27</v>
      </c>
      <c r="H280" s="84" t="s">
        <v>127</v>
      </c>
    </row>
    <row r="281" spans="1:8" x14ac:dyDescent="0.3">
      <c r="A281" s="81">
        <v>45471</v>
      </c>
      <c r="B281" s="82">
        <v>2024</v>
      </c>
      <c r="C281" s="82" t="s">
        <v>237</v>
      </c>
      <c r="D281" s="82">
        <v>6</v>
      </c>
      <c r="E281" s="82" t="s">
        <v>240</v>
      </c>
      <c r="F281" s="82">
        <v>26</v>
      </c>
      <c r="G281" s="82">
        <v>28</v>
      </c>
      <c r="H281" s="82" t="s">
        <v>129</v>
      </c>
    </row>
    <row r="282" spans="1:8" x14ac:dyDescent="0.3">
      <c r="A282" s="83">
        <v>45472</v>
      </c>
      <c r="B282" s="84">
        <v>2024</v>
      </c>
      <c r="C282" s="84" t="s">
        <v>237</v>
      </c>
      <c r="D282" s="84">
        <v>6</v>
      </c>
      <c r="E282" s="84" t="s">
        <v>240</v>
      </c>
      <c r="F282" s="84">
        <v>26</v>
      </c>
      <c r="G282" s="84">
        <v>29</v>
      </c>
      <c r="H282" s="84" t="s">
        <v>131</v>
      </c>
    </row>
    <row r="283" spans="1:8" x14ac:dyDescent="0.3">
      <c r="A283" s="81">
        <v>45473</v>
      </c>
      <c r="B283" s="82">
        <v>2024</v>
      </c>
      <c r="C283" s="82" t="s">
        <v>237</v>
      </c>
      <c r="D283" s="82">
        <v>6</v>
      </c>
      <c r="E283" s="82" t="s">
        <v>240</v>
      </c>
      <c r="F283" s="82">
        <v>26</v>
      </c>
      <c r="G283" s="82">
        <v>30</v>
      </c>
      <c r="H283" s="82" t="s">
        <v>133</v>
      </c>
    </row>
    <row r="284" spans="1:8" x14ac:dyDescent="0.3">
      <c r="A284" s="83">
        <v>45474</v>
      </c>
      <c r="B284" s="84">
        <v>2024</v>
      </c>
      <c r="C284" s="84" t="s">
        <v>227</v>
      </c>
      <c r="D284" s="84">
        <v>7</v>
      </c>
      <c r="E284" s="84" t="s">
        <v>241</v>
      </c>
      <c r="F284" s="84">
        <v>27</v>
      </c>
      <c r="G284" s="84">
        <v>1</v>
      </c>
      <c r="H284" s="84" t="s">
        <v>121</v>
      </c>
    </row>
    <row r="285" spans="1:8" x14ac:dyDescent="0.3">
      <c r="A285" s="81">
        <v>45475</v>
      </c>
      <c r="B285" s="82">
        <v>2024</v>
      </c>
      <c r="C285" s="82" t="s">
        <v>227</v>
      </c>
      <c r="D285" s="82">
        <v>7</v>
      </c>
      <c r="E285" s="82" t="s">
        <v>241</v>
      </c>
      <c r="F285" s="82">
        <v>27</v>
      </c>
      <c r="G285" s="82">
        <v>2</v>
      </c>
      <c r="H285" s="82" t="s">
        <v>123</v>
      </c>
    </row>
    <row r="286" spans="1:8" x14ac:dyDescent="0.3">
      <c r="A286" s="83">
        <v>45476</v>
      </c>
      <c r="B286" s="84">
        <v>2024</v>
      </c>
      <c r="C286" s="84" t="s">
        <v>227</v>
      </c>
      <c r="D286" s="84">
        <v>7</v>
      </c>
      <c r="E286" s="84" t="s">
        <v>241</v>
      </c>
      <c r="F286" s="84">
        <v>27</v>
      </c>
      <c r="G286" s="84">
        <v>3</v>
      </c>
      <c r="H286" s="84" t="s">
        <v>125</v>
      </c>
    </row>
    <row r="287" spans="1:8" x14ac:dyDescent="0.3">
      <c r="A287" s="81">
        <v>45477</v>
      </c>
      <c r="B287" s="82">
        <v>2024</v>
      </c>
      <c r="C287" s="82" t="s">
        <v>227</v>
      </c>
      <c r="D287" s="82">
        <v>7</v>
      </c>
      <c r="E287" s="82" t="s">
        <v>241</v>
      </c>
      <c r="F287" s="82">
        <v>27</v>
      </c>
      <c r="G287" s="82">
        <v>4</v>
      </c>
      <c r="H287" s="82" t="s">
        <v>127</v>
      </c>
    </row>
    <row r="288" spans="1:8" x14ac:dyDescent="0.3">
      <c r="A288" s="83">
        <v>45478</v>
      </c>
      <c r="B288" s="84">
        <v>2024</v>
      </c>
      <c r="C288" s="84" t="s">
        <v>227</v>
      </c>
      <c r="D288" s="84">
        <v>7</v>
      </c>
      <c r="E288" s="84" t="s">
        <v>241</v>
      </c>
      <c r="F288" s="84">
        <v>27</v>
      </c>
      <c r="G288" s="84">
        <v>5</v>
      </c>
      <c r="H288" s="84" t="s">
        <v>129</v>
      </c>
    </row>
    <row r="289" spans="1:8" x14ac:dyDescent="0.3">
      <c r="A289" s="81">
        <v>45479</v>
      </c>
      <c r="B289" s="82">
        <v>2024</v>
      </c>
      <c r="C289" s="82" t="s">
        <v>227</v>
      </c>
      <c r="D289" s="82">
        <v>7</v>
      </c>
      <c r="E289" s="82" t="s">
        <v>241</v>
      </c>
      <c r="F289" s="82">
        <v>27</v>
      </c>
      <c r="G289" s="82">
        <v>6</v>
      </c>
      <c r="H289" s="82" t="s">
        <v>131</v>
      </c>
    </row>
    <row r="290" spans="1:8" x14ac:dyDescent="0.3">
      <c r="A290" s="83">
        <v>45480</v>
      </c>
      <c r="B290" s="84">
        <v>2024</v>
      </c>
      <c r="C290" s="84" t="s">
        <v>227</v>
      </c>
      <c r="D290" s="84">
        <v>7</v>
      </c>
      <c r="E290" s="84" t="s">
        <v>241</v>
      </c>
      <c r="F290" s="84">
        <v>27</v>
      </c>
      <c r="G290" s="84">
        <v>7</v>
      </c>
      <c r="H290" s="84" t="s">
        <v>133</v>
      </c>
    </row>
    <row r="291" spans="1:8" x14ac:dyDescent="0.3">
      <c r="A291" s="81">
        <v>45481</v>
      </c>
      <c r="B291" s="82">
        <v>2024</v>
      </c>
      <c r="C291" s="82" t="s">
        <v>227</v>
      </c>
      <c r="D291" s="82">
        <v>7</v>
      </c>
      <c r="E291" s="82" t="s">
        <v>241</v>
      </c>
      <c r="F291" s="82">
        <v>28</v>
      </c>
      <c r="G291" s="82">
        <v>8</v>
      </c>
      <c r="H291" s="82" t="s">
        <v>121</v>
      </c>
    </row>
    <row r="292" spans="1:8" x14ac:dyDescent="0.3">
      <c r="A292" s="83">
        <v>45482</v>
      </c>
      <c r="B292" s="84">
        <v>2024</v>
      </c>
      <c r="C292" s="84" t="s">
        <v>227</v>
      </c>
      <c r="D292" s="84">
        <v>7</v>
      </c>
      <c r="E292" s="84" t="s">
        <v>241</v>
      </c>
      <c r="F292" s="84">
        <v>28</v>
      </c>
      <c r="G292" s="84">
        <v>9</v>
      </c>
      <c r="H292" s="84" t="s">
        <v>123</v>
      </c>
    </row>
    <row r="293" spans="1:8" x14ac:dyDescent="0.3">
      <c r="A293" s="81">
        <v>45483</v>
      </c>
      <c r="B293" s="82">
        <v>2024</v>
      </c>
      <c r="C293" s="82" t="s">
        <v>227</v>
      </c>
      <c r="D293" s="82">
        <v>7</v>
      </c>
      <c r="E293" s="82" t="s">
        <v>241</v>
      </c>
      <c r="F293" s="82">
        <v>28</v>
      </c>
      <c r="G293" s="82">
        <v>10</v>
      </c>
      <c r="H293" s="82" t="s">
        <v>125</v>
      </c>
    </row>
    <row r="294" spans="1:8" x14ac:dyDescent="0.3">
      <c r="A294" s="83">
        <v>45484</v>
      </c>
      <c r="B294" s="84">
        <v>2024</v>
      </c>
      <c r="C294" s="84" t="s">
        <v>227</v>
      </c>
      <c r="D294" s="84">
        <v>7</v>
      </c>
      <c r="E294" s="84" t="s">
        <v>241</v>
      </c>
      <c r="F294" s="84">
        <v>28</v>
      </c>
      <c r="G294" s="84">
        <v>11</v>
      </c>
      <c r="H294" s="84" t="s">
        <v>127</v>
      </c>
    </row>
    <row r="295" spans="1:8" x14ac:dyDescent="0.3">
      <c r="A295" s="81">
        <v>45485</v>
      </c>
      <c r="B295" s="82">
        <v>2024</v>
      </c>
      <c r="C295" s="82" t="s">
        <v>227</v>
      </c>
      <c r="D295" s="82">
        <v>7</v>
      </c>
      <c r="E295" s="82" t="s">
        <v>241</v>
      </c>
      <c r="F295" s="82">
        <v>28</v>
      </c>
      <c r="G295" s="82">
        <v>12</v>
      </c>
      <c r="H295" s="82" t="s">
        <v>129</v>
      </c>
    </row>
    <row r="296" spans="1:8" x14ac:dyDescent="0.3">
      <c r="A296" s="83">
        <v>45486</v>
      </c>
      <c r="B296" s="84">
        <v>2024</v>
      </c>
      <c r="C296" s="84" t="s">
        <v>227</v>
      </c>
      <c r="D296" s="84">
        <v>7</v>
      </c>
      <c r="E296" s="84" t="s">
        <v>241</v>
      </c>
      <c r="F296" s="84">
        <v>28</v>
      </c>
      <c r="G296" s="84">
        <v>13</v>
      </c>
      <c r="H296" s="84" t="s">
        <v>131</v>
      </c>
    </row>
    <row r="297" spans="1:8" x14ac:dyDescent="0.3">
      <c r="A297" s="81">
        <v>45487</v>
      </c>
      <c r="B297" s="82">
        <v>2024</v>
      </c>
      <c r="C297" s="82" t="s">
        <v>227</v>
      </c>
      <c r="D297" s="82">
        <v>7</v>
      </c>
      <c r="E297" s="82" t="s">
        <v>241</v>
      </c>
      <c r="F297" s="82">
        <v>28</v>
      </c>
      <c r="G297" s="82">
        <v>14</v>
      </c>
      <c r="H297" s="82" t="s">
        <v>133</v>
      </c>
    </row>
    <row r="298" spans="1:8" x14ac:dyDescent="0.3">
      <c r="A298" s="83">
        <v>45488</v>
      </c>
      <c r="B298" s="84">
        <v>2024</v>
      </c>
      <c r="C298" s="84" t="s">
        <v>227</v>
      </c>
      <c r="D298" s="84">
        <v>7</v>
      </c>
      <c r="E298" s="84" t="s">
        <v>241</v>
      </c>
      <c r="F298" s="84">
        <v>29</v>
      </c>
      <c r="G298" s="84">
        <v>15</v>
      </c>
      <c r="H298" s="84" t="s">
        <v>121</v>
      </c>
    </row>
    <row r="299" spans="1:8" x14ac:dyDescent="0.3">
      <c r="A299" s="81">
        <v>45489</v>
      </c>
      <c r="B299" s="82">
        <v>2024</v>
      </c>
      <c r="C299" s="82" t="s">
        <v>227</v>
      </c>
      <c r="D299" s="82">
        <v>7</v>
      </c>
      <c r="E299" s="82" t="s">
        <v>241</v>
      </c>
      <c r="F299" s="82">
        <v>29</v>
      </c>
      <c r="G299" s="82">
        <v>16</v>
      </c>
      <c r="H299" s="82" t="s">
        <v>123</v>
      </c>
    </row>
    <row r="300" spans="1:8" x14ac:dyDescent="0.3">
      <c r="A300" s="83">
        <v>45490</v>
      </c>
      <c r="B300" s="84">
        <v>2024</v>
      </c>
      <c r="C300" s="84" t="s">
        <v>227</v>
      </c>
      <c r="D300" s="84">
        <v>7</v>
      </c>
      <c r="E300" s="84" t="s">
        <v>241</v>
      </c>
      <c r="F300" s="84">
        <v>29</v>
      </c>
      <c r="G300" s="84">
        <v>17</v>
      </c>
      <c r="H300" s="84" t="s">
        <v>125</v>
      </c>
    </row>
    <row r="301" spans="1:8" x14ac:dyDescent="0.3">
      <c r="A301" s="81">
        <v>45491</v>
      </c>
      <c r="B301" s="82">
        <v>2024</v>
      </c>
      <c r="C301" s="82" t="s">
        <v>227</v>
      </c>
      <c r="D301" s="82">
        <v>7</v>
      </c>
      <c r="E301" s="82" t="s">
        <v>241</v>
      </c>
      <c r="F301" s="82">
        <v>29</v>
      </c>
      <c r="G301" s="82">
        <v>18</v>
      </c>
      <c r="H301" s="82" t="s">
        <v>127</v>
      </c>
    </row>
    <row r="302" spans="1:8" x14ac:dyDescent="0.3">
      <c r="A302" s="83">
        <v>45492</v>
      </c>
      <c r="B302" s="84">
        <v>2024</v>
      </c>
      <c r="C302" s="84" t="s">
        <v>227</v>
      </c>
      <c r="D302" s="84">
        <v>7</v>
      </c>
      <c r="E302" s="84" t="s">
        <v>241</v>
      </c>
      <c r="F302" s="84">
        <v>29</v>
      </c>
      <c r="G302" s="84">
        <v>19</v>
      </c>
      <c r="H302" s="84" t="s">
        <v>129</v>
      </c>
    </row>
    <row r="303" spans="1:8" x14ac:dyDescent="0.3">
      <c r="A303" s="81">
        <v>45493</v>
      </c>
      <c r="B303" s="82">
        <v>2024</v>
      </c>
      <c r="C303" s="82" t="s">
        <v>227</v>
      </c>
      <c r="D303" s="82">
        <v>7</v>
      </c>
      <c r="E303" s="82" t="s">
        <v>241</v>
      </c>
      <c r="F303" s="82">
        <v>29</v>
      </c>
      <c r="G303" s="82">
        <v>20</v>
      </c>
      <c r="H303" s="82" t="s">
        <v>131</v>
      </c>
    </row>
    <row r="304" spans="1:8" x14ac:dyDescent="0.3">
      <c r="A304" s="83">
        <v>45494</v>
      </c>
      <c r="B304" s="84">
        <v>2024</v>
      </c>
      <c r="C304" s="84" t="s">
        <v>227</v>
      </c>
      <c r="D304" s="84">
        <v>7</v>
      </c>
      <c r="E304" s="84" t="s">
        <v>241</v>
      </c>
      <c r="F304" s="84">
        <v>29</v>
      </c>
      <c r="G304" s="84">
        <v>21</v>
      </c>
      <c r="H304" s="84" t="s">
        <v>133</v>
      </c>
    </row>
    <row r="305" spans="1:8" x14ac:dyDescent="0.3">
      <c r="A305" s="81">
        <v>45495</v>
      </c>
      <c r="B305" s="82">
        <v>2024</v>
      </c>
      <c r="C305" s="82" t="s">
        <v>227</v>
      </c>
      <c r="D305" s="82">
        <v>7</v>
      </c>
      <c r="E305" s="82" t="s">
        <v>241</v>
      </c>
      <c r="F305" s="82">
        <v>30</v>
      </c>
      <c r="G305" s="82">
        <v>22</v>
      </c>
      <c r="H305" s="82" t="s">
        <v>121</v>
      </c>
    </row>
    <row r="306" spans="1:8" x14ac:dyDescent="0.3">
      <c r="A306" s="83">
        <v>45496</v>
      </c>
      <c r="B306" s="84">
        <v>2024</v>
      </c>
      <c r="C306" s="84" t="s">
        <v>227</v>
      </c>
      <c r="D306" s="84">
        <v>7</v>
      </c>
      <c r="E306" s="84" t="s">
        <v>241</v>
      </c>
      <c r="F306" s="84">
        <v>30</v>
      </c>
      <c r="G306" s="84">
        <v>23</v>
      </c>
      <c r="H306" s="84" t="s">
        <v>123</v>
      </c>
    </row>
    <row r="307" spans="1:8" x14ac:dyDescent="0.3">
      <c r="A307" s="81">
        <v>45497</v>
      </c>
      <c r="B307" s="82">
        <v>2024</v>
      </c>
      <c r="C307" s="82" t="s">
        <v>227</v>
      </c>
      <c r="D307" s="82">
        <v>7</v>
      </c>
      <c r="E307" s="82" t="s">
        <v>241</v>
      </c>
      <c r="F307" s="82">
        <v>30</v>
      </c>
      <c r="G307" s="82">
        <v>24</v>
      </c>
      <c r="H307" s="82" t="s">
        <v>125</v>
      </c>
    </row>
    <row r="308" spans="1:8" x14ac:dyDescent="0.3">
      <c r="A308" s="83">
        <v>45498</v>
      </c>
      <c r="B308" s="84">
        <v>2024</v>
      </c>
      <c r="C308" s="84" t="s">
        <v>227</v>
      </c>
      <c r="D308" s="84">
        <v>7</v>
      </c>
      <c r="E308" s="84" t="s">
        <v>241</v>
      </c>
      <c r="F308" s="84">
        <v>30</v>
      </c>
      <c r="G308" s="84">
        <v>25</v>
      </c>
      <c r="H308" s="84" t="s">
        <v>127</v>
      </c>
    </row>
    <row r="309" spans="1:8" x14ac:dyDescent="0.3">
      <c r="A309" s="81">
        <v>45499</v>
      </c>
      <c r="B309" s="82">
        <v>2024</v>
      </c>
      <c r="C309" s="82" t="s">
        <v>227</v>
      </c>
      <c r="D309" s="82">
        <v>7</v>
      </c>
      <c r="E309" s="82" t="s">
        <v>241</v>
      </c>
      <c r="F309" s="82">
        <v>30</v>
      </c>
      <c r="G309" s="82">
        <v>26</v>
      </c>
      <c r="H309" s="82" t="s">
        <v>129</v>
      </c>
    </row>
    <row r="310" spans="1:8" x14ac:dyDescent="0.3">
      <c r="A310" s="83">
        <v>45500</v>
      </c>
      <c r="B310" s="84">
        <v>2024</v>
      </c>
      <c r="C310" s="84" t="s">
        <v>227</v>
      </c>
      <c r="D310" s="84">
        <v>7</v>
      </c>
      <c r="E310" s="84" t="s">
        <v>241</v>
      </c>
      <c r="F310" s="84">
        <v>30</v>
      </c>
      <c r="G310" s="84">
        <v>27</v>
      </c>
      <c r="H310" s="84" t="s">
        <v>131</v>
      </c>
    </row>
    <row r="311" spans="1:8" x14ac:dyDescent="0.3">
      <c r="A311" s="81">
        <v>45501</v>
      </c>
      <c r="B311" s="82">
        <v>2024</v>
      </c>
      <c r="C311" s="82" t="s">
        <v>227</v>
      </c>
      <c r="D311" s="82">
        <v>7</v>
      </c>
      <c r="E311" s="82" t="s">
        <v>241</v>
      </c>
      <c r="F311" s="82">
        <v>30</v>
      </c>
      <c r="G311" s="82">
        <v>28</v>
      </c>
      <c r="H311" s="82" t="s">
        <v>133</v>
      </c>
    </row>
    <row r="312" spans="1:8" x14ac:dyDescent="0.3">
      <c r="A312" s="83">
        <v>45502</v>
      </c>
      <c r="B312" s="84">
        <v>2024</v>
      </c>
      <c r="C312" s="84" t="s">
        <v>227</v>
      </c>
      <c r="D312" s="84">
        <v>7</v>
      </c>
      <c r="E312" s="84" t="s">
        <v>241</v>
      </c>
      <c r="F312" s="84">
        <v>31</v>
      </c>
      <c r="G312" s="84">
        <v>29</v>
      </c>
      <c r="H312" s="84" t="s">
        <v>121</v>
      </c>
    </row>
    <row r="313" spans="1:8" x14ac:dyDescent="0.3">
      <c r="A313" s="81">
        <v>45503</v>
      </c>
      <c r="B313" s="82">
        <v>2024</v>
      </c>
      <c r="C313" s="82" t="s">
        <v>227</v>
      </c>
      <c r="D313" s="82">
        <v>7</v>
      </c>
      <c r="E313" s="82" t="s">
        <v>241</v>
      </c>
      <c r="F313" s="82">
        <v>31</v>
      </c>
      <c r="G313" s="82">
        <v>30</v>
      </c>
      <c r="H313" s="82" t="s">
        <v>123</v>
      </c>
    </row>
    <row r="314" spans="1:8" x14ac:dyDescent="0.3">
      <c r="A314" s="83">
        <v>45504</v>
      </c>
      <c r="B314" s="84">
        <v>2024</v>
      </c>
      <c r="C314" s="84" t="s">
        <v>227</v>
      </c>
      <c r="D314" s="84">
        <v>7</v>
      </c>
      <c r="E314" s="84" t="s">
        <v>241</v>
      </c>
      <c r="F314" s="84">
        <v>31</v>
      </c>
      <c r="G314" s="84">
        <v>31</v>
      </c>
      <c r="H314" s="84" t="s">
        <v>125</v>
      </c>
    </row>
    <row r="315" spans="1:8" x14ac:dyDescent="0.3">
      <c r="A315" s="81">
        <v>45505</v>
      </c>
      <c r="B315" s="82">
        <v>2024</v>
      </c>
      <c r="C315" s="82" t="s">
        <v>227</v>
      </c>
      <c r="D315" s="82">
        <v>8</v>
      </c>
      <c r="E315" s="82" t="s">
        <v>242</v>
      </c>
      <c r="F315" s="82">
        <v>31</v>
      </c>
      <c r="G315" s="82">
        <v>1</v>
      </c>
      <c r="H315" s="82" t="s">
        <v>127</v>
      </c>
    </row>
    <row r="316" spans="1:8" x14ac:dyDescent="0.3">
      <c r="A316" s="83">
        <v>45506</v>
      </c>
      <c r="B316" s="84">
        <v>2024</v>
      </c>
      <c r="C316" s="84" t="s">
        <v>227</v>
      </c>
      <c r="D316" s="84">
        <v>8</v>
      </c>
      <c r="E316" s="84" t="s">
        <v>242</v>
      </c>
      <c r="F316" s="84">
        <v>31</v>
      </c>
      <c r="G316" s="84">
        <v>2</v>
      </c>
      <c r="H316" s="84" t="s">
        <v>129</v>
      </c>
    </row>
    <row r="317" spans="1:8" x14ac:dyDescent="0.3">
      <c r="A317" s="81">
        <v>45507</v>
      </c>
      <c r="B317" s="82">
        <v>2024</v>
      </c>
      <c r="C317" s="82" t="s">
        <v>227</v>
      </c>
      <c r="D317" s="82">
        <v>8</v>
      </c>
      <c r="E317" s="82" t="s">
        <v>242</v>
      </c>
      <c r="F317" s="82">
        <v>31</v>
      </c>
      <c r="G317" s="82">
        <v>3</v>
      </c>
      <c r="H317" s="82" t="s">
        <v>131</v>
      </c>
    </row>
    <row r="318" spans="1:8" x14ac:dyDescent="0.3">
      <c r="A318" s="83">
        <v>45508</v>
      </c>
      <c r="B318" s="84">
        <v>2024</v>
      </c>
      <c r="C318" s="84" t="s">
        <v>227</v>
      </c>
      <c r="D318" s="84">
        <v>8</v>
      </c>
      <c r="E318" s="84" t="s">
        <v>242</v>
      </c>
      <c r="F318" s="84">
        <v>31</v>
      </c>
      <c r="G318" s="84">
        <v>4</v>
      </c>
      <c r="H318" s="84" t="s">
        <v>133</v>
      </c>
    </row>
    <row r="319" spans="1:8" x14ac:dyDescent="0.3">
      <c r="A319" s="81">
        <v>45509</v>
      </c>
      <c r="B319" s="82">
        <v>2024</v>
      </c>
      <c r="C319" s="82" t="s">
        <v>227</v>
      </c>
      <c r="D319" s="82">
        <v>8</v>
      </c>
      <c r="E319" s="82" t="s">
        <v>242</v>
      </c>
      <c r="F319" s="82">
        <v>32</v>
      </c>
      <c r="G319" s="82">
        <v>5</v>
      </c>
      <c r="H319" s="82" t="s">
        <v>121</v>
      </c>
    </row>
    <row r="320" spans="1:8" x14ac:dyDescent="0.3">
      <c r="A320" s="83">
        <v>45510</v>
      </c>
      <c r="B320" s="84">
        <v>2024</v>
      </c>
      <c r="C320" s="84" t="s">
        <v>227</v>
      </c>
      <c r="D320" s="84">
        <v>8</v>
      </c>
      <c r="E320" s="84" t="s">
        <v>242</v>
      </c>
      <c r="F320" s="84">
        <v>32</v>
      </c>
      <c r="G320" s="84">
        <v>6</v>
      </c>
      <c r="H320" s="84" t="s">
        <v>123</v>
      </c>
    </row>
    <row r="321" spans="1:8" x14ac:dyDescent="0.3">
      <c r="A321" s="81">
        <v>45511</v>
      </c>
      <c r="B321" s="82">
        <v>2024</v>
      </c>
      <c r="C321" s="82" t="s">
        <v>227</v>
      </c>
      <c r="D321" s="82">
        <v>8</v>
      </c>
      <c r="E321" s="82" t="s">
        <v>242</v>
      </c>
      <c r="F321" s="82">
        <v>32</v>
      </c>
      <c r="G321" s="82">
        <v>7</v>
      </c>
      <c r="H321" s="82" t="s">
        <v>125</v>
      </c>
    </row>
    <row r="322" spans="1:8" x14ac:dyDescent="0.3">
      <c r="A322" s="83">
        <v>45512</v>
      </c>
      <c r="B322" s="84">
        <v>2024</v>
      </c>
      <c r="C322" s="84" t="s">
        <v>227</v>
      </c>
      <c r="D322" s="84">
        <v>8</v>
      </c>
      <c r="E322" s="84" t="s">
        <v>242</v>
      </c>
      <c r="F322" s="84">
        <v>32</v>
      </c>
      <c r="G322" s="84">
        <v>8</v>
      </c>
      <c r="H322" s="84" t="s">
        <v>127</v>
      </c>
    </row>
    <row r="323" spans="1:8" x14ac:dyDescent="0.3">
      <c r="A323" s="81">
        <v>45513</v>
      </c>
      <c r="B323" s="82">
        <v>2024</v>
      </c>
      <c r="C323" s="82" t="s">
        <v>227</v>
      </c>
      <c r="D323" s="82">
        <v>8</v>
      </c>
      <c r="E323" s="82" t="s">
        <v>242</v>
      </c>
      <c r="F323" s="82">
        <v>32</v>
      </c>
      <c r="G323" s="82">
        <v>9</v>
      </c>
      <c r="H323" s="82" t="s">
        <v>129</v>
      </c>
    </row>
    <row r="324" spans="1:8" x14ac:dyDescent="0.3">
      <c r="A324" s="83">
        <v>45514</v>
      </c>
      <c r="B324" s="84">
        <v>2024</v>
      </c>
      <c r="C324" s="84" t="s">
        <v>227</v>
      </c>
      <c r="D324" s="84">
        <v>8</v>
      </c>
      <c r="E324" s="84" t="s">
        <v>242</v>
      </c>
      <c r="F324" s="84">
        <v>32</v>
      </c>
      <c r="G324" s="84">
        <v>10</v>
      </c>
      <c r="H324" s="84" t="s">
        <v>131</v>
      </c>
    </row>
    <row r="325" spans="1:8" x14ac:dyDescent="0.3">
      <c r="A325" s="81">
        <v>45515</v>
      </c>
      <c r="B325" s="82">
        <v>2024</v>
      </c>
      <c r="C325" s="82" t="s">
        <v>227</v>
      </c>
      <c r="D325" s="82">
        <v>8</v>
      </c>
      <c r="E325" s="82" t="s">
        <v>242</v>
      </c>
      <c r="F325" s="82">
        <v>32</v>
      </c>
      <c r="G325" s="82">
        <v>11</v>
      </c>
      <c r="H325" s="82" t="s">
        <v>133</v>
      </c>
    </row>
    <row r="326" spans="1:8" x14ac:dyDescent="0.3">
      <c r="A326" s="83">
        <v>45516</v>
      </c>
      <c r="B326" s="84">
        <v>2024</v>
      </c>
      <c r="C326" s="84" t="s">
        <v>227</v>
      </c>
      <c r="D326" s="84">
        <v>8</v>
      </c>
      <c r="E326" s="84" t="s">
        <v>242</v>
      </c>
      <c r="F326" s="84">
        <v>33</v>
      </c>
      <c r="G326" s="84">
        <v>12</v>
      </c>
      <c r="H326" s="84" t="s">
        <v>121</v>
      </c>
    </row>
    <row r="327" spans="1:8" x14ac:dyDescent="0.3">
      <c r="A327" s="81">
        <v>45517</v>
      </c>
      <c r="B327" s="82">
        <v>2024</v>
      </c>
      <c r="C327" s="82" t="s">
        <v>227</v>
      </c>
      <c r="D327" s="82">
        <v>8</v>
      </c>
      <c r="E327" s="82" t="s">
        <v>242</v>
      </c>
      <c r="F327" s="82">
        <v>33</v>
      </c>
      <c r="G327" s="82">
        <v>13</v>
      </c>
      <c r="H327" s="82" t="s">
        <v>123</v>
      </c>
    </row>
    <row r="328" spans="1:8" x14ac:dyDescent="0.3">
      <c r="A328" s="83">
        <v>45518</v>
      </c>
      <c r="B328" s="84">
        <v>2024</v>
      </c>
      <c r="C328" s="84" t="s">
        <v>227</v>
      </c>
      <c r="D328" s="84">
        <v>8</v>
      </c>
      <c r="E328" s="84" t="s">
        <v>242</v>
      </c>
      <c r="F328" s="84">
        <v>33</v>
      </c>
      <c r="G328" s="84">
        <v>14</v>
      </c>
      <c r="H328" s="84" t="s">
        <v>125</v>
      </c>
    </row>
    <row r="329" spans="1:8" x14ac:dyDescent="0.3">
      <c r="A329" s="81">
        <v>45519</v>
      </c>
      <c r="B329" s="82">
        <v>2024</v>
      </c>
      <c r="C329" s="82" t="s">
        <v>227</v>
      </c>
      <c r="D329" s="82">
        <v>8</v>
      </c>
      <c r="E329" s="82" t="s">
        <v>242</v>
      </c>
      <c r="F329" s="82">
        <v>33</v>
      </c>
      <c r="G329" s="82">
        <v>15</v>
      </c>
      <c r="H329" s="82" t="s">
        <v>127</v>
      </c>
    </row>
    <row r="330" spans="1:8" x14ac:dyDescent="0.3">
      <c r="A330" s="83">
        <v>45520</v>
      </c>
      <c r="B330" s="84">
        <v>2024</v>
      </c>
      <c r="C330" s="84" t="s">
        <v>227</v>
      </c>
      <c r="D330" s="84">
        <v>8</v>
      </c>
      <c r="E330" s="84" t="s">
        <v>242</v>
      </c>
      <c r="F330" s="84">
        <v>33</v>
      </c>
      <c r="G330" s="84">
        <v>16</v>
      </c>
      <c r="H330" s="84" t="s">
        <v>129</v>
      </c>
    </row>
    <row r="331" spans="1:8" x14ac:dyDescent="0.3">
      <c r="A331" s="81">
        <v>45521</v>
      </c>
      <c r="B331" s="82">
        <v>2024</v>
      </c>
      <c r="C331" s="82" t="s">
        <v>227</v>
      </c>
      <c r="D331" s="82">
        <v>8</v>
      </c>
      <c r="E331" s="82" t="s">
        <v>242</v>
      </c>
      <c r="F331" s="82">
        <v>33</v>
      </c>
      <c r="G331" s="82">
        <v>17</v>
      </c>
      <c r="H331" s="82" t="s">
        <v>131</v>
      </c>
    </row>
    <row r="332" spans="1:8" x14ac:dyDescent="0.3">
      <c r="A332" s="83">
        <v>45522</v>
      </c>
      <c r="B332" s="84">
        <v>2024</v>
      </c>
      <c r="C332" s="84" t="s">
        <v>227</v>
      </c>
      <c r="D332" s="84">
        <v>8</v>
      </c>
      <c r="E332" s="84" t="s">
        <v>242</v>
      </c>
      <c r="F332" s="84">
        <v>33</v>
      </c>
      <c r="G332" s="84">
        <v>18</v>
      </c>
      <c r="H332" s="84" t="s">
        <v>133</v>
      </c>
    </row>
    <row r="333" spans="1:8" x14ac:dyDescent="0.3">
      <c r="A333" s="81">
        <v>45523</v>
      </c>
      <c r="B333" s="82">
        <v>2024</v>
      </c>
      <c r="C333" s="82" t="s">
        <v>227</v>
      </c>
      <c r="D333" s="82">
        <v>8</v>
      </c>
      <c r="E333" s="82" t="s">
        <v>242</v>
      </c>
      <c r="F333" s="82">
        <v>34</v>
      </c>
      <c r="G333" s="82">
        <v>19</v>
      </c>
      <c r="H333" s="82" t="s">
        <v>121</v>
      </c>
    </row>
    <row r="334" spans="1:8" x14ac:dyDescent="0.3">
      <c r="A334" s="83">
        <v>45524</v>
      </c>
      <c r="B334" s="84">
        <v>2024</v>
      </c>
      <c r="C334" s="84" t="s">
        <v>227</v>
      </c>
      <c r="D334" s="84">
        <v>8</v>
      </c>
      <c r="E334" s="84" t="s">
        <v>242</v>
      </c>
      <c r="F334" s="84">
        <v>34</v>
      </c>
      <c r="G334" s="84">
        <v>20</v>
      </c>
      <c r="H334" s="84" t="s">
        <v>123</v>
      </c>
    </row>
    <row r="335" spans="1:8" x14ac:dyDescent="0.3">
      <c r="A335" s="81">
        <v>45525</v>
      </c>
      <c r="B335" s="82">
        <v>2024</v>
      </c>
      <c r="C335" s="82" t="s">
        <v>227</v>
      </c>
      <c r="D335" s="82">
        <v>8</v>
      </c>
      <c r="E335" s="82" t="s">
        <v>242</v>
      </c>
      <c r="F335" s="82">
        <v>34</v>
      </c>
      <c r="G335" s="82">
        <v>21</v>
      </c>
      <c r="H335" s="82" t="s">
        <v>125</v>
      </c>
    </row>
    <row r="336" spans="1:8" x14ac:dyDescent="0.3">
      <c r="A336" s="83">
        <v>45526</v>
      </c>
      <c r="B336" s="84">
        <v>2024</v>
      </c>
      <c r="C336" s="84" t="s">
        <v>227</v>
      </c>
      <c r="D336" s="84">
        <v>8</v>
      </c>
      <c r="E336" s="84" t="s">
        <v>242</v>
      </c>
      <c r="F336" s="84">
        <v>34</v>
      </c>
      <c r="G336" s="84">
        <v>22</v>
      </c>
      <c r="H336" s="84" t="s">
        <v>127</v>
      </c>
    </row>
    <row r="337" spans="1:8" x14ac:dyDescent="0.3">
      <c r="A337" s="81">
        <v>45527</v>
      </c>
      <c r="B337" s="82">
        <v>2024</v>
      </c>
      <c r="C337" s="82" t="s">
        <v>227</v>
      </c>
      <c r="D337" s="82">
        <v>8</v>
      </c>
      <c r="E337" s="82" t="s">
        <v>242</v>
      </c>
      <c r="F337" s="82">
        <v>34</v>
      </c>
      <c r="G337" s="82">
        <v>23</v>
      </c>
      <c r="H337" s="82" t="s">
        <v>129</v>
      </c>
    </row>
    <row r="338" spans="1:8" x14ac:dyDescent="0.3">
      <c r="A338" s="83">
        <v>45528</v>
      </c>
      <c r="B338" s="84">
        <v>2024</v>
      </c>
      <c r="C338" s="84" t="s">
        <v>227</v>
      </c>
      <c r="D338" s="84">
        <v>8</v>
      </c>
      <c r="E338" s="84" t="s">
        <v>242</v>
      </c>
      <c r="F338" s="84">
        <v>34</v>
      </c>
      <c r="G338" s="84">
        <v>24</v>
      </c>
      <c r="H338" s="84" t="s">
        <v>131</v>
      </c>
    </row>
    <row r="339" spans="1:8" x14ac:dyDescent="0.3">
      <c r="A339" s="81">
        <v>45529</v>
      </c>
      <c r="B339" s="82">
        <v>2024</v>
      </c>
      <c r="C339" s="82" t="s">
        <v>227</v>
      </c>
      <c r="D339" s="82">
        <v>8</v>
      </c>
      <c r="E339" s="82" t="s">
        <v>242</v>
      </c>
      <c r="F339" s="82">
        <v>34</v>
      </c>
      <c r="G339" s="82">
        <v>25</v>
      </c>
      <c r="H339" s="82" t="s">
        <v>133</v>
      </c>
    </row>
    <row r="340" spans="1:8" x14ac:dyDescent="0.3">
      <c r="A340" s="83">
        <v>45530</v>
      </c>
      <c r="B340" s="84">
        <v>2024</v>
      </c>
      <c r="C340" s="84" t="s">
        <v>227</v>
      </c>
      <c r="D340" s="84">
        <v>8</v>
      </c>
      <c r="E340" s="84" t="s">
        <v>242</v>
      </c>
      <c r="F340" s="84">
        <v>35</v>
      </c>
      <c r="G340" s="84">
        <v>26</v>
      </c>
      <c r="H340" s="84" t="s">
        <v>121</v>
      </c>
    </row>
    <row r="341" spans="1:8" x14ac:dyDescent="0.3">
      <c r="A341" s="81">
        <v>45531</v>
      </c>
      <c r="B341" s="82">
        <v>2024</v>
      </c>
      <c r="C341" s="82" t="s">
        <v>227</v>
      </c>
      <c r="D341" s="82">
        <v>8</v>
      </c>
      <c r="E341" s="82" t="s">
        <v>242</v>
      </c>
      <c r="F341" s="82">
        <v>35</v>
      </c>
      <c r="G341" s="82">
        <v>27</v>
      </c>
      <c r="H341" s="82" t="s">
        <v>123</v>
      </c>
    </row>
    <row r="342" spans="1:8" x14ac:dyDescent="0.3">
      <c r="A342" s="83">
        <v>45532</v>
      </c>
      <c r="B342" s="84">
        <v>2024</v>
      </c>
      <c r="C342" s="84" t="s">
        <v>227</v>
      </c>
      <c r="D342" s="84">
        <v>8</v>
      </c>
      <c r="E342" s="84" t="s">
        <v>242</v>
      </c>
      <c r="F342" s="84">
        <v>35</v>
      </c>
      <c r="G342" s="84">
        <v>28</v>
      </c>
      <c r="H342" s="84" t="s">
        <v>125</v>
      </c>
    </row>
    <row r="343" spans="1:8" x14ac:dyDescent="0.3">
      <c r="A343" s="81">
        <v>45533</v>
      </c>
      <c r="B343" s="82">
        <v>2024</v>
      </c>
      <c r="C343" s="82" t="s">
        <v>227</v>
      </c>
      <c r="D343" s="82">
        <v>8</v>
      </c>
      <c r="E343" s="82" t="s">
        <v>242</v>
      </c>
      <c r="F343" s="82">
        <v>35</v>
      </c>
      <c r="G343" s="82">
        <v>29</v>
      </c>
      <c r="H343" s="82" t="s">
        <v>127</v>
      </c>
    </row>
    <row r="344" spans="1:8" x14ac:dyDescent="0.3">
      <c r="A344" s="83">
        <v>45534</v>
      </c>
      <c r="B344" s="84">
        <v>2024</v>
      </c>
      <c r="C344" s="84" t="s">
        <v>227</v>
      </c>
      <c r="D344" s="84">
        <v>8</v>
      </c>
      <c r="E344" s="84" t="s">
        <v>242</v>
      </c>
      <c r="F344" s="84">
        <v>35</v>
      </c>
      <c r="G344" s="84">
        <v>30</v>
      </c>
      <c r="H344" s="84" t="s">
        <v>129</v>
      </c>
    </row>
    <row r="345" spans="1:8" x14ac:dyDescent="0.3">
      <c r="A345" s="81">
        <v>45535</v>
      </c>
      <c r="B345" s="82">
        <v>2024</v>
      </c>
      <c r="C345" s="82" t="s">
        <v>227</v>
      </c>
      <c r="D345" s="82">
        <v>8</v>
      </c>
      <c r="E345" s="82" t="s">
        <v>242</v>
      </c>
      <c r="F345" s="82">
        <v>35</v>
      </c>
      <c r="G345" s="82">
        <v>31</v>
      </c>
      <c r="H345" s="82" t="s">
        <v>131</v>
      </c>
    </row>
    <row r="346" spans="1:8" x14ac:dyDescent="0.3">
      <c r="A346" s="83">
        <v>45536</v>
      </c>
      <c r="B346" s="84">
        <v>2024</v>
      </c>
      <c r="C346" s="84" t="s">
        <v>227</v>
      </c>
      <c r="D346" s="84">
        <v>9</v>
      </c>
      <c r="E346" s="84" t="s">
        <v>228</v>
      </c>
      <c r="F346" s="84">
        <v>35</v>
      </c>
      <c r="G346" s="84">
        <v>1</v>
      </c>
      <c r="H346" s="84" t="s">
        <v>133</v>
      </c>
    </row>
    <row r="347" spans="1:8" x14ac:dyDescent="0.3">
      <c r="A347" s="81">
        <v>45537</v>
      </c>
      <c r="B347" s="82">
        <v>2024</v>
      </c>
      <c r="C347" s="82" t="s">
        <v>227</v>
      </c>
      <c r="D347" s="82">
        <v>9</v>
      </c>
      <c r="E347" s="82" t="s">
        <v>228</v>
      </c>
      <c r="F347" s="82">
        <v>36</v>
      </c>
      <c r="G347" s="82">
        <v>2</v>
      </c>
      <c r="H347" s="82" t="s">
        <v>121</v>
      </c>
    </row>
    <row r="348" spans="1:8" x14ac:dyDescent="0.3">
      <c r="A348" s="83">
        <v>45538</v>
      </c>
      <c r="B348" s="84">
        <v>2024</v>
      </c>
      <c r="C348" s="84" t="s">
        <v>227</v>
      </c>
      <c r="D348" s="84">
        <v>9</v>
      </c>
      <c r="E348" s="84" t="s">
        <v>228</v>
      </c>
      <c r="F348" s="84">
        <v>36</v>
      </c>
      <c r="G348" s="84">
        <v>3</v>
      </c>
      <c r="H348" s="84" t="s">
        <v>123</v>
      </c>
    </row>
    <row r="349" spans="1:8" x14ac:dyDescent="0.3">
      <c r="A349" s="81">
        <v>45539</v>
      </c>
      <c r="B349" s="82">
        <v>2024</v>
      </c>
      <c r="C349" s="82" t="s">
        <v>227</v>
      </c>
      <c r="D349" s="82">
        <v>9</v>
      </c>
      <c r="E349" s="82" t="s">
        <v>228</v>
      </c>
      <c r="F349" s="82">
        <v>36</v>
      </c>
      <c r="G349" s="82">
        <v>4</v>
      </c>
      <c r="H349" s="82" t="s">
        <v>125</v>
      </c>
    </row>
    <row r="350" spans="1:8" x14ac:dyDescent="0.3">
      <c r="A350" s="83">
        <v>45540</v>
      </c>
      <c r="B350" s="84">
        <v>2024</v>
      </c>
      <c r="C350" s="84" t="s">
        <v>227</v>
      </c>
      <c r="D350" s="84">
        <v>9</v>
      </c>
      <c r="E350" s="84" t="s">
        <v>228</v>
      </c>
      <c r="F350" s="84">
        <v>36</v>
      </c>
      <c r="G350" s="84">
        <v>5</v>
      </c>
      <c r="H350" s="84" t="s">
        <v>127</v>
      </c>
    </row>
    <row r="351" spans="1:8" x14ac:dyDescent="0.3">
      <c r="A351" s="81">
        <v>45541</v>
      </c>
      <c r="B351" s="82">
        <v>2024</v>
      </c>
      <c r="C351" s="82" t="s">
        <v>227</v>
      </c>
      <c r="D351" s="82">
        <v>9</v>
      </c>
      <c r="E351" s="82" t="s">
        <v>228</v>
      </c>
      <c r="F351" s="82">
        <v>36</v>
      </c>
      <c r="G351" s="82">
        <v>6</v>
      </c>
      <c r="H351" s="82" t="s">
        <v>129</v>
      </c>
    </row>
    <row r="352" spans="1:8" x14ac:dyDescent="0.3">
      <c r="A352" s="83">
        <v>45542</v>
      </c>
      <c r="B352" s="84">
        <v>2024</v>
      </c>
      <c r="C352" s="84" t="s">
        <v>227</v>
      </c>
      <c r="D352" s="84">
        <v>9</v>
      </c>
      <c r="E352" s="84" t="s">
        <v>228</v>
      </c>
      <c r="F352" s="84">
        <v>36</v>
      </c>
      <c r="G352" s="84">
        <v>7</v>
      </c>
      <c r="H352" s="84" t="s">
        <v>131</v>
      </c>
    </row>
    <row r="353" spans="1:8" x14ac:dyDescent="0.3">
      <c r="A353" s="81">
        <v>45543</v>
      </c>
      <c r="B353" s="82">
        <v>2024</v>
      </c>
      <c r="C353" s="82" t="s">
        <v>227</v>
      </c>
      <c r="D353" s="82">
        <v>9</v>
      </c>
      <c r="E353" s="82" t="s">
        <v>228</v>
      </c>
      <c r="F353" s="82">
        <v>36</v>
      </c>
      <c r="G353" s="82">
        <v>8</v>
      </c>
      <c r="H353" s="82" t="s">
        <v>133</v>
      </c>
    </row>
    <row r="354" spans="1:8" x14ac:dyDescent="0.3">
      <c r="A354" s="83">
        <v>45544</v>
      </c>
      <c r="B354" s="84">
        <v>2024</v>
      </c>
      <c r="C354" s="84" t="s">
        <v>227</v>
      </c>
      <c r="D354" s="84">
        <v>9</v>
      </c>
      <c r="E354" s="84" t="s">
        <v>228</v>
      </c>
      <c r="F354" s="84">
        <v>37</v>
      </c>
      <c r="G354" s="84">
        <v>9</v>
      </c>
      <c r="H354" s="84" t="s">
        <v>121</v>
      </c>
    </row>
    <row r="355" spans="1:8" x14ac:dyDescent="0.3">
      <c r="A355" s="81">
        <v>45545</v>
      </c>
      <c r="B355" s="82">
        <v>2024</v>
      </c>
      <c r="C355" s="82" t="s">
        <v>227</v>
      </c>
      <c r="D355" s="82">
        <v>9</v>
      </c>
      <c r="E355" s="82" t="s">
        <v>228</v>
      </c>
      <c r="F355" s="82">
        <v>37</v>
      </c>
      <c r="G355" s="82">
        <v>10</v>
      </c>
      <c r="H355" s="82" t="s">
        <v>123</v>
      </c>
    </row>
    <row r="356" spans="1:8" x14ac:dyDescent="0.3">
      <c r="A356" s="83">
        <v>45546</v>
      </c>
      <c r="B356" s="84">
        <v>2024</v>
      </c>
      <c r="C356" s="84" t="s">
        <v>227</v>
      </c>
      <c r="D356" s="84">
        <v>9</v>
      </c>
      <c r="E356" s="84" t="s">
        <v>228</v>
      </c>
      <c r="F356" s="84">
        <v>37</v>
      </c>
      <c r="G356" s="84">
        <v>11</v>
      </c>
      <c r="H356" s="84" t="s">
        <v>125</v>
      </c>
    </row>
    <row r="357" spans="1:8" x14ac:dyDescent="0.3">
      <c r="A357" s="81">
        <v>45547</v>
      </c>
      <c r="B357" s="82">
        <v>2024</v>
      </c>
      <c r="C357" s="82" t="s">
        <v>227</v>
      </c>
      <c r="D357" s="82">
        <v>9</v>
      </c>
      <c r="E357" s="82" t="s">
        <v>228</v>
      </c>
      <c r="F357" s="82">
        <v>37</v>
      </c>
      <c r="G357" s="82">
        <v>12</v>
      </c>
      <c r="H357" s="82" t="s">
        <v>127</v>
      </c>
    </row>
    <row r="358" spans="1:8" x14ac:dyDescent="0.3">
      <c r="A358" s="83">
        <v>45548</v>
      </c>
      <c r="B358" s="84">
        <v>2024</v>
      </c>
      <c r="C358" s="84" t="s">
        <v>227</v>
      </c>
      <c r="D358" s="84">
        <v>9</v>
      </c>
      <c r="E358" s="84" t="s">
        <v>228</v>
      </c>
      <c r="F358" s="84">
        <v>37</v>
      </c>
      <c r="G358" s="84">
        <v>13</v>
      </c>
      <c r="H358" s="84" t="s">
        <v>129</v>
      </c>
    </row>
    <row r="359" spans="1:8" x14ac:dyDescent="0.3">
      <c r="A359" s="81">
        <v>45549</v>
      </c>
      <c r="B359" s="82">
        <v>2024</v>
      </c>
      <c r="C359" s="82" t="s">
        <v>227</v>
      </c>
      <c r="D359" s="82">
        <v>9</v>
      </c>
      <c r="E359" s="82" t="s">
        <v>228</v>
      </c>
      <c r="F359" s="82">
        <v>37</v>
      </c>
      <c r="G359" s="82">
        <v>14</v>
      </c>
      <c r="H359" s="82" t="s">
        <v>131</v>
      </c>
    </row>
    <row r="360" spans="1:8" x14ac:dyDescent="0.3">
      <c r="A360" s="83">
        <v>45550</v>
      </c>
      <c r="B360" s="84">
        <v>2024</v>
      </c>
      <c r="C360" s="84" t="s">
        <v>227</v>
      </c>
      <c r="D360" s="84">
        <v>9</v>
      </c>
      <c r="E360" s="84" t="s">
        <v>228</v>
      </c>
      <c r="F360" s="84">
        <v>37</v>
      </c>
      <c r="G360" s="84">
        <v>15</v>
      </c>
      <c r="H360" s="84" t="s">
        <v>133</v>
      </c>
    </row>
    <row r="361" spans="1:8" x14ac:dyDescent="0.3">
      <c r="A361" s="81">
        <v>45551</v>
      </c>
      <c r="B361" s="82">
        <v>2024</v>
      </c>
      <c r="C361" s="82" t="s">
        <v>227</v>
      </c>
      <c r="D361" s="82">
        <v>9</v>
      </c>
      <c r="E361" s="82" t="s">
        <v>228</v>
      </c>
      <c r="F361" s="82">
        <v>38</v>
      </c>
      <c r="G361" s="82">
        <v>16</v>
      </c>
      <c r="H361" s="82" t="s">
        <v>121</v>
      </c>
    </row>
    <row r="362" spans="1:8" x14ac:dyDescent="0.3">
      <c r="A362" s="83">
        <v>45552</v>
      </c>
      <c r="B362" s="84">
        <v>2024</v>
      </c>
      <c r="C362" s="84" t="s">
        <v>227</v>
      </c>
      <c r="D362" s="84">
        <v>9</v>
      </c>
      <c r="E362" s="84" t="s">
        <v>228</v>
      </c>
      <c r="F362" s="84">
        <v>38</v>
      </c>
      <c r="G362" s="84">
        <v>17</v>
      </c>
      <c r="H362" s="84" t="s">
        <v>123</v>
      </c>
    </row>
    <row r="363" spans="1:8" x14ac:dyDescent="0.3">
      <c r="A363" s="81">
        <v>45553</v>
      </c>
      <c r="B363" s="82">
        <v>2024</v>
      </c>
      <c r="C363" s="82" t="s">
        <v>227</v>
      </c>
      <c r="D363" s="82">
        <v>9</v>
      </c>
      <c r="E363" s="82" t="s">
        <v>228</v>
      </c>
      <c r="F363" s="82">
        <v>38</v>
      </c>
      <c r="G363" s="82">
        <v>18</v>
      </c>
      <c r="H363" s="82" t="s">
        <v>125</v>
      </c>
    </row>
    <row r="364" spans="1:8" x14ac:dyDescent="0.3">
      <c r="A364" s="83">
        <v>45554</v>
      </c>
      <c r="B364" s="84">
        <v>2024</v>
      </c>
      <c r="C364" s="84" t="s">
        <v>227</v>
      </c>
      <c r="D364" s="84">
        <v>9</v>
      </c>
      <c r="E364" s="84" t="s">
        <v>228</v>
      </c>
      <c r="F364" s="84">
        <v>38</v>
      </c>
      <c r="G364" s="84">
        <v>19</v>
      </c>
      <c r="H364" s="84" t="s">
        <v>127</v>
      </c>
    </row>
    <row r="365" spans="1:8" x14ac:dyDescent="0.3">
      <c r="A365" s="81">
        <v>45555</v>
      </c>
      <c r="B365" s="82">
        <v>2024</v>
      </c>
      <c r="C365" s="82" t="s">
        <v>227</v>
      </c>
      <c r="D365" s="82">
        <v>9</v>
      </c>
      <c r="E365" s="82" t="s">
        <v>228</v>
      </c>
      <c r="F365" s="82">
        <v>38</v>
      </c>
      <c r="G365" s="82">
        <v>20</v>
      </c>
      <c r="H365" s="82" t="s">
        <v>129</v>
      </c>
    </row>
    <row r="366" spans="1:8" x14ac:dyDescent="0.3">
      <c r="A366" s="83">
        <v>45556</v>
      </c>
      <c r="B366" s="84">
        <v>2024</v>
      </c>
      <c r="C366" s="84" t="s">
        <v>227</v>
      </c>
      <c r="D366" s="84">
        <v>9</v>
      </c>
      <c r="E366" s="84" t="s">
        <v>228</v>
      </c>
      <c r="F366" s="84">
        <v>38</v>
      </c>
      <c r="G366" s="84">
        <v>21</v>
      </c>
      <c r="H366" s="84" t="s">
        <v>131</v>
      </c>
    </row>
    <row r="367" spans="1:8" x14ac:dyDescent="0.3">
      <c r="A367" s="81">
        <v>45557</v>
      </c>
      <c r="B367" s="82">
        <v>2024</v>
      </c>
      <c r="C367" s="82" t="s">
        <v>227</v>
      </c>
      <c r="D367" s="82">
        <v>9</v>
      </c>
      <c r="E367" s="82" t="s">
        <v>228</v>
      </c>
      <c r="F367" s="82">
        <v>38</v>
      </c>
      <c r="G367" s="82">
        <v>22</v>
      </c>
      <c r="H367" s="82" t="s">
        <v>133</v>
      </c>
    </row>
    <row r="368" spans="1:8" x14ac:dyDescent="0.3">
      <c r="A368" s="83">
        <v>45558</v>
      </c>
      <c r="B368" s="84">
        <v>2024</v>
      </c>
      <c r="C368" s="84" t="s">
        <v>227</v>
      </c>
      <c r="D368" s="84">
        <v>9</v>
      </c>
      <c r="E368" s="84" t="s">
        <v>228</v>
      </c>
      <c r="F368" s="84">
        <v>39</v>
      </c>
      <c r="G368" s="84">
        <v>23</v>
      </c>
      <c r="H368" s="84" t="s">
        <v>121</v>
      </c>
    </row>
    <row r="369" spans="1:8" x14ac:dyDescent="0.3">
      <c r="A369" s="81">
        <v>45559</v>
      </c>
      <c r="B369" s="82">
        <v>2024</v>
      </c>
      <c r="C369" s="82" t="s">
        <v>227</v>
      </c>
      <c r="D369" s="82">
        <v>9</v>
      </c>
      <c r="E369" s="82" t="s">
        <v>228</v>
      </c>
      <c r="F369" s="82">
        <v>39</v>
      </c>
      <c r="G369" s="82">
        <v>24</v>
      </c>
      <c r="H369" s="82" t="s">
        <v>123</v>
      </c>
    </row>
    <row r="370" spans="1:8" x14ac:dyDescent="0.3">
      <c r="A370" s="83">
        <v>45560</v>
      </c>
      <c r="B370" s="84">
        <v>2024</v>
      </c>
      <c r="C370" s="84" t="s">
        <v>227</v>
      </c>
      <c r="D370" s="84">
        <v>9</v>
      </c>
      <c r="E370" s="84" t="s">
        <v>228</v>
      </c>
      <c r="F370" s="84">
        <v>39</v>
      </c>
      <c r="G370" s="84">
        <v>25</v>
      </c>
      <c r="H370" s="84" t="s">
        <v>125</v>
      </c>
    </row>
    <row r="371" spans="1:8" x14ac:dyDescent="0.3">
      <c r="A371" s="81">
        <v>45561</v>
      </c>
      <c r="B371" s="82">
        <v>2024</v>
      </c>
      <c r="C371" s="82" t="s">
        <v>227</v>
      </c>
      <c r="D371" s="82">
        <v>9</v>
      </c>
      <c r="E371" s="82" t="s">
        <v>228</v>
      </c>
      <c r="F371" s="82">
        <v>39</v>
      </c>
      <c r="G371" s="82">
        <v>26</v>
      </c>
      <c r="H371" s="82" t="s">
        <v>127</v>
      </c>
    </row>
    <row r="372" spans="1:8" x14ac:dyDescent="0.3">
      <c r="A372" s="83">
        <v>45562</v>
      </c>
      <c r="B372" s="84">
        <v>2024</v>
      </c>
      <c r="C372" s="84" t="s">
        <v>227</v>
      </c>
      <c r="D372" s="84">
        <v>9</v>
      </c>
      <c r="E372" s="84" t="s">
        <v>228</v>
      </c>
      <c r="F372" s="84">
        <v>39</v>
      </c>
      <c r="G372" s="84">
        <v>27</v>
      </c>
      <c r="H372" s="84" t="s">
        <v>129</v>
      </c>
    </row>
    <row r="373" spans="1:8" x14ac:dyDescent="0.3">
      <c r="A373" s="81">
        <v>45563</v>
      </c>
      <c r="B373" s="82">
        <v>2024</v>
      </c>
      <c r="C373" s="82" t="s">
        <v>227</v>
      </c>
      <c r="D373" s="82">
        <v>9</v>
      </c>
      <c r="E373" s="82" t="s">
        <v>228</v>
      </c>
      <c r="F373" s="82">
        <v>39</v>
      </c>
      <c r="G373" s="82">
        <v>28</v>
      </c>
      <c r="H373" s="82" t="s">
        <v>131</v>
      </c>
    </row>
    <row r="374" spans="1:8" x14ac:dyDescent="0.3">
      <c r="A374" s="83">
        <v>45564</v>
      </c>
      <c r="B374" s="84">
        <v>2024</v>
      </c>
      <c r="C374" s="84" t="s">
        <v>227</v>
      </c>
      <c r="D374" s="84">
        <v>9</v>
      </c>
      <c r="E374" s="84" t="s">
        <v>228</v>
      </c>
      <c r="F374" s="84">
        <v>39</v>
      </c>
      <c r="G374" s="84">
        <v>29</v>
      </c>
      <c r="H374" s="84" t="s">
        <v>133</v>
      </c>
    </row>
    <row r="375" spans="1:8" x14ac:dyDescent="0.3">
      <c r="A375" s="81">
        <v>45565</v>
      </c>
      <c r="B375" s="82">
        <v>2024</v>
      </c>
      <c r="C375" s="82" t="s">
        <v>227</v>
      </c>
      <c r="D375" s="82">
        <v>9</v>
      </c>
      <c r="E375" s="82" t="s">
        <v>228</v>
      </c>
      <c r="F375" s="82">
        <v>40</v>
      </c>
      <c r="G375" s="82">
        <v>30</v>
      </c>
      <c r="H375" s="82" t="s">
        <v>121</v>
      </c>
    </row>
    <row r="376" spans="1:8" x14ac:dyDescent="0.3">
      <c r="A376" s="83">
        <v>45566</v>
      </c>
      <c r="B376" s="84">
        <v>2024</v>
      </c>
      <c r="C376" s="84" t="s">
        <v>229</v>
      </c>
      <c r="D376" s="84">
        <v>10</v>
      </c>
      <c r="E376" s="84" t="s">
        <v>230</v>
      </c>
      <c r="F376" s="84">
        <v>40</v>
      </c>
      <c r="G376" s="84">
        <v>1</v>
      </c>
      <c r="H376" s="84" t="s">
        <v>123</v>
      </c>
    </row>
    <row r="377" spans="1:8" x14ac:dyDescent="0.3">
      <c r="A377" s="81">
        <v>45567</v>
      </c>
      <c r="B377" s="82">
        <v>2024</v>
      </c>
      <c r="C377" s="82" t="s">
        <v>229</v>
      </c>
      <c r="D377" s="82">
        <v>10</v>
      </c>
      <c r="E377" s="82" t="s">
        <v>230</v>
      </c>
      <c r="F377" s="82">
        <v>40</v>
      </c>
      <c r="G377" s="82">
        <v>2</v>
      </c>
      <c r="H377" s="82" t="s">
        <v>125</v>
      </c>
    </row>
    <row r="378" spans="1:8" x14ac:dyDescent="0.3">
      <c r="A378" s="83">
        <v>45568</v>
      </c>
      <c r="B378" s="84">
        <v>2024</v>
      </c>
      <c r="C378" s="84" t="s">
        <v>229</v>
      </c>
      <c r="D378" s="84">
        <v>10</v>
      </c>
      <c r="E378" s="84" t="s">
        <v>230</v>
      </c>
      <c r="F378" s="84">
        <v>40</v>
      </c>
      <c r="G378" s="84">
        <v>3</v>
      </c>
      <c r="H378" s="84" t="s">
        <v>127</v>
      </c>
    </row>
    <row r="379" spans="1:8" x14ac:dyDescent="0.3">
      <c r="A379" s="81">
        <v>45569</v>
      </c>
      <c r="B379" s="82">
        <v>2024</v>
      </c>
      <c r="C379" s="82" t="s">
        <v>229</v>
      </c>
      <c r="D379" s="82">
        <v>10</v>
      </c>
      <c r="E379" s="82" t="s">
        <v>230</v>
      </c>
      <c r="F379" s="82">
        <v>40</v>
      </c>
      <c r="G379" s="82">
        <v>4</v>
      </c>
      <c r="H379" s="82" t="s">
        <v>129</v>
      </c>
    </row>
    <row r="380" spans="1:8" x14ac:dyDescent="0.3">
      <c r="A380" s="83">
        <v>45570</v>
      </c>
      <c r="B380" s="84">
        <v>2024</v>
      </c>
      <c r="C380" s="84" t="s">
        <v>229</v>
      </c>
      <c r="D380" s="84">
        <v>10</v>
      </c>
      <c r="E380" s="84" t="s">
        <v>230</v>
      </c>
      <c r="F380" s="84">
        <v>40</v>
      </c>
      <c r="G380" s="84">
        <v>5</v>
      </c>
      <c r="H380" s="84" t="s">
        <v>131</v>
      </c>
    </row>
    <row r="381" spans="1:8" x14ac:dyDescent="0.3">
      <c r="A381" s="81">
        <v>45571</v>
      </c>
      <c r="B381" s="82">
        <v>2024</v>
      </c>
      <c r="C381" s="82" t="s">
        <v>229</v>
      </c>
      <c r="D381" s="82">
        <v>10</v>
      </c>
      <c r="E381" s="82" t="s">
        <v>230</v>
      </c>
      <c r="F381" s="82">
        <v>40</v>
      </c>
      <c r="G381" s="82">
        <v>6</v>
      </c>
      <c r="H381" s="82" t="s">
        <v>133</v>
      </c>
    </row>
    <row r="382" spans="1:8" x14ac:dyDescent="0.3">
      <c r="A382" s="83">
        <v>45572</v>
      </c>
      <c r="B382" s="84">
        <v>2024</v>
      </c>
      <c r="C382" s="84" t="s">
        <v>229</v>
      </c>
      <c r="D382" s="84">
        <v>10</v>
      </c>
      <c r="E382" s="84" t="s">
        <v>230</v>
      </c>
      <c r="F382" s="84">
        <v>41</v>
      </c>
      <c r="G382" s="84">
        <v>7</v>
      </c>
      <c r="H382" s="84" t="s">
        <v>121</v>
      </c>
    </row>
    <row r="383" spans="1:8" x14ac:dyDescent="0.3">
      <c r="A383" s="81">
        <v>45573</v>
      </c>
      <c r="B383" s="82">
        <v>2024</v>
      </c>
      <c r="C383" s="82" t="s">
        <v>229</v>
      </c>
      <c r="D383" s="82">
        <v>10</v>
      </c>
      <c r="E383" s="82" t="s">
        <v>230</v>
      </c>
      <c r="F383" s="82">
        <v>41</v>
      </c>
      <c r="G383" s="82">
        <v>8</v>
      </c>
      <c r="H383" s="82" t="s">
        <v>123</v>
      </c>
    </row>
    <row r="384" spans="1:8" x14ac:dyDescent="0.3">
      <c r="A384" s="83">
        <v>45574</v>
      </c>
      <c r="B384" s="84">
        <v>2024</v>
      </c>
      <c r="C384" s="84" t="s">
        <v>229</v>
      </c>
      <c r="D384" s="84">
        <v>10</v>
      </c>
      <c r="E384" s="84" t="s">
        <v>230</v>
      </c>
      <c r="F384" s="84">
        <v>41</v>
      </c>
      <c r="G384" s="84">
        <v>9</v>
      </c>
      <c r="H384" s="84" t="s">
        <v>125</v>
      </c>
    </row>
    <row r="385" spans="1:8" x14ac:dyDescent="0.3">
      <c r="A385" s="81">
        <v>45575</v>
      </c>
      <c r="B385" s="82">
        <v>2024</v>
      </c>
      <c r="C385" s="82" t="s">
        <v>229</v>
      </c>
      <c r="D385" s="82">
        <v>10</v>
      </c>
      <c r="E385" s="82" t="s">
        <v>230</v>
      </c>
      <c r="F385" s="82">
        <v>41</v>
      </c>
      <c r="G385" s="82">
        <v>10</v>
      </c>
      <c r="H385" s="82" t="s">
        <v>127</v>
      </c>
    </row>
    <row r="386" spans="1:8" x14ac:dyDescent="0.3">
      <c r="A386" s="83">
        <v>45576</v>
      </c>
      <c r="B386" s="84">
        <v>2024</v>
      </c>
      <c r="C386" s="84" t="s">
        <v>229</v>
      </c>
      <c r="D386" s="84">
        <v>10</v>
      </c>
      <c r="E386" s="84" t="s">
        <v>230</v>
      </c>
      <c r="F386" s="84">
        <v>41</v>
      </c>
      <c r="G386" s="84">
        <v>11</v>
      </c>
      <c r="H386" s="84" t="s">
        <v>129</v>
      </c>
    </row>
    <row r="387" spans="1:8" x14ac:dyDescent="0.3">
      <c r="A387" s="81">
        <v>45577</v>
      </c>
      <c r="B387" s="82">
        <v>2024</v>
      </c>
      <c r="C387" s="82" t="s">
        <v>229</v>
      </c>
      <c r="D387" s="82">
        <v>10</v>
      </c>
      <c r="E387" s="82" t="s">
        <v>230</v>
      </c>
      <c r="F387" s="82">
        <v>41</v>
      </c>
      <c r="G387" s="82">
        <v>12</v>
      </c>
      <c r="H387" s="82" t="s">
        <v>131</v>
      </c>
    </row>
    <row r="388" spans="1:8" x14ac:dyDescent="0.3">
      <c r="A388" s="83">
        <v>45578</v>
      </c>
      <c r="B388" s="84">
        <v>2024</v>
      </c>
      <c r="C388" s="84" t="s">
        <v>229</v>
      </c>
      <c r="D388" s="84">
        <v>10</v>
      </c>
      <c r="E388" s="84" t="s">
        <v>230</v>
      </c>
      <c r="F388" s="84">
        <v>41</v>
      </c>
      <c r="G388" s="84">
        <v>13</v>
      </c>
      <c r="H388" s="84" t="s">
        <v>133</v>
      </c>
    </row>
    <row r="389" spans="1:8" x14ac:dyDescent="0.3">
      <c r="A389" s="81">
        <v>45579</v>
      </c>
      <c r="B389" s="82">
        <v>2024</v>
      </c>
      <c r="C389" s="82" t="s">
        <v>229</v>
      </c>
      <c r="D389" s="82">
        <v>10</v>
      </c>
      <c r="E389" s="82" t="s">
        <v>230</v>
      </c>
      <c r="F389" s="82">
        <v>42</v>
      </c>
      <c r="G389" s="82">
        <v>14</v>
      </c>
      <c r="H389" s="82" t="s">
        <v>121</v>
      </c>
    </row>
    <row r="390" spans="1:8" x14ac:dyDescent="0.3">
      <c r="A390" s="83">
        <v>45580</v>
      </c>
      <c r="B390" s="84">
        <v>2024</v>
      </c>
      <c r="C390" s="84" t="s">
        <v>229</v>
      </c>
      <c r="D390" s="84">
        <v>10</v>
      </c>
      <c r="E390" s="84" t="s">
        <v>230</v>
      </c>
      <c r="F390" s="84">
        <v>42</v>
      </c>
      <c r="G390" s="84">
        <v>15</v>
      </c>
      <c r="H390" s="84" t="s">
        <v>123</v>
      </c>
    </row>
    <row r="391" spans="1:8" x14ac:dyDescent="0.3">
      <c r="A391" s="81">
        <v>45581</v>
      </c>
      <c r="B391" s="82">
        <v>2024</v>
      </c>
      <c r="C391" s="82" t="s">
        <v>229</v>
      </c>
      <c r="D391" s="82">
        <v>10</v>
      </c>
      <c r="E391" s="82" t="s">
        <v>230</v>
      </c>
      <c r="F391" s="82">
        <v>42</v>
      </c>
      <c r="G391" s="82">
        <v>16</v>
      </c>
      <c r="H391" s="82" t="s">
        <v>125</v>
      </c>
    </row>
    <row r="392" spans="1:8" x14ac:dyDescent="0.3">
      <c r="A392" s="83">
        <v>45582</v>
      </c>
      <c r="B392" s="84">
        <v>2024</v>
      </c>
      <c r="C392" s="84" t="s">
        <v>229</v>
      </c>
      <c r="D392" s="84">
        <v>10</v>
      </c>
      <c r="E392" s="84" t="s">
        <v>230</v>
      </c>
      <c r="F392" s="84">
        <v>42</v>
      </c>
      <c r="G392" s="84">
        <v>17</v>
      </c>
      <c r="H392" s="84" t="s">
        <v>127</v>
      </c>
    </row>
    <row r="393" spans="1:8" x14ac:dyDescent="0.3">
      <c r="A393" s="81">
        <v>45583</v>
      </c>
      <c r="B393" s="82">
        <v>2024</v>
      </c>
      <c r="C393" s="82" t="s">
        <v>229</v>
      </c>
      <c r="D393" s="82">
        <v>10</v>
      </c>
      <c r="E393" s="82" t="s">
        <v>230</v>
      </c>
      <c r="F393" s="82">
        <v>42</v>
      </c>
      <c r="G393" s="82">
        <v>18</v>
      </c>
      <c r="H393" s="82" t="s">
        <v>129</v>
      </c>
    </row>
    <row r="394" spans="1:8" x14ac:dyDescent="0.3">
      <c r="A394" s="83">
        <v>45584</v>
      </c>
      <c r="B394" s="84">
        <v>2024</v>
      </c>
      <c r="C394" s="84" t="s">
        <v>229</v>
      </c>
      <c r="D394" s="84">
        <v>10</v>
      </c>
      <c r="E394" s="84" t="s">
        <v>230</v>
      </c>
      <c r="F394" s="84">
        <v>42</v>
      </c>
      <c r="G394" s="84">
        <v>19</v>
      </c>
      <c r="H394" s="84" t="s">
        <v>131</v>
      </c>
    </row>
    <row r="395" spans="1:8" x14ac:dyDescent="0.3">
      <c r="A395" s="81">
        <v>45585</v>
      </c>
      <c r="B395" s="82">
        <v>2024</v>
      </c>
      <c r="C395" s="82" t="s">
        <v>229</v>
      </c>
      <c r="D395" s="82">
        <v>10</v>
      </c>
      <c r="E395" s="82" t="s">
        <v>230</v>
      </c>
      <c r="F395" s="82">
        <v>42</v>
      </c>
      <c r="G395" s="82">
        <v>20</v>
      </c>
      <c r="H395" s="82" t="s">
        <v>133</v>
      </c>
    </row>
    <row r="396" spans="1:8" x14ac:dyDescent="0.3">
      <c r="A396" s="83">
        <v>45586</v>
      </c>
      <c r="B396" s="84">
        <v>2024</v>
      </c>
      <c r="C396" s="84" t="s">
        <v>229</v>
      </c>
      <c r="D396" s="84">
        <v>10</v>
      </c>
      <c r="E396" s="84" t="s">
        <v>230</v>
      </c>
      <c r="F396" s="84">
        <v>43</v>
      </c>
      <c r="G396" s="84">
        <v>21</v>
      </c>
      <c r="H396" s="84" t="s">
        <v>121</v>
      </c>
    </row>
    <row r="397" spans="1:8" x14ac:dyDescent="0.3">
      <c r="A397" s="81">
        <v>45587</v>
      </c>
      <c r="B397" s="82">
        <v>2024</v>
      </c>
      <c r="C397" s="82" t="s">
        <v>229</v>
      </c>
      <c r="D397" s="82">
        <v>10</v>
      </c>
      <c r="E397" s="82" t="s">
        <v>230</v>
      </c>
      <c r="F397" s="82">
        <v>43</v>
      </c>
      <c r="G397" s="82">
        <v>22</v>
      </c>
      <c r="H397" s="82" t="s">
        <v>123</v>
      </c>
    </row>
    <row r="398" spans="1:8" x14ac:dyDescent="0.3">
      <c r="A398" s="83">
        <v>45588</v>
      </c>
      <c r="B398" s="84">
        <v>2024</v>
      </c>
      <c r="C398" s="84" t="s">
        <v>229</v>
      </c>
      <c r="D398" s="84">
        <v>10</v>
      </c>
      <c r="E398" s="84" t="s">
        <v>230</v>
      </c>
      <c r="F398" s="84">
        <v>43</v>
      </c>
      <c r="G398" s="84">
        <v>23</v>
      </c>
      <c r="H398" s="84" t="s">
        <v>125</v>
      </c>
    </row>
    <row r="399" spans="1:8" x14ac:dyDescent="0.3">
      <c r="A399" s="81">
        <v>45589</v>
      </c>
      <c r="B399" s="82">
        <v>2024</v>
      </c>
      <c r="C399" s="82" t="s">
        <v>229</v>
      </c>
      <c r="D399" s="82">
        <v>10</v>
      </c>
      <c r="E399" s="82" t="s">
        <v>230</v>
      </c>
      <c r="F399" s="82">
        <v>43</v>
      </c>
      <c r="G399" s="82">
        <v>24</v>
      </c>
      <c r="H399" s="82" t="s">
        <v>127</v>
      </c>
    </row>
    <row r="400" spans="1:8" x14ac:dyDescent="0.3">
      <c r="A400" s="83">
        <v>45590</v>
      </c>
      <c r="B400" s="84">
        <v>2024</v>
      </c>
      <c r="C400" s="84" t="s">
        <v>229</v>
      </c>
      <c r="D400" s="84">
        <v>10</v>
      </c>
      <c r="E400" s="84" t="s">
        <v>230</v>
      </c>
      <c r="F400" s="84">
        <v>43</v>
      </c>
      <c r="G400" s="84">
        <v>25</v>
      </c>
      <c r="H400" s="84" t="s">
        <v>129</v>
      </c>
    </row>
    <row r="401" spans="1:8" x14ac:dyDescent="0.3">
      <c r="A401" s="81">
        <v>45591</v>
      </c>
      <c r="B401" s="82">
        <v>2024</v>
      </c>
      <c r="C401" s="82" t="s">
        <v>229</v>
      </c>
      <c r="D401" s="82">
        <v>10</v>
      </c>
      <c r="E401" s="82" t="s">
        <v>230</v>
      </c>
      <c r="F401" s="82">
        <v>43</v>
      </c>
      <c r="G401" s="82">
        <v>26</v>
      </c>
      <c r="H401" s="82" t="s">
        <v>131</v>
      </c>
    </row>
    <row r="402" spans="1:8" x14ac:dyDescent="0.3">
      <c r="A402" s="83">
        <v>45592</v>
      </c>
      <c r="B402" s="84">
        <v>2024</v>
      </c>
      <c r="C402" s="84" t="s">
        <v>229</v>
      </c>
      <c r="D402" s="84">
        <v>10</v>
      </c>
      <c r="E402" s="84" t="s">
        <v>230</v>
      </c>
      <c r="F402" s="84">
        <v>43</v>
      </c>
      <c r="G402" s="84">
        <v>27</v>
      </c>
      <c r="H402" s="84" t="s">
        <v>133</v>
      </c>
    </row>
    <row r="403" spans="1:8" x14ac:dyDescent="0.3">
      <c r="A403" s="81">
        <v>45593</v>
      </c>
      <c r="B403" s="82">
        <v>2024</v>
      </c>
      <c r="C403" s="82" t="s">
        <v>229</v>
      </c>
      <c r="D403" s="82">
        <v>10</v>
      </c>
      <c r="E403" s="82" t="s">
        <v>230</v>
      </c>
      <c r="F403" s="82">
        <v>44</v>
      </c>
      <c r="G403" s="82">
        <v>28</v>
      </c>
      <c r="H403" s="82" t="s">
        <v>121</v>
      </c>
    </row>
    <row r="404" spans="1:8" x14ac:dyDescent="0.3">
      <c r="A404" s="83">
        <v>45594</v>
      </c>
      <c r="B404" s="84">
        <v>2024</v>
      </c>
      <c r="C404" s="84" t="s">
        <v>229</v>
      </c>
      <c r="D404" s="84">
        <v>10</v>
      </c>
      <c r="E404" s="84" t="s">
        <v>230</v>
      </c>
      <c r="F404" s="84">
        <v>44</v>
      </c>
      <c r="G404" s="84">
        <v>29</v>
      </c>
      <c r="H404" s="84" t="s">
        <v>123</v>
      </c>
    </row>
    <row r="405" spans="1:8" x14ac:dyDescent="0.3">
      <c r="A405" s="81">
        <v>45595</v>
      </c>
      <c r="B405" s="82">
        <v>2024</v>
      </c>
      <c r="C405" s="82" t="s">
        <v>229</v>
      </c>
      <c r="D405" s="82">
        <v>10</v>
      </c>
      <c r="E405" s="82" t="s">
        <v>230</v>
      </c>
      <c r="F405" s="82">
        <v>44</v>
      </c>
      <c r="G405" s="82">
        <v>30</v>
      </c>
      <c r="H405" s="82" t="s">
        <v>125</v>
      </c>
    </row>
    <row r="406" spans="1:8" x14ac:dyDescent="0.3">
      <c r="A406" s="83">
        <v>45596</v>
      </c>
      <c r="B406" s="84">
        <v>2024</v>
      </c>
      <c r="C406" s="84" t="s">
        <v>229</v>
      </c>
      <c r="D406" s="84">
        <v>10</v>
      </c>
      <c r="E406" s="84" t="s">
        <v>230</v>
      </c>
      <c r="F406" s="84">
        <v>44</v>
      </c>
      <c r="G406" s="84">
        <v>31</v>
      </c>
      <c r="H406" s="84" t="s">
        <v>127</v>
      </c>
    </row>
    <row r="407" spans="1:8" x14ac:dyDescent="0.3">
      <c r="A407" s="81">
        <v>45597</v>
      </c>
      <c r="B407" s="82">
        <v>2024</v>
      </c>
      <c r="C407" s="82" t="s">
        <v>229</v>
      </c>
      <c r="D407" s="82">
        <v>11</v>
      </c>
      <c r="E407" s="82" t="s">
        <v>231</v>
      </c>
      <c r="F407" s="82">
        <v>44</v>
      </c>
      <c r="G407" s="82">
        <v>1</v>
      </c>
      <c r="H407" s="82" t="s">
        <v>129</v>
      </c>
    </row>
    <row r="408" spans="1:8" x14ac:dyDescent="0.3">
      <c r="A408" s="83">
        <v>45598</v>
      </c>
      <c r="B408" s="84">
        <v>2024</v>
      </c>
      <c r="C408" s="84" t="s">
        <v>229</v>
      </c>
      <c r="D408" s="84">
        <v>11</v>
      </c>
      <c r="E408" s="84" t="s">
        <v>231</v>
      </c>
      <c r="F408" s="84">
        <v>44</v>
      </c>
      <c r="G408" s="84">
        <v>2</v>
      </c>
      <c r="H408" s="84" t="s">
        <v>131</v>
      </c>
    </row>
    <row r="409" spans="1:8" x14ac:dyDescent="0.3">
      <c r="A409" s="81">
        <v>45599</v>
      </c>
      <c r="B409" s="82">
        <v>2024</v>
      </c>
      <c r="C409" s="82" t="s">
        <v>229</v>
      </c>
      <c r="D409" s="82">
        <v>11</v>
      </c>
      <c r="E409" s="82" t="s">
        <v>231</v>
      </c>
      <c r="F409" s="82">
        <v>44</v>
      </c>
      <c r="G409" s="82">
        <v>3</v>
      </c>
      <c r="H409" s="82" t="s">
        <v>133</v>
      </c>
    </row>
    <row r="410" spans="1:8" x14ac:dyDescent="0.3">
      <c r="A410" s="83">
        <v>45600</v>
      </c>
      <c r="B410" s="84">
        <v>2024</v>
      </c>
      <c r="C410" s="84" t="s">
        <v>229</v>
      </c>
      <c r="D410" s="84">
        <v>11</v>
      </c>
      <c r="E410" s="84" t="s">
        <v>231</v>
      </c>
      <c r="F410" s="84">
        <v>45</v>
      </c>
      <c r="G410" s="84">
        <v>4</v>
      </c>
      <c r="H410" s="84" t="s">
        <v>121</v>
      </c>
    </row>
    <row r="411" spans="1:8" x14ac:dyDescent="0.3">
      <c r="A411" s="81">
        <v>45601</v>
      </c>
      <c r="B411" s="82">
        <v>2024</v>
      </c>
      <c r="C411" s="82" t="s">
        <v>229</v>
      </c>
      <c r="D411" s="82">
        <v>11</v>
      </c>
      <c r="E411" s="82" t="s">
        <v>231</v>
      </c>
      <c r="F411" s="82">
        <v>45</v>
      </c>
      <c r="G411" s="82">
        <v>5</v>
      </c>
      <c r="H411" s="82" t="s">
        <v>123</v>
      </c>
    </row>
    <row r="412" spans="1:8" x14ac:dyDescent="0.3">
      <c r="A412" s="83">
        <v>45602</v>
      </c>
      <c r="B412" s="84">
        <v>2024</v>
      </c>
      <c r="C412" s="84" t="s">
        <v>229</v>
      </c>
      <c r="D412" s="84">
        <v>11</v>
      </c>
      <c r="E412" s="84" t="s">
        <v>231</v>
      </c>
      <c r="F412" s="84">
        <v>45</v>
      </c>
      <c r="G412" s="84">
        <v>6</v>
      </c>
      <c r="H412" s="84" t="s">
        <v>125</v>
      </c>
    </row>
    <row r="413" spans="1:8" x14ac:dyDescent="0.3">
      <c r="A413" s="81">
        <v>45603</v>
      </c>
      <c r="B413" s="82">
        <v>2024</v>
      </c>
      <c r="C413" s="82" t="s">
        <v>229</v>
      </c>
      <c r="D413" s="82">
        <v>11</v>
      </c>
      <c r="E413" s="82" t="s">
        <v>231</v>
      </c>
      <c r="F413" s="82">
        <v>45</v>
      </c>
      <c r="G413" s="82">
        <v>7</v>
      </c>
      <c r="H413" s="82" t="s">
        <v>127</v>
      </c>
    </row>
    <row r="414" spans="1:8" x14ac:dyDescent="0.3">
      <c r="A414" s="83">
        <v>45604</v>
      </c>
      <c r="B414" s="84">
        <v>2024</v>
      </c>
      <c r="C414" s="84" t="s">
        <v>229</v>
      </c>
      <c r="D414" s="84">
        <v>11</v>
      </c>
      <c r="E414" s="84" t="s">
        <v>231</v>
      </c>
      <c r="F414" s="84">
        <v>45</v>
      </c>
      <c r="G414" s="84">
        <v>8</v>
      </c>
      <c r="H414" s="84" t="s">
        <v>129</v>
      </c>
    </row>
    <row r="415" spans="1:8" x14ac:dyDescent="0.3">
      <c r="A415" s="81">
        <v>45605</v>
      </c>
      <c r="B415" s="82">
        <v>2024</v>
      </c>
      <c r="C415" s="82" t="s">
        <v>229</v>
      </c>
      <c r="D415" s="82">
        <v>11</v>
      </c>
      <c r="E415" s="82" t="s">
        <v>231</v>
      </c>
      <c r="F415" s="82">
        <v>45</v>
      </c>
      <c r="G415" s="82">
        <v>9</v>
      </c>
      <c r="H415" s="82" t="s">
        <v>131</v>
      </c>
    </row>
    <row r="416" spans="1:8" x14ac:dyDescent="0.3">
      <c r="A416" s="83">
        <v>45606</v>
      </c>
      <c r="B416" s="84">
        <v>2024</v>
      </c>
      <c r="C416" s="84" t="s">
        <v>229</v>
      </c>
      <c r="D416" s="84">
        <v>11</v>
      </c>
      <c r="E416" s="84" t="s">
        <v>231</v>
      </c>
      <c r="F416" s="84">
        <v>45</v>
      </c>
      <c r="G416" s="84">
        <v>10</v>
      </c>
      <c r="H416" s="84" t="s">
        <v>133</v>
      </c>
    </row>
    <row r="417" spans="1:8" x14ac:dyDescent="0.3">
      <c r="A417" s="81">
        <v>45607</v>
      </c>
      <c r="B417" s="82">
        <v>2024</v>
      </c>
      <c r="C417" s="82" t="s">
        <v>229</v>
      </c>
      <c r="D417" s="82">
        <v>11</v>
      </c>
      <c r="E417" s="82" t="s">
        <v>231</v>
      </c>
      <c r="F417" s="82">
        <v>46</v>
      </c>
      <c r="G417" s="82">
        <v>11</v>
      </c>
      <c r="H417" s="82" t="s">
        <v>121</v>
      </c>
    </row>
    <row r="418" spans="1:8" x14ac:dyDescent="0.3">
      <c r="A418" s="83">
        <v>45608</v>
      </c>
      <c r="B418" s="84">
        <v>2024</v>
      </c>
      <c r="C418" s="84" t="s">
        <v>229</v>
      </c>
      <c r="D418" s="84">
        <v>11</v>
      </c>
      <c r="E418" s="84" t="s">
        <v>231</v>
      </c>
      <c r="F418" s="84">
        <v>46</v>
      </c>
      <c r="G418" s="84">
        <v>12</v>
      </c>
      <c r="H418" s="84" t="s">
        <v>123</v>
      </c>
    </row>
    <row r="419" spans="1:8" x14ac:dyDescent="0.3">
      <c r="A419" s="81">
        <v>45609</v>
      </c>
      <c r="B419" s="82">
        <v>2024</v>
      </c>
      <c r="C419" s="82" t="s">
        <v>229</v>
      </c>
      <c r="D419" s="82">
        <v>11</v>
      </c>
      <c r="E419" s="82" t="s">
        <v>231</v>
      </c>
      <c r="F419" s="82">
        <v>46</v>
      </c>
      <c r="G419" s="82">
        <v>13</v>
      </c>
      <c r="H419" s="82" t="s">
        <v>125</v>
      </c>
    </row>
    <row r="420" spans="1:8" x14ac:dyDescent="0.3">
      <c r="A420" s="83">
        <v>45610</v>
      </c>
      <c r="B420" s="84">
        <v>2024</v>
      </c>
      <c r="C420" s="84" t="s">
        <v>229</v>
      </c>
      <c r="D420" s="84">
        <v>11</v>
      </c>
      <c r="E420" s="84" t="s">
        <v>231</v>
      </c>
      <c r="F420" s="84">
        <v>46</v>
      </c>
      <c r="G420" s="84">
        <v>14</v>
      </c>
      <c r="H420" s="84" t="s">
        <v>127</v>
      </c>
    </row>
    <row r="421" spans="1:8" x14ac:dyDescent="0.3">
      <c r="A421" s="81">
        <v>45611</v>
      </c>
      <c r="B421" s="82">
        <v>2024</v>
      </c>
      <c r="C421" s="82" t="s">
        <v>229</v>
      </c>
      <c r="D421" s="82">
        <v>11</v>
      </c>
      <c r="E421" s="82" t="s">
        <v>231</v>
      </c>
      <c r="F421" s="82">
        <v>46</v>
      </c>
      <c r="G421" s="82">
        <v>15</v>
      </c>
      <c r="H421" s="82" t="s">
        <v>129</v>
      </c>
    </row>
    <row r="422" spans="1:8" x14ac:dyDescent="0.3">
      <c r="A422" s="83">
        <v>45612</v>
      </c>
      <c r="B422" s="84">
        <v>2024</v>
      </c>
      <c r="C422" s="84" t="s">
        <v>229</v>
      </c>
      <c r="D422" s="84">
        <v>11</v>
      </c>
      <c r="E422" s="84" t="s">
        <v>231</v>
      </c>
      <c r="F422" s="84">
        <v>46</v>
      </c>
      <c r="G422" s="84">
        <v>16</v>
      </c>
      <c r="H422" s="84" t="s">
        <v>131</v>
      </c>
    </row>
    <row r="423" spans="1:8" x14ac:dyDescent="0.3">
      <c r="A423" s="81">
        <v>45613</v>
      </c>
      <c r="B423" s="82">
        <v>2024</v>
      </c>
      <c r="C423" s="82" t="s">
        <v>229</v>
      </c>
      <c r="D423" s="82">
        <v>11</v>
      </c>
      <c r="E423" s="82" t="s">
        <v>231</v>
      </c>
      <c r="F423" s="82">
        <v>46</v>
      </c>
      <c r="G423" s="82">
        <v>17</v>
      </c>
      <c r="H423" s="82" t="s">
        <v>133</v>
      </c>
    </row>
    <row r="424" spans="1:8" x14ac:dyDescent="0.3">
      <c r="A424" s="83">
        <v>45614</v>
      </c>
      <c r="B424" s="84">
        <v>2024</v>
      </c>
      <c r="C424" s="84" t="s">
        <v>229</v>
      </c>
      <c r="D424" s="84">
        <v>11</v>
      </c>
      <c r="E424" s="84" t="s">
        <v>231</v>
      </c>
      <c r="F424" s="84">
        <v>47</v>
      </c>
      <c r="G424" s="84">
        <v>18</v>
      </c>
      <c r="H424" s="84" t="s">
        <v>121</v>
      </c>
    </row>
    <row r="425" spans="1:8" x14ac:dyDescent="0.3">
      <c r="A425" s="81">
        <v>45615</v>
      </c>
      <c r="B425" s="82">
        <v>2024</v>
      </c>
      <c r="C425" s="82" t="s">
        <v>229</v>
      </c>
      <c r="D425" s="82">
        <v>11</v>
      </c>
      <c r="E425" s="82" t="s">
        <v>231</v>
      </c>
      <c r="F425" s="82">
        <v>47</v>
      </c>
      <c r="G425" s="82">
        <v>19</v>
      </c>
      <c r="H425" s="82" t="s">
        <v>123</v>
      </c>
    </row>
    <row r="426" spans="1:8" x14ac:dyDescent="0.3">
      <c r="A426" s="83">
        <v>45616</v>
      </c>
      <c r="B426" s="84">
        <v>2024</v>
      </c>
      <c r="C426" s="84" t="s">
        <v>229</v>
      </c>
      <c r="D426" s="84">
        <v>11</v>
      </c>
      <c r="E426" s="84" t="s">
        <v>231</v>
      </c>
      <c r="F426" s="84">
        <v>47</v>
      </c>
      <c r="G426" s="84">
        <v>20</v>
      </c>
      <c r="H426" s="84" t="s">
        <v>125</v>
      </c>
    </row>
    <row r="427" spans="1:8" x14ac:dyDescent="0.3">
      <c r="A427" s="81">
        <v>45617</v>
      </c>
      <c r="B427" s="82">
        <v>2024</v>
      </c>
      <c r="C427" s="82" t="s">
        <v>229</v>
      </c>
      <c r="D427" s="82">
        <v>11</v>
      </c>
      <c r="E427" s="82" t="s">
        <v>231</v>
      </c>
      <c r="F427" s="82">
        <v>47</v>
      </c>
      <c r="G427" s="82">
        <v>21</v>
      </c>
      <c r="H427" s="82" t="s">
        <v>127</v>
      </c>
    </row>
    <row r="428" spans="1:8" x14ac:dyDescent="0.3">
      <c r="A428" s="83">
        <v>45618</v>
      </c>
      <c r="B428" s="84">
        <v>2024</v>
      </c>
      <c r="C428" s="84" t="s">
        <v>229</v>
      </c>
      <c r="D428" s="84">
        <v>11</v>
      </c>
      <c r="E428" s="84" t="s">
        <v>231</v>
      </c>
      <c r="F428" s="84">
        <v>47</v>
      </c>
      <c r="G428" s="84">
        <v>22</v>
      </c>
      <c r="H428" s="84" t="s">
        <v>129</v>
      </c>
    </row>
    <row r="429" spans="1:8" x14ac:dyDescent="0.3">
      <c r="A429" s="81">
        <v>45619</v>
      </c>
      <c r="B429" s="82">
        <v>2024</v>
      </c>
      <c r="C429" s="82" t="s">
        <v>229</v>
      </c>
      <c r="D429" s="82">
        <v>11</v>
      </c>
      <c r="E429" s="82" t="s">
        <v>231</v>
      </c>
      <c r="F429" s="82">
        <v>47</v>
      </c>
      <c r="G429" s="82">
        <v>23</v>
      </c>
      <c r="H429" s="82" t="s">
        <v>131</v>
      </c>
    </row>
    <row r="430" spans="1:8" x14ac:dyDescent="0.3">
      <c r="A430" s="83">
        <v>45620</v>
      </c>
      <c r="B430" s="84">
        <v>2024</v>
      </c>
      <c r="C430" s="84" t="s">
        <v>229</v>
      </c>
      <c r="D430" s="84">
        <v>11</v>
      </c>
      <c r="E430" s="84" t="s">
        <v>231</v>
      </c>
      <c r="F430" s="84">
        <v>47</v>
      </c>
      <c r="G430" s="84">
        <v>24</v>
      </c>
      <c r="H430" s="84" t="s">
        <v>133</v>
      </c>
    </row>
    <row r="431" spans="1:8" x14ac:dyDescent="0.3">
      <c r="A431" s="81">
        <v>45621</v>
      </c>
      <c r="B431" s="82">
        <v>2024</v>
      </c>
      <c r="C431" s="82" t="s">
        <v>229</v>
      </c>
      <c r="D431" s="82">
        <v>11</v>
      </c>
      <c r="E431" s="82" t="s">
        <v>231</v>
      </c>
      <c r="F431" s="82">
        <v>48</v>
      </c>
      <c r="G431" s="82">
        <v>25</v>
      </c>
      <c r="H431" s="82" t="s">
        <v>121</v>
      </c>
    </row>
    <row r="432" spans="1:8" x14ac:dyDescent="0.3">
      <c r="A432" s="83">
        <v>45622</v>
      </c>
      <c r="B432" s="84">
        <v>2024</v>
      </c>
      <c r="C432" s="84" t="s">
        <v>229</v>
      </c>
      <c r="D432" s="84">
        <v>11</v>
      </c>
      <c r="E432" s="84" t="s">
        <v>231</v>
      </c>
      <c r="F432" s="84">
        <v>48</v>
      </c>
      <c r="G432" s="84">
        <v>26</v>
      </c>
      <c r="H432" s="84" t="s">
        <v>123</v>
      </c>
    </row>
    <row r="433" spans="1:8" x14ac:dyDescent="0.3">
      <c r="A433" s="81">
        <v>45623</v>
      </c>
      <c r="B433" s="82">
        <v>2024</v>
      </c>
      <c r="C433" s="82" t="s">
        <v>229</v>
      </c>
      <c r="D433" s="82">
        <v>11</v>
      </c>
      <c r="E433" s="82" t="s">
        <v>231</v>
      </c>
      <c r="F433" s="82">
        <v>48</v>
      </c>
      <c r="G433" s="82">
        <v>27</v>
      </c>
      <c r="H433" s="82" t="s">
        <v>125</v>
      </c>
    </row>
    <row r="434" spans="1:8" x14ac:dyDescent="0.3">
      <c r="A434" s="83">
        <v>45624</v>
      </c>
      <c r="B434" s="84">
        <v>2024</v>
      </c>
      <c r="C434" s="84" t="s">
        <v>229</v>
      </c>
      <c r="D434" s="84">
        <v>11</v>
      </c>
      <c r="E434" s="84" t="s">
        <v>231</v>
      </c>
      <c r="F434" s="84">
        <v>48</v>
      </c>
      <c r="G434" s="84">
        <v>28</v>
      </c>
      <c r="H434" s="84" t="s">
        <v>127</v>
      </c>
    </row>
    <row r="435" spans="1:8" x14ac:dyDescent="0.3">
      <c r="A435" s="81">
        <v>45625</v>
      </c>
      <c r="B435" s="82">
        <v>2024</v>
      </c>
      <c r="C435" s="82" t="s">
        <v>229</v>
      </c>
      <c r="D435" s="82">
        <v>11</v>
      </c>
      <c r="E435" s="82" t="s">
        <v>231</v>
      </c>
      <c r="F435" s="82">
        <v>48</v>
      </c>
      <c r="G435" s="82">
        <v>29</v>
      </c>
      <c r="H435" s="82" t="s">
        <v>129</v>
      </c>
    </row>
    <row r="436" spans="1:8" x14ac:dyDescent="0.3">
      <c r="A436" s="83">
        <v>45626</v>
      </c>
      <c r="B436" s="84">
        <v>2024</v>
      </c>
      <c r="C436" s="84" t="s">
        <v>229</v>
      </c>
      <c r="D436" s="84">
        <v>11</v>
      </c>
      <c r="E436" s="84" t="s">
        <v>231</v>
      </c>
      <c r="F436" s="84">
        <v>48</v>
      </c>
      <c r="G436" s="84">
        <v>30</v>
      </c>
      <c r="H436" s="84" t="s">
        <v>131</v>
      </c>
    </row>
    <row r="437" spans="1:8" x14ac:dyDescent="0.3">
      <c r="A437" s="81">
        <v>45627</v>
      </c>
      <c r="B437" s="82">
        <v>2024</v>
      </c>
      <c r="C437" s="82" t="s">
        <v>229</v>
      </c>
      <c r="D437" s="82">
        <v>12</v>
      </c>
      <c r="E437" s="82" t="s">
        <v>232</v>
      </c>
      <c r="F437" s="82">
        <v>48</v>
      </c>
      <c r="G437" s="82">
        <v>1</v>
      </c>
      <c r="H437" s="82" t="s">
        <v>133</v>
      </c>
    </row>
    <row r="438" spans="1:8" x14ac:dyDescent="0.3">
      <c r="A438" s="83">
        <v>45628</v>
      </c>
      <c r="B438" s="84">
        <v>2024</v>
      </c>
      <c r="C438" s="84" t="s">
        <v>229</v>
      </c>
      <c r="D438" s="84">
        <v>12</v>
      </c>
      <c r="E438" s="84" t="s">
        <v>232</v>
      </c>
      <c r="F438" s="84">
        <v>49</v>
      </c>
      <c r="G438" s="84">
        <v>2</v>
      </c>
      <c r="H438" s="84" t="s">
        <v>121</v>
      </c>
    </row>
    <row r="439" spans="1:8" x14ac:dyDescent="0.3">
      <c r="A439" s="81">
        <v>45629</v>
      </c>
      <c r="B439" s="82">
        <v>2024</v>
      </c>
      <c r="C439" s="82" t="s">
        <v>229</v>
      </c>
      <c r="D439" s="82">
        <v>12</v>
      </c>
      <c r="E439" s="82" t="s">
        <v>232</v>
      </c>
      <c r="F439" s="82">
        <v>49</v>
      </c>
      <c r="G439" s="82">
        <v>3</v>
      </c>
      <c r="H439" s="82" t="s">
        <v>123</v>
      </c>
    </row>
    <row r="440" spans="1:8" x14ac:dyDescent="0.3">
      <c r="A440" s="83">
        <v>45630</v>
      </c>
      <c r="B440" s="84">
        <v>2024</v>
      </c>
      <c r="C440" s="84" t="s">
        <v>229</v>
      </c>
      <c r="D440" s="84">
        <v>12</v>
      </c>
      <c r="E440" s="84" t="s">
        <v>232</v>
      </c>
      <c r="F440" s="84">
        <v>49</v>
      </c>
      <c r="G440" s="84">
        <v>4</v>
      </c>
      <c r="H440" s="84" t="s">
        <v>125</v>
      </c>
    </row>
    <row r="441" spans="1:8" x14ac:dyDescent="0.3">
      <c r="A441" s="81">
        <v>45631</v>
      </c>
      <c r="B441" s="82">
        <v>2024</v>
      </c>
      <c r="C441" s="82" t="s">
        <v>229</v>
      </c>
      <c r="D441" s="82">
        <v>12</v>
      </c>
      <c r="E441" s="82" t="s">
        <v>232</v>
      </c>
      <c r="F441" s="82">
        <v>49</v>
      </c>
      <c r="G441" s="82">
        <v>5</v>
      </c>
      <c r="H441" s="82" t="s">
        <v>127</v>
      </c>
    </row>
    <row r="442" spans="1:8" x14ac:dyDescent="0.3">
      <c r="A442" s="83">
        <v>45632</v>
      </c>
      <c r="B442" s="84">
        <v>2024</v>
      </c>
      <c r="C442" s="84" t="s">
        <v>229</v>
      </c>
      <c r="D442" s="84">
        <v>12</v>
      </c>
      <c r="E442" s="84" t="s">
        <v>232</v>
      </c>
      <c r="F442" s="84">
        <v>49</v>
      </c>
      <c r="G442" s="84">
        <v>6</v>
      </c>
      <c r="H442" s="84" t="s">
        <v>129</v>
      </c>
    </row>
    <row r="443" spans="1:8" x14ac:dyDescent="0.3">
      <c r="A443" s="81">
        <v>45633</v>
      </c>
      <c r="B443" s="82">
        <v>2024</v>
      </c>
      <c r="C443" s="82" t="s">
        <v>229</v>
      </c>
      <c r="D443" s="82">
        <v>12</v>
      </c>
      <c r="E443" s="82" t="s">
        <v>232</v>
      </c>
      <c r="F443" s="82">
        <v>49</v>
      </c>
      <c r="G443" s="82">
        <v>7</v>
      </c>
      <c r="H443" s="82" t="s">
        <v>131</v>
      </c>
    </row>
    <row r="444" spans="1:8" x14ac:dyDescent="0.3">
      <c r="A444" s="83">
        <v>45634</v>
      </c>
      <c r="B444" s="84">
        <v>2024</v>
      </c>
      <c r="C444" s="84" t="s">
        <v>229</v>
      </c>
      <c r="D444" s="84">
        <v>12</v>
      </c>
      <c r="E444" s="84" t="s">
        <v>232</v>
      </c>
      <c r="F444" s="84">
        <v>49</v>
      </c>
      <c r="G444" s="84">
        <v>8</v>
      </c>
      <c r="H444" s="84" t="s">
        <v>133</v>
      </c>
    </row>
    <row r="445" spans="1:8" x14ac:dyDescent="0.3">
      <c r="A445" s="81">
        <v>45635</v>
      </c>
      <c r="B445" s="82">
        <v>2024</v>
      </c>
      <c r="C445" s="82" t="s">
        <v>229</v>
      </c>
      <c r="D445" s="82">
        <v>12</v>
      </c>
      <c r="E445" s="82" t="s">
        <v>232</v>
      </c>
      <c r="F445" s="82">
        <v>50</v>
      </c>
      <c r="G445" s="82">
        <v>9</v>
      </c>
      <c r="H445" s="82" t="s">
        <v>121</v>
      </c>
    </row>
    <row r="446" spans="1:8" x14ac:dyDescent="0.3">
      <c r="A446" s="83">
        <v>45636</v>
      </c>
      <c r="B446" s="84">
        <v>2024</v>
      </c>
      <c r="C446" s="84" t="s">
        <v>229</v>
      </c>
      <c r="D446" s="84">
        <v>12</v>
      </c>
      <c r="E446" s="84" t="s">
        <v>232</v>
      </c>
      <c r="F446" s="84">
        <v>50</v>
      </c>
      <c r="G446" s="84">
        <v>10</v>
      </c>
      <c r="H446" s="84" t="s">
        <v>123</v>
      </c>
    </row>
    <row r="447" spans="1:8" x14ac:dyDescent="0.3">
      <c r="A447" s="81">
        <v>45637</v>
      </c>
      <c r="B447" s="82">
        <v>2024</v>
      </c>
      <c r="C447" s="82" t="s">
        <v>229</v>
      </c>
      <c r="D447" s="82">
        <v>12</v>
      </c>
      <c r="E447" s="82" t="s">
        <v>232</v>
      </c>
      <c r="F447" s="82">
        <v>50</v>
      </c>
      <c r="G447" s="82">
        <v>11</v>
      </c>
      <c r="H447" s="82" t="s">
        <v>125</v>
      </c>
    </row>
    <row r="448" spans="1:8" x14ac:dyDescent="0.3">
      <c r="A448" s="83">
        <v>45638</v>
      </c>
      <c r="B448" s="84">
        <v>2024</v>
      </c>
      <c r="C448" s="84" t="s">
        <v>229</v>
      </c>
      <c r="D448" s="84">
        <v>12</v>
      </c>
      <c r="E448" s="84" t="s">
        <v>232</v>
      </c>
      <c r="F448" s="84">
        <v>50</v>
      </c>
      <c r="G448" s="84">
        <v>12</v>
      </c>
      <c r="H448" s="84" t="s">
        <v>127</v>
      </c>
    </row>
    <row r="449" spans="1:8" x14ac:dyDescent="0.3">
      <c r="A449" s="81">
        <v>45639</v>
      </c>
      <c r="B449" s="82">
        <v>2024</v>
      </c>
      <c r="C449" s="82" t="s">
        <v>229</v>
      </c>
      <c r="D449" s="82">
        <v>12</v>
      </c>
      <c r="E449" s="82" t="s">
        <v>232</v>
      </c>
      <c r="F449" s="82">
        <v>50</v>
      </c>
      <c r="G449" s="82">
        <v>13</v>
      </c>
      <c r="H449" s="82" t="s">
        <v>129</v>
      </c>
    </row>
    <row r="450" spans="1:8" x14ac:dyDescent="0.3">
      <c r="A450" s="83">
        <v>45640</v>
      </c>
      <c r="B450" s="84">
        <v>2024</v>
      </c>
      <c r="C450" s="84" t="s">
        <v>229</v>
      </c>
      <c r="D450" s="84">
        <v>12</v>
      </c>
      <c r="E450" s="84" t="s">
        <v>232</v>
      </c>
      <c r="F450" s="84">
        <v>50</v>
      </c>
      <c r="G450" s="84">
        <v>14</v>
      </c>
      <c r="H450" s="84" t="s">
        <v>131</v>
      </c>
    </row>
    <row r="451" spans="1:8" x14ac:dyDescent="0.3">
      <c r="A451" s="81">
        <v>45641</v>
      </c>
      <c r="B451" s="82">
        <v>2024</v>
      </c>
      <c r="C451" s="82" t="s">
        <v>229</v>
      </c>
      <c r="D451" s="82">
        <v>12</v>
      </c>
      <c r="E451" s="82" t="s">
        <v>232</v>
      </c>
      <c r="F451" s="82">
        <v>50</v>
      </c>
      <c r="G451" s="82">
        <v>15</v>
      </c>
      <c r="H451" s="82" t="s">
        <v>133</v>
      </c>
    </row>
    <row r="452" spans="1:8" x14ac:dyDescent="0.3">
      <c r="A452" s="83">
        <v>45642</v>
      </c>
      <c r="B452" s="84">
        <v>2024</v>
      </c>
      <c r="C452" s="84" t="s">
        <v>229</v>
      </c>
      <c r="D452" s="84">
        <v>12</v>
      </c>
      <c r="E452" s="84" t="s">
        <v>232</v>
      </c>
      <c r="F452" s="84">
        <v>51</v>
      </c>
      <c r="G452" s="84">
        <v>16</v>
      </c>
      <c r="H452" s="84" t="s">
        <v>121</v>
      </c>
    </row>
    <row r="453" spans="1:8" x14ac:dyDescent="0.3">
      <c r="A453" s="81">
        <v>45643</v>
      </c>
      <c r="B453" s="82">
        <v>2024</v>
      </c>
      <c r="C453" s="82" t="s">
        <v>229</v>
      </c>
      <c r="D453" s="82">
        <v>12</v>
      </c>
      <c r="E453" s="82" t="s">
        <v>232</v>
      </c>
      <c r="F453" s="82">
        <v>51</v>
      </c>
      <c r="G453" s="82">
        <v>17</v>
      </c>
      <c r="H453" s="82" t="s">
        <v>123</v>
      </c>
    </row>
    <row r="454" spans="1:8" x14ac:dyDescent="0.3">
      <c r="A454" s="83">
        <v>45644</v>
      </c>
      <c r="B454" s="84">
        <v>2024</v>
      </c>
      <c r="C454" s="84" t="s">
        <v>229</v>
      </c>
      <c r="D454" s="84">
        <v>12</v>
      </c>
      <c r="E454" s="84" t="s">
        <v>232</v>
      </c>
      <c r="F454" s="84">
        <v>51</v>
      </c>
      <c r="G454" s="84">
        <v>18</v>
      </c>
      <c r="H454" s="84" t="s">
        <v>125</v>
      </c>
    </row>
    <row r="455" spans="1:8" x14ac:dyDescent="0.3">
      <c r="A455" s="81">
        <v>45645</v>
      </c>
      <c r="B455" s="82">
        <v>2024</v>
      </c>
      <c r="C455" s="82" t="s">
        <v>229</v>
      </c>
      <c r="D455" s="82">
        <v>12</v>
      </c>
      <c r="E455" s="82" t="s">
        <v>232</v>
      </c>
      <c r="F455" s="82">
        <v>51</v>
      </c>
      <c r="G455" s="82">
        <v>19</v>
      </c>
      <c r="H455" s="82" t="s">
        <v>127</v>
      </c>
    </row>
    <row r="456" spans="1:8" x14ac:dyDescent="0.3">
      <c r="A456" s="83">
        <v>45646</v>
      </c>
      <c r="B456" s="84">
        <v>2024</v>
      </c>
      <c r="C456" s="84" t="s">
        <v>229</v>
      </c>
      <c r="D456" s="84">
        <v>12</v>
      </c>
      <c r="E456" s="84" t="s">
        <v>232</v>
      </c>
      <c r="F456" s="84">
        <v>51</v>
      </c>
      <c r="G456" s="84">
        <v>20</v>
      </c>
      <c r="H456" s="84" t="s">
        <v>129</v>
      </c>
    </row>
    <row r="457" spans="1:8" x14ac:dyDescent="0.3">
      <c r="A457" s="81">
        <v>45647</v>
      </c>
      <c r="B457" s="82">
        <v>2024</v>
      </c>
      <c r="C457" s="82" t="s">
        <v>229</v>
      </c>
      <c r="D457" s="82">
        <v>12</v>
      </c>
      <c r="E457" s="82" t="s">
        <v>232</v>
      </c>
      <c r="F457" s="82">
        <v>51</v>
      </c>
      <c r="G457" s="82">
        <v>21</v>
      </c>
      <c r="H457" s="82" t="s">
        <v>131</v>
      </c>
    </row>
    <row r="458" spans="1:8" x14ac:dyDescent="0.3">
      <c r="A458" s="83">
        <v>45648</v>
      </c>
      <c r="B458" s="84">
        <v>2024</v>
      </c>
      <c r="C458" s="84" t="s">
        <v>229</v>
      </c>
      <c r="D458" s="84">
        <v>12</v>
      </c>
      <c r="E458" s="84" t="s">
        <v>232</v>
      </c>
      <c r="F458" s="84">
        <v>51</v>
      </c>
      <c r="G458" s="84">
        <v>22</v>
      </c>
      <c r="H458" s="84" t="s">
        <v>133</v>
      </c>
    </row>
    <row r="459" spans="1:8" x14ac:dyDescent="0.3">
      <c r="A459" s="81">
        <v>45649</v>
      </c>
      <c r="B459" s="82">
        <v>2024</v>
      </c>
      <c r="C459" s="82" t="s">
        <v>229</v>
      </c>
      <c r="D459" s="82">
        <v>12</v>
      </c>
      <c r="E459" s="82" t="s">
        <v>232</v>
      </c>
      <c r="F459" s="82">
        <v>52</v>
      </c>
      <c r="G459" s="82">
        <v>23</v>
      </c>
      <c r="H459" s="82" t="s">
        <v>121</v>
      </c>
    </row>
    <row r="460" spans="1:8" x14ac:dyDescent="0.3">
      <c r="A460" s="83">
        <v>45650</v>
      </c>
      <c r="B460" s="84">
        <v>2024</v>
      </c>
      <c r="C460" s="84" t="s">
        <v>229</v>
      </c>
      <c r="D460" s="84">
        <v>12</v>
      </c>
      <c r="E460" s="84" t="s">
        <v>232</v>
      </c>
      <c r="F460" s="84">
        <v>52</v>
      </c>
      <c r="G460" s="84">
        <v>24</v>
      </c>
      <c r="H460" s="84" t="s">
        <v>123</v>
      </c>
    </row>
    <row r="461" spans="1:8" x14ac:dyDescent="0.3">
      <c r="A461" s="81">
        <v>45651</v>
      </c>
      <c r="B461" s="82">
        <v>2024</v>
      </c>
      <c r="C461" s="82" t="s">
        <v>229</v>
      </c>
      <c r="D461" s="82">
        <v>12</v>
      </c>
      <c r="E461" s="82" t="s">
        <v>232</v>
      </c>
      <c r="F461" s="82">
        <v>52</v>
      </c>
      <c r="G461" s="82">
        <v>25</v>
      </c>
      <c r="H461" s="82" t="s">
        <v>125</v>
      </c>
    </row>
    <row r="462" spans="1:8" x14ac:dyDescent="0.3">
      <c r="A462" s="83">
        <v>45652</v>
      </c>
      <c r="B462" s="84">
        <v>2024</v>
      </c>
      <c r="C462" s="84" t="s">
        <v>229</v>
      </c>
      <c r="D462" s="84">
        <v>12</v>
      </c>
      <c r="E462" s="84" t="s">
        <v>232</v>
      </c>
      <c r="F462" s="84">
        <v>52</v>
      </c>
      <c r="G462" s="84">
        <v>26</v>
      </c>
      <c r="H462" s="84" t="s">
        <v>127</v>
      </c>
    </row>
    <row r="463" spans="1:8" x14ac:dyDescent="0.3">
      <c r="A463" s="81">
        <v>45653</v>
      </c>
      <c r="B463" s="82">
        <v>2024</v>
      </c>
      <c r="C463" s="82" t="s">
        <v>229</v>
      </c>
      <c r="D463" s="82">
        <v>12</v>
      </c>
      <c r="E463" s="82" t="s">
        <v>232</v>
      </c>
      <c r="F463" s="82">
        <v>52</v>
      </c>
      <c r="G463" s="82">
        <v>27</v>
      </c>
      <c r="H463" s="82" t="s">
        <v>129</v>
      </c>
    </row>
    <row r="464" spans="1:8" x14ac:dyDescent="0.3">
      <c r="A464" s="83">
        <v>45654</v>
      </c>
      <c r="B464" s="84">
        <v>2024</v>
      </c>
      <c r="C464" s="84" t="s">
        <v>229</v>
      </c>
      <c r="D464" s="84">
        <v>12</v>
      </c>
      <c r="E464" s="84" t="s">
        <v>232</v>
      </c>
      <c r="F464" s="84">
        <v>52</v>
      </c>
      <c r="G464" s="84">
        <v>28</v>
      </c>
      <c r="H464" s="84" t="s">
        <v>131</v>
      </c>
    </row>
    <row r="465" spans="1:8" x14ac:dyDescent="0.3">
      <c r="A465" s="81">
        <v>45655</v>
      </c>
      <c r="B465" s="82">
        <v>2024</v>
      </c>
      <c r="C465" s="82" t="s">
        <v>229</v>
      </c>
      <c r="D465" s="82">
        <v>12</v>
      </c>
      <c r="E465" s="82" t="s">
        <v>232</v>
      </c>
      <c r="F465" s="82">
        <v>52</v>
      </c>
      <c r="G465" s="82">
        <v>29</v>
      </c>
      <c r="H465" s="82" t="s">
        <v>133</v>
      </c>
    </row>
    <row r="466" spans="1:8" x14ac:dyDescent="0.3">
      <c r="A466" s="83">
        <v>45656</v>
      </c>
      <c r="B466" s="84">
        <v>2024</v>
      </c>
      <c r="C466" s="84" t="s">
        <v>229</v>
      </c>
      <c r="D466" s="84">
        <v>12</v>
      </c>
      <c r="E466" s="84" t="s">
        <v>232</v>
      </c>
      <c r="F466" s="84">
        <v>1</v>
      </c>
      <c r="G466" s="84">
        <v>30</v>
      </c>
      <c r="H466" s="84" t="s">
        <v>121</v>
      </c>
    </row>
    <row r="467" spans="1:8" x14ac:dyDescent="0.3">
      <c r="A467" s="81">
        <v>45657</v>
      </c>
      <c r="B467" s="82">
        <v>2024</v>
      </c>
      <c r="C467" s="82" t="s">
        <v>229</v>
      </c>
      <c r="D467" s="82">
        <v>12</v>
      </c>
      <c r="E467" s="82" t="s">
        <v>232</v>
      </c>
      <c r="F467" s="82">
        <v>1</v>
      </c>
      <c r="G467" s="82">
        <v>31</v>
      </c>
      <c r="H467" s="82" t="s">
        <v>123</v>
      </c>
    </row>
    <row r="468" spans="1:8" x14ac:dyDescent="0.3">
      <c r="A468" s="83">
        <v>45658</v>
      </c>
      <c r="B468" s="84">
        <v>2025</v>
      </c>
      <c r="C468" s="84" t="s">
        <v>233</v>
      </c>
      <c r="D468" s="84">
        <v>1</v>
      </c>
      <c r="E468" s="84" t="s">
        <v>234</v>
      </c>
      <c r="F468" s="84">
        <v>1</v>
      </c>
      <c r="G468" s="84">
        <v>1</v>
      </c>
      <c r="H468" s="84" t="s">
        <v>125</v>
      </c>
    </row>
    <row r="469" spans="1:8" x14ac:dyDescent="0.3">
      <c r="A469" s="81">
        <v>45659</v>
      </c>
      <c r="B469" s="82">
        <v>2025</v>
      </c>
      <c r="C469" s="82" t="s">
        <v>233</v>
      </c>
      <c r="D469" s="82">
        <v>1</v>
      </c>
      <c r="E469" s="82" t="s">
        <v>234</v>
      </c>
      <c r="F469" s="82">
        <v>1</v>
      </c>
      <c r="G469" s="82">
        <v>2</v>
      </c>
      <c r="H469" s="82" t="s">
        <v>127</v>
      </c>
    </row>
    <row r="470" spans="1:8" x14ac:dyDescent="0.3">
      <c r="A470" s="83">
        <v>45660</v>
      </c>
      <c r="B470" s="84">
        <v>2025</v>
      </c>
      <c r="C470" s="84" t="s">
        <v>233</v>
      </c>
      <c r="D470" s="84">
        <v>1</v>
      </c>
      <c r="E470" s="84" t="s">
        <v>234</v>
      </c>
      <c r="F470" s="84">
        <v>1</v>
      </c>
      <c r="G470" s="84">
        <v>3</v>
      </c>
      <c r="H470" s="84" t="s">
        <v>129</v>
      </c>
    </row>
    <row r="471" spans="1:8" x14ac:dyDescent="0.3">
      <c r="A471" s="81">
        <v>45661</v>
      </c>
      <c r="B471" s="82">
        <v>2025</v>
      </c>
      <c r="C471" s="82" t="s">
        <v>233</v>
      </c>
      <c r="D471" s="82">
        <v>1</v>
      </c>
      <c r="E471" s="82" t="s">
        <v>234</v>
      </c>
      <c r="F471" s="82">
        <v>1</v>
      </c>
      <c r="G471" s="82">
        <v>4</v>
      </c>
      <c r="H471" s="82" t="s">
        <v>131</v>
      </c>
    </row>
    <row r="472" spans="1:8" x14ac:dyDescent="0.3">
      <c r="A472" s="83">
        <v>45662</v>
      </c>
      <c r="B472" s="84">
        <v>2025</v>
      </c>
      <c r="C472" s="84" t="s">
        <v>233</v>
      </c>
      <c r="D472" s="84">
        <v>1</v>
      </c>
      <c r="E472" s="84" t="s">
        <v>234</v>
      </c>
      <c r="F472" s="84">
        <v>1</v>
      </c>
      <c r="G472" s="84">
        <v>5</v>
      </c>
      <c r="H472" s="84" t="s">
        <v>133</v>
      </c>
    </row>
    <row r="473" spans="1:8" x14ac:dyDescent="0.3">
      <c r="A473" s="81">
        <v>45663</v>
      </c>
      <c r="B473" s="82">
        <v>2025</v>
      </c>
      <c r="C473" s="82" t="s">
        <v>233</v>
      </c>
      <c r="D473" s="82">
        <v>1</v>
      </c>
      <c r="E473" s="82" t="s">
        <v>234</v>
      </c>
      <c r="F473" s="82">
        <v>2</v>
      </c>
      <c r="G473" s="82">
        <v>6</v>
      </c>
      <c r="H473" s="82" t="s">
        <v>121</v>
      </c>
    </row>
    <row r="474" spans="1:8" x14ac:dyDescent="0.3">
      <c r="A474" s="83">
        <v>45664</v>
      </c>
      <c r="B474" s="84">
        <v>2025</v>
      </c>
      <c r="C474" s="84" t="s">
        <v>233</v>
      </c>
      <c r="D474" s="84">
        <v>1</v>
      </c>
      <c r="E474" s="84" t="s">
        <v>234</v>
      </c>
      <c r="F474" s="84">
        <v>2</v>
      </c>
      <c r="G474" s="84">
        <v>7</v>
      </c>
      <c r="H474" s="84" t="s">
        <v>123</v>
      </c>
    </row>
    <row r="475" spans="1:8" x14ac:dyDescent="0.3">
      <c r="A475" s="81">
        <v>45665</v>
      </c>
      <c r="B475" s="82">
        <v>2025</v>
      </c>
      <c r="C475" s="82" t="s">
        <v>233</v>
      </c>
      <c r="D475" s="82">
        <v>1</v>
      </c>
      <c r="E475" s="82" t="s">
        <v>234</v>
      </c>
      <c r="F475" s="82">
        <v>2</v>
      </c>
      <c r="G475" s="82">
        <v>8</v>
      </c>
      <c r="H475" s="82" t="s">
        <v>125</v>
      </c>
    </row>
    <row r="476" spans="1:8" x14ac:dyDescent="0.3">
      <c r="A476" s="83">
        <v>45666</v>
      </c>
      <c r="B476" s="84">
        <v>2025</v>
      </c>
      <c r="C476" s="84" t="s">
        <v>233</v>
      </c>
      <c r="D476" s="84">
        <v>1</v>
      </c>
      <c r="E476" s="84" t="s">
        <v>234</v>
      </c>
      <c r="F476" s="84">
        <v>2</v>
      </c>
      <c r="G476" s="84">
        <v>9</v>
      </c>
      <c r="H476" s="84" t="s">
        <v>127</v>
      </c>
    </row>
    <row r="477" spans="1:8" x14ac:dyDescent="0.3">
      <c r="A477" s="81">
        <v>45667</v>
      </c>
      <c r="B477" s="82">
        <v>2025</v>
      </c>
      <c r="C477" s="82" t="s">
        <v>233</v>
      </c>
      <c r="D477" s="82">
        <v>1</v>
      </c>
      <c r="E477" s="82" t="s">
        <v>234</v>
      </c>
      <c r="F477" s="82">
        <v>2</v>
      </c>
      <c r="G477" s="82">
        <v>10</v>
      </c>
      <c r="H477" s="82" t="s">
        <v>129</v>
      </c>
    </row>
    <row r="478" spans="1:8" x14ac:dyDescent="0.3">
      <c r="A478" s="83">
        <v>45668</v>
      </c>
      <c r="B478" s="84">
        <v>2025</v>
      </c>
      <c r="C478" s="84" t="s">
        <v>233</v>
      </c>
      <c r="D478" s="84">
        <v>1</v>
      </c>
      <c r="E478" s="84" t="s">
        <v>234</v>
      </c>
      <c r="F478" s="84">
        <v>2</v>
      </c>
      <c r="G478" s="84">
        <v>11</v>
      </c>
      <c r="H478" s="84" t="s">
        <v>131</v>
      </c>
    </row>
    <row r="479" spans="1:8" x14ac:dyDescent="0.3">
      <c r="A479" s="81">
        <v>45669</v>
      </c>
      <c r="B479" s="82">
        <v>2025</v>
      </c>
      <c r="C479" s="82" t="s">
        <v>233</v>
      </c>
      <c r="D479" s="82">
        <v>1</v>
      </c>
      <c r="E479" s="82" t="s">
        <v>234</v>
      </c>
      <c r="F479" s="82">
        <v>2</v>
      </c>
      <c r="G479" s="82">
        <v>12</v>
      </c>
      <c r="H479" s="82" t="s">
        <v>133</v>
      </c>
    </row>
    <row r="480" spans="1:8" x14ac:dyDescent="0.3">
      <c r="A480" s="83">
        <v>45670</v>
      </c>
      <c r="B480" s="84">
        <v>2025</v>
      </c>
      <c r="C480" s="84" t="s">
        <v>233</v>
      </c>
      <c r="D480" s="84">
        <v>1</v>
      </c>
      <c r="E480" s="84" t="s">
        <v>234</v>
      </c>
      <c r="F480" s="84">
        <v>3</v>
      </c>
      <c r="G480" s="84">
        <v>13</v>
      </c>
      <c r="H480" s="84" t="s">
        <v>121</v>
      </c>
    </row>
    <row r="481" spans="1:8" x14ac:dyDescent="0.3">
      <c r="A481" s="81">
        <v>45671</v>
      </c>
      <c r="B481" s="82">
        <v>2025</v>
      </c>
      <c r="C481" s="82" t="s">
        <v>233</v>
      </c>
      <c r="D481" s="82">
        <v>1</v>
      </c>
      <c r="E481" s="82" t="s">
        <v>234</v>
      </c>
      <c r="F481" s="82">
        <v>3</v>
      </c>
      <c r="G481" s="82">
        <v>14</v>
      </c>
      <c r="H481" s="82" t="s">
        <v>123</v>
      </c>
    </row>
    <row r="482" spans="1:8" x14ac:dyDescent="0.3">
      <c r="A482" s="83">
        <v>45672</v>
      </c>
      <c r="B482" s="84">
        <v>2025</v>
      </c>
      <c r="C482" s="84" t="s">
        <v>233</v>
      </c>
      <c r="D482" s="84">
        <v>1</v>
      </c>
      <c r="E482" s="84" t="s">
        <v>234</v>
      </c>
      <c r="F482" s="84">
        <v>3</v>
      </c>
      <c r="G482" s="84">
        <v>15</v>
      </c>
      <c r="H482" s="84" t="s">
        <v>125</v>
      </c>
    </row>
    <row r="483" spans="1:8" x14ac:dyDescent="0.3">
      <c r="A483" s="81">
        <v>45673</v>
      </c>
      <c r="B483" s="82">
        <v>2025</v>
      </c>
      <c r="C483" s="82" t="s">
        <v>233</v>
      </c>
      <c r="D483" s="82">
        <v>1</v>
      </c>
      <c r="E483" s="82" t="s">
        <v>234</v>
      </c>
      <c r="F483" s="82">
        <v>3</v>
      </c>
      <c r="G483" s="82">
        <v>16</v>
      </c>
      <c r="H483" s="82" t="s">
        <v>127</v>
      </c>
    </row>
    <row r="484" spans="1:8" x14ac:dyDescent="0.3">
      <c r="A484" s="83">
        <v>45674</v>
      </c>
      <c r="B484" s="84">
        <v>2025</v>
      </c>
      <c r="C484" s="84" t="s">
        <v>233</v>
      </c>
      <c r="D484" s="84">
        <v>1</v>
      </c>
      <c r="E484" s="84" t="s">
        <v>234</v>
      </c>
      <c r="F484" s="84">
        <v>3</v>
      </c>
      <c r="G484" s="84">
        <v>17</v>
      </c>
      <c r="H484" s="84" t="s">
        <v>129</v>
      </c>
    </row>
    <row r="485" spans="1:8" x14ac:dyDescent="0.3">
      <c r="A485" s="81">
        <v>45675</v>
      </c>
      <c r="B485" s="82">
        <v>2025</v>
      </c>
      <c r="C485" s="82" t="s">
        <v>233</v>
      </c>
      <c r="D485" s="82">
        <v>1</v>
      </c>
      <c r="E485" s="82" t="s">
        <v>234</v>
      </c>
      <c r="F485" s="82">
        <v>3</v>
      </c>
      <c r="G485" s="82">
        <v>18</v>
      </c>
      <c r="H485" s="82" t="s">
        <v>131</v>
      </c>
    </row>
    <row r="486" spans="1:8" x14ac:dyDescent="0.3">
      <c r="A486" s="83">
        <v>45676</v>
      </c>
      <c r="B486" s="84">
        <v>2025</v>
      </c>
      <c r="C486" s="84" t="s">
        <v>233</v>
      </c>
      <c r="D486" s="84">
        <v>1</v>
      </c>
      <c r="E486" s="84" t="s">
        <v>234</v>
      </c>
      <c r="F486" s="84">
        <v>3</v>
      </c>
      <c r="G486" s="84">
        <v>19</v>
      </c>
      <c r="H486" s="84" t="s">
        <v>133</v>
      </c>
    </row>
    <row r="487" spans="1:8" x14ac:dyDescent="0.3">
      <c r="A487" s="81">
        <v>45677</v>
      </c>
      <c r="B487" s="82">
        <v>2025</v>
      </c>
      <c r="C487" s="82" t="s">
        <v>233</v>
      </c>
      <c r="D487" s="82">
        <v>1</v>
      </c>
      <c r="E487" s="82" t="s">
        <v>234</v>
      </c>
      <c r="F487" s="82">
        <v>4</v>
      </c>
      <c r="G487" s="82">
        <v>20</v>
      </c>
      <c r="H487" s="82" t="s">
        <v>121</v>
      </c>
    </row>
    <row r="488" spans="1:8" x14ac:dyDescent="0.3">
      <c r="A488" s="83">
        <v>45678</v>
      </c>
      <c r="B488" s="84">
        <v>2025</v>
      </c>
      <c r="C488" s="84" t="s">
        <v>233</v>
      </c>
      <c r="D488" s="84">
        <v>1</v>
      </c>
      <c r="E488" s="84" t="s">
        <v>234</v>
      </c>
      <c r="F488" s="84">
        <v>4</v>
      </c>
      <c r="G488" s="84">
        <v>21</v>
      </c>
      <c r="H488" s="84" t="s">
        <v>123</v>
      </c>
    </row>
    <row r="489" spans="1:8" x14ac:dyDescent="0.3">
      <c r="A489" s="81">
        <v>45679</v>
      </c>
      <c r="B489" s="82">
        <v>2025</v>
      </c>
      <c r="C489" s="82" t="s">
        <v>233</v>
      </c>
      <c r="D489" s="82">
        <v>1</v>
      </c>
      <c r="E489" s="82" t="s">
        <v>234</v>
      </c>
      <c r="F489" s="82">
        <v>4</v>
      </c>
      <c r="G489" s="82">
        <v>22</v>
      </c>
      <c r="H489" s="82" t="s">
        <v>125</v>
      </c>
    </row>
    <row r="490" spans="1:8" x14ac:dyDescent="0.3">
      <c r="A490" s="83">
        <v>45680</v>
      </c>
      <c r="B490" s="84">
        <v>2025</v>
      </c>
      <c r="C490" s="84" t="s">
        <v>233</v>
      </c>
      <c r="D490" s="84">
        <v>1</v>
      </c>
      <c r="E490" s="84" t="s">
        <v>234</v>
      </c>
      <c r="F490" s="84">
        <v>4</v>
      </c>
      <c r="G490" s="84">
        <v>23</v>
      </c>
      <c r="H490" s="84" t="s">
        <v>127</v>
      </c>
    </row>
    <row r="491" spans="1:8" x14ac:dyDescent="0.3">
      <c r="A491" s="81">
        <v>45681</v>
      </c>
      <c r="B491" s="82">
        <v>2025</v>
      </c>
      <c r="C491" s="82" t="s">
        <v>233</v>
      </c>
      <c r="D491" s="82">
        <v>1</v>
      </c>
      <c r="E491" s="82" t="s">
        <v>234</v>
      </c>
      <c r="F491" s="82">
        <v>4</v>
      </c>
      <c r="G491" s="82">
        <v>24</v>
      </c>
      <c r="H491" s="82" t="s">
        <v>129</v>
      </c>
    </row>
    <row r="492" spans="1:8" x14ac:dyDescent="0.3">
      <c r="A492" s="83">
        <v>45682</v>
      </c>
      <c r="B492" s="84">
        <v>2025</v>
      </c>
      <c r="C492" s="84" t="s">
        <v>233</v>
      </c>
      <c r="D492" s="84">
        <v>1</v>
      </c>
      <c r="E492" s="84" t="s">
        <v>234</v>
      </c>
      <c r="F492" s="84">
        <v>4</v>
      </c>
      <c r="G492" s="84">
        <v>25</v>
      </c>
      <c r="H492" s="84" t="s">
        <v>131</v>
      </c>
    </row>
    <row r="493" spans="1:8" x14ac:dyDescent="0.3">
      <c r="A493" s="81">
        <v>45683</v>
      </c>
      <c r="B493" s="82">
        <v>2025</v>
      </c>
      <c r="C493" s="82" t="s">
        <v>233</v>
      </c>
      <c r="D493" s="82">
        <v>1</v>
      </c>
      <c r="E493" s="82" t="s">
        <v>234</v>
      </c>
      <c r="F493" s="82">
        <v>4</v>
      </c>
      <c r="G493" s="82">
        <v>26</v>
      </c>
      <c r="H493" s="82" t="s">
        <v>133</v>
      </c>
    </row>
    <row r="494" spans="1:8" x14ac:dyDescent="0.3">
      <c r="A494" s="83">
        <v>45684</v>
      </c>
      <c r="B494" s="84">
        <v>2025</v>
      </c>
      <c r="C494" s="84" t="s">
        <v>233</v>
      </c>
      <c r="D494" s="84">
        <v>1</v>
      </c>
      <c r="E494" s="84" t="s">
        <v>234</v>
      </c>
      <c r="F494" s="84">
        <v>5</v>
      </c>
      <c r="G494" s="84">
        <v>27</v>
      </c>
      <c r="H494" s="84" t="s">
        <v>121</v>
      </c>
    </row>
    <row r="495" spans="1:8" x14ac:dyDescent="0.3">
      <c r="A495" s="81">
        <v>45685</v>
      </c>
      <c r="B495" s="82">
        <v>2025</v>
      </c>
      <c r="C495" s="82" t="s">
        <v>233</v>
      </c>
      <c r="D495" s="82">
        <v>1</v>
      </c>
      <c r="E495" s="82" t="s">
        <v>234</v>
      </c>
      <c r="F495" s="82">
        <v>5</v>
      </c>
      <c r="G495" s="82">
        <v>28</v>
      </c>
      <c r="H495" s="82" t="s">
        <v>123</v>
      </c>
    </row>
    <row r="496" spans="1:8" x14ac:dyDescent="0.3">
      <c r="A496" s="83">
        <v>45686</v>
      </c>
      <c r="B496" s="84">
        <v>2025</v>
      </c>
      <c r="C496" s="84" t="s">
        <v>233</v>
      </c>
      <c r="D496" s="84">
        <v>1</v>
      </c>
      <c r="E496" s="84" t="s">
        <v>234</v>
      </c>
      <c r="F496" s="84">
        <v>5</v>
      </c>
      <c r="G496" s="84">
        <v>29</v>
      </c>
      <c r="H496" s="84" t="s">
        <v>125</v>
      </c>
    </row>
    <row r="497" spans="1:8" x14ac:dyDescent="0.3">
      <c r="A497" s="81">
        <v>45687</v>
      </c>
      <c r="B497" s="82">
        <v>2025</v>
      </c>
      <c r="C497" s="82" t="s">
        <v>233</v>
      </c>
      <c r="D497" s="82">
        <v>1</v>
      </c>
      <c r="E497" s="82" t="s">
        <v>234</v>
      </c>
      <c r="F497" s="82">
        <v>5</v>
      </c>
      <c r="G497" s="82">
        <v>30</v>
      </c>
      <c r="H497" s="82" t="s">
        <v>127</v>
      </c>
    </row>
    <row r="498" spans="1:8" x14ac:dyDescent="0.3">
      <c r="A498" s="83">
        <v>45688</v>
      </c>
      <c r="B498" s="84">
        <v>2025</v>
      </c>
      <c r="C498" s="84" t="s">
        <v>233</v>
      </c>
      <c r="D498" s="84">
        <v>1</v>
      </c>
      <c r="E498" s="84" t="s">
        <v>234</v>
      </c>
      <c r="F498" s="84">
        <v>5</v>
      </c>
      <c r="G498" s="84">
        <v>31</v>
      </c>
      <c r="H498" s="84" t="s">
        <v>129</v>
      </c>
    </row>
    <row r="499" spans="1:8" x14ac:dyDescent="0.3">
      <c r="A499" s="81">
        <v>45689</v>
      </c>
      <c r="B499" s="82">
        <v>2025</v>
      </c>
      <c r="C499" s="82" t="s">
        <v>233</v>
      </c>
      <c r="D499" s="82">
        <v>2</v>
      </c>
      <c r="E499" s="82" t="s">
        <v>235</v>
      </c>
      <c r="F499" s="82">
        <v>5</v>
      </c>
      <c r="G499" s="82">
        <v>1</v>
      </c>
      <c r="H499" s="82" t="s">
        <v>131</v>
      </c>
    </row>
    <row r="500" spans="1:8" x14ac:dyDescent="0.3">
      <c r="A500" s="83">
        <v>45690</v>
      </c>
      <c r="B500" s="84">
        <v>2025</v>
      </c>
      <c r="C500" s="84" t="s">
        <v>233</v>
      </c>
      <c r="D500" s="84">
        <v>2</v>
      </c>
      <c r="E500" s="84" t="s">
        <v>235</v>
      </c>
      <c r="F500" s="84">
        <v>5</v>
      </c>
      <c r="G500" s="84">
        <v>2</v>
      </c>
      <c r="H500" s="84" t="s">
        <v>133</v>
      </c>
    </row>
    <row r="501" spans="1:8" x14ac:dyDescent="0.3">
      <c r="A501" s="81">
        <v>45691</v>
      </c>
      <c r="B501" s="82">
        <v>2025</v>
      </c>
      <c r="C501" s="82" t="s">
        <v>233</v>
      </c>
      <c r="D501" s="82">
        <v>2</v>
      </c>
      <c r="E501" s="82" t="s">
        <v>235</v>
      </c>
      <c r="F501" s="82">
        <v>6</v>
      </c>
      <c r="G501" s="82">
        <v>3</v>
      </c>
      <c r="H501" s="82" t="s">
        <v>121</v>
      </c>
    </row>
    <row r="502" spans="1:8" x14ac:dyDescent="0.3">
      <c r="A502" s="83">
        <v>45692</v>
      </c>
      <c r="B502" s="84">
        <v>2025</v>
      </c>
      <c r="C502" s="84" t="s">
        <v>233</v>
      </c>
      <c r="D502" s="84">
        <v>2</v>
      </c>
      <c r="E502" s="84" t="s">
        <v>235</v>
      </c>
      <c r="F502" s="84">
        <v>6</v>
      </c>
      <c r="G502" s="84">
        <v>4</v>
      </c>
      <c r="H502" s="84" t="s">
        <v>123</v>
      </c>
    </row>
    <row r="503" spans="1:8" x14ac:dyDescent="0.3">
      <c r="A503" s="81">
        <v>45693</v>
      </c>
      <c r="B503" s="82">
        <v>2025</v>
      </c>
      <c r="C503" s="82" t="s">
        <v>233</v>
      </c>
      <c r="D503" s="82">
        <v>2</v>
      </c>
      <c r="E503" s="82" t="s">
        <v>235</v>
      </c>
      <c r="F503" s="82">
        <v>6</v>
      </c>
      <c r="G503" s="82">
        <v>5</v>
      </c>
      <c r="H503" s="82" t="s">
        <v>125</v>
      </c>
    </row>
    <row r="504" spans="1:8" x14ac:dyDescent="0.3">
      <c r="A504" s="83">
        <v>45694</v>
      </c>
      <c r="B504" s="84">
        <v>2025</v>
      </c>
      <c r="C504" s="84" t="s">
        <v>233</v>
      </c>
      <c r="D504" s="84">
        <v>2</v>
      </c>
      <c r="E504" s="84" t="s">
        <v>235</v>
      </c>
      <c r="F504" s="84">
        <v>6</v>
      </c>
      <c r="G504" s="84">
        <v>6</v>
      </c>
      <c r="H504" s="84" t="s">
        <v>127</v>
      </c>
    </row>
    <row r="505" spans="1:8" x14ac:dyDescent="0.3">
      <c r="A505" s="81">
        <v>45695</v>
      </c>
      <c r="B505" s="82">
        <v>2025</v>
      </c>
      <c r="C505" s="82" t="s">
        <v>233</v>
      </c>
      <c r="D505" s="82">
        <v>2</v>
      </c>
      <c r="E505" s="82" t="s">
        <v>235</v>
      </c>
      <c r="F505" s="82">
        <v>6</v>
      </c>
      <c r="G505" s="82">
        <v>7</v>
      </c>
      <c r="H505" s="82" t="s">
        <v>129</v>
      </c>
    </row>
    <row r="506" spans="1:8" x14ac:dyDescent="0.3">
      <c r="A506" s="83">
        <v>45696</v>
      </c>
      <c r="B506" s="84">
        <v>2025</v>
      </c>
      <c r="C506" s="84" t="s">
        <v>233</v>
      </c>
      <c r="D506" s="84">
        <v>2</v>
      </c>
      <c r="E506" s="84" t="s">
        <v>235</v>
      </c>
      <c r="F506" s="84">
        <v>6</v>
      </c>
      <c r="G506" s="84">
        <v>8</v>
      </c>
      <c r="H506" s="84" t="s">
        <v>131</v>
      </c>
    </row>
    <row r="507" spans="1:8" x14ac:dyDescent="0.3">
      <c r="A507" s="81">
        <v>45697</v>
      </c>
      <c r="B507" s="82">
        <v>2025</v>
      </c>
      <c r="C507" s="82" t="s">
        <v>233</v>
      </c>
      <c r="D507" s="82">
        <v>2</v>
      </c>
      <c r="E507" s="82" t="s">
        <v>235</v>
      </c>
      <c r="F507" s="82">
        <v>6</v>
      </c>
      <c r="G507" s="82">
        <v>9</v>
      </c>
      <c r="H507" s="82" t="s">
        <v>133</v>
      </c>
    </row>
    <row r="508" spans="1:8" x14ac:dyDescent="0.3">
      <c r="A508" s="83">
        <v>45698</v>
      </c>
      <c r="B508" s="84">
        <v>2025</v>
      </c>
      <c r="C508" s="84" t="s">
        <v>233</v>
      </c>
      <c r="D508" s="84">
        <v>2</v>
      </c>
      <c r="E508" s="84" t="s">
        <v>235</v>
      </c>
      <c r="F508" s="84">
        <v>7</v>
      </c>
      <c r="G508" s="84">
        <v>10</v>
      </c>
      <c r="H508" s="84" t="s">
        <v>121</v>
      </c>
    </row>
    <row r="509" spans="1:8" x14ac:dyDescent="0.3">
      <c r="A509" s="81">
        <v>45699</v>
      </c>
      <c r="B509" s="82">
        <v>2025</v>
      </c>
      <c r="C509" s="82" t="s">
        <v>233</v>
      </c>
      <c r="D509" s="82">
        <v>2</v>
      </c>
      <c r="E509" s="82" t="s">
        <v>235</v>
      </c>
      <c r="F509" s="82">
        <v>7</v>
      </c>
      <c r="G509" s="82">
        <v>11</v>
      </c>
      <c r="H509" s="82" t="s">
        <v>123</v>
      </c>
    </row>
    <row r="510" spans="1:8" x14ac:dyDescent="0.3">
      <c r="A510" s="83">
        <v>45700</v>
      </c>
      <c r="B510" s="84">
        <v>2025</v>
      </c>
      <c r="C510" s="84" t="s">
        <v>233</v>
      </c>
      <c r="D510" s="84">
        <v>2</v>
      </c>
      <c r="E510" s="84" t="s">
        <v>235</v>
      </c>
      <c r="F510" s="84">
        <v>7</v>
      </c>
      <c r="G510" s="84">
        <v>12</v>
      </c>
      <c r="H510" s="84" t="s">
        <v>125</v>
      </c>
    </row>
    <row r="511" spans="1:8" x14ac:dyDescent="0.3">
      <c r="A511" s="81">
        <v>45701</v>
      </c>
      <c r="B511" s="82">
        <v>2025</v>
      </c>
      <c r="C511" s="82" t="s">
        <v>233</v>
      </c>
      <c r="D511" s="82">
        <v>2</v>
      </c>
      <c r="E511" s="82" t="s">
        <v>235</v>
      </c>
      <c r="F511" s="82">
        <v>7</v>
      </c>
      <c r="G511" s="82">
        <v>13</v>
      </c>
      <c r="H511" s="82" t="s">
        <v>127</v>
      </c>
    </row>
    <row r="512" spans="1:8" x14ac:dyDescent="0.3">
      <c r="A512" s="83">
        <v>45702</v>
      </c>
      <c r="B512" s="84">
        <v>2025</v>
      </c>
      <c r="C512" s="84" t="s">
        <v>233</v>
      </c>
      <c r="D512" s="84">
        <v>2</v>
      </c>
      <c r="E512" s="84" t="s">
        <v>235</v>
      </c>
      <c r="F512" s="84">
        <v>7</v>
      </c>
      <c r="G512" s="84">
        <v>14</v>
      </c>
      <c r="H512" s="84" t="s">
        <v>129</v>
      </c>
    </row>
    <row r="513" spans="1:8" x14ac:dyDescent="0.3">
      <c r="A513" s="81">
        <v>45703</v>
      </c>
      <c r="B513" s="82">
        <v>2025</v>
      </c>
      <c r="C513" s="82" t="s">
        <v>233</v>
      </c>
      <c r="D513" s="82">
        <v>2</v>
      </c>
      <c r="E513" s="82" t="s">
        <v>235</v>
      </c>
      <c r="F513" s="82">
        <v>7</v>
      </c>
      <c r="G513" s="82">
        <v>15</v>
      </c>
      <c r="H513" s="82" t="s">
        <v>131</v>
      </c>
    </row>
    <row r="514" spans="1:8" x14ac:dyDescent="0.3">
      <c r="A514" s="83">
        <v>45704</v>
      </c>
      <c r="B514" s="84">
        <v>2025</v>
      </c>
      <c r="C514" s="84" t="s">
        <v>233</v>
      </c>
      <c r="D514" s="84">
        <v>2</v>
      </c>
      <c r="E514" s="84" t="s">
        <v>235</v>
      </c>
      <c r="F514" s="84">
        <v>7</v>
      </c>
      <c r="G514" s="84">
        <v>16</v>
      </c>
      <c r="H514" s="84" t="s">
        <v>133</v>
      </c>
    </row>
    <row r="515" spans="1:8" x14ac:dyDescent="0.3">
      <c r="A515" s="81">
        <v>45705</v>
      </c>
      <c r="B515" s="82">
        <v>2025</v>
      </c>
      <c r="C515" s="82" t="s">
        <v>233</v>
      </c>
      <c r="D515" s="82">
        <v>2</v>
      </c>
      <c r="E515" s="82" t="s">
        <v>235</v>
      </c>
      <c r="F515" s="82">
        <v>8</v>
      </c>
      <c r="G515" s="82">
        <v>17</v>
      </c>
      <c r="H515" s="82" t="s">
        <v>121</v>
      </c>
    </row>
    <row r="516" spans="1:8" x14ac:dyDescent="0.3">
      <c r="A516" s="83">
        <v>45706</v>
      </c>
      <c r="B516" s="84">
        <v>2025</v>
      </c>
      <c r="C516" s="84" t="s">
        <v>233</v>
      </c>
      <c r="D516" s="84">
        <v>2</v>
      </c>
      <c r="E516" s="84" t="s">
        <v>235</v>
      </c>
      <c r="F516" s="84">
        <v>8</v>
      </c>
      <c r="G516" s="84">
        <v>18</v>
      </c>
      <c r="H516" s="84" t="s">
        <v>123</v>
      </c>
    </row>
    <row r="517" spans="1:8" x14ac:dyDescent="0.3">
      <c r="A517" s="81">
        <v>45707</v>
      </c>
      <c r="B517" s="82">
        <v>2025</v>
      </c>
      <c r="C517" s="82" t="s">
        <v>233</v>
      </c>
      <c r="D517" s="82">
        <v>2</v>
      </c>
      <c r="E517" s="82" t="s">
        <v>235</v>
      </c>
      <c r="F517" s="82">
        <v>8</v>
      </c>
      <c r="G517" s="82">
        <v>19</v>
      </c>
      <c r="H517" s="82" t="s">
        <v>125</v>
      </c>
    </row>
    <row r="518" spans="1:8" x14ac:dyDescent="0.3">
      <c r="A518" s="83">
        <v>45708</v>
      </c>
      <c r="B518" s="84">
        <v>2025</v>
      </c>
      <c r="C518" s="84" t="s">
        <v>233</v>
      </c>
      <c r="D518" s="84">
        <v>2</v>
      </c>
      <c r="E518" s="84" t="s">
        <v>235</v>
      </c>
      <c r="F518" s="84">
        <v>8</v>
      </c>
      <c r="G518" s="84">
        <v>20</v>
      </c>
      <c r="H518" s="84" t="s">
        <v>127</v>
      </c>
    </row>
    <row r="519" spans="1:8" x14ac:dyDescent="0.3">
      <c r="A519" s="81">
        <v>45709</v>
      </c>
      <c r="B519" s="82">
        <v>2025</v>
      </c>
      <c r="C519" s="82" t="s">
        <v>233</v>
      </c>
      <c r="D519" s="82">
        <v>2</v>
      </c>
      <c r="E519" s="82" t="s">
        <v>235</v>
      </c>
      <c r="F519" s="82">
        <v>8</v>
      </c>
      <c r="G519" s="82">
        <v>21</v>
      </c>
      <c r="H519" s="82" t="s">
        <v>129</v>
      </c>
    </row>
    <row r="520" spans="1:8" x14ac:dyDescent="0.3">
      <c r="A520" s="83">
        <v>45710</v>
      </c>
      <c r="B520" s="84">
        <v>2025</v>
      </c>
      <c r="C520" s="84" t="s">
        <v>233</v>
      </c>
      <c r="D520" s="84">
        <v>2</v>
      </c>
      <c r="E520" s="84" t="s">
        <v>235</v>
      </c>
      <c r="F520" s="84">
        <v>8</v>
      </c>
      <c r="G520" s="84">
        <v>22</v>
      </c>
      <c r="H520" s="84" t="s">
        <v>131</v>
      </c>
    </row>
    <row r="521" spans="1:8" x14ac:dyDescent="0.3">
      <c r="A521" s="81">
        <v>45711</v>
      </c>
      <c r="B521" s="82">
        <v>2025</v>
      </c>
      <c r="C521" s="82" t="s">
        <v>233</v>
      </c>
      <c r="D521" s="82">
        <v>2</v>
      </c>
      <c r="E521" s="82" t="s">
        <v>235</v>
      </c>
      <c r="F521" s="82">
        <v>8</v>
      </c>
      <c r="G521" s="82">
        <v>23</v>
      </c>
      <c r="H521" s="82" t="s">
        <v>133</v>
      </c>
    </row>
    <row r="522" spans="1:8" x14ac:dyDescent="0.3">
      <c r="A522" s="83">
        <v>45712</v>
      </c>
      <c r="B522" s="84">
        <v>2025</v>
      </c>
      <c r="C522" s="84" t="s">
        <v>233</v>
      </c>
      <c r="D522" s="84">
        <v>2</v>
      </c>
      <c r="E522" s="84" t="s">
        <v>235</v>
      </c>
      <c r="F522" s="84">
        <v>9</v>
      </c>
      <c r="G522" s="84">
        <v>24</v>
      </c>
      <c r="H522" s="84" t="s">
        <v>121</v>
      </c>
    </row>
    <row r="523" spans="1:8" x14ac:dyDescent="0.3">
      <c r="A523" s="81">
        <v>45713</v>
      </c>
      <c r="B523" s="82">
        <v>2025</v>
      </c>
      <c r="C523" s="82" t="s">
        <v>233</v>
      </c>
      <c r="D523" s="82">
        <v>2</v>
      </c>
      <c r="E523" s="82" t="s">
        <v>235</v>
      </c>
      <c r="F523" s="82">
        <v>9</v>
      </c>
      <c r="G523" s="82">
        <v>25</v>
      </c>
      <c r="H523" s="82" t="s">
        <v>123</v>
      </c>
    </row>
    <row r="524" spans="1:8" x14ac:dyDescent="0.3">
      <c r="A524" s="83">
        <v>45714</v>
      </c>
      <c r="B524" s="84">
        <v>2025</v>
      </c>
      <c r="C524" s="84" t="s">
        <v>233</v>
      </c>
      <c r="D524" s="84">
        <v>2</v>
      </c>
      <c r="E524" s="84" t="s">
        <v>235</v>
      </c>
      <c r="F524" s="84">
        <v>9</v>
      </c>
      <c r="G524" s="84">
        <v>26</v>
      </c>
      <c r="H524" s="84" t="s">
        <v>125</v>
      </c>
    </row>
    <row r="525" spans="1:8" x14ac:dyDescent="0.3">
      <c r="A525" s="81">
        <v>45715</v>
      </c>
      <c r="B525" s="82">
        <v>2025</v>
      </c>
      <c r="C525" s="82" t="s">
        <v>233</v>
      </c>
      <c r="D525" s="82">
        <v>2</v>
      </c>
      <c r="E525" s="82" t="s">
        <v>235</v>
      </c>
      <c r="F525" s="82">
        <v>9</v>
      </c>
      <c r="G525" s="82">
        <v>27</v>
      </c>
      <c r="H525" s="82" t="s">
        <v>127</v>
      </c>
    </row>
    <row r="526" spans="1:8" x14ac:dyDescent="0.3">
      <c r="A526" s="83">
        <v>45716</v>
      </c>
      <c r="B526" s="84">
        <v>2025</v>
      </c>
      <c r="C526" s="84" t="s">
        <v>233</v>
      </c>
      <c r="D526" s="84">
        <v>2</v>
      </c>
      <c r="E526" s="84" t="s">
        <v>235</v>
      </c>
      <c r="F526" s="84">
        <v>9</v>
      </c>
      <c r="G526" s="84">
        <v>28</v>
      </c>
      <c r="H526" s="84" t="s">
        <v>129</v>
      </c>
    </row>
    <row r="527" spans="1:8" x14ac:dyDescent="0.3">
      <c r="A527" s="81">
        <v>45717</v>
      </c>
      <c r="B527" s="82">
        <v>2025</v>
      </c>
      <c r="C527" s="82" t="s">
        <v>233</v>
      </c>
      <c r="D527" s="82">
        <v>3</v>
      </c>
      <c r="E527" s="82" t="s">
        <v>236</v>
      </c>
      <c r="F527" s="82">
        <v>9</v>
      </c>
      <c r="G527" s="82">
        <v>1</v>
      </c>
      <c r="H527" s="82" t="s">
        <v>131</v>
      </c>
    </row>
    <row r="528" spans="1:8" x14ac:dyDescent="0.3">
      <c r="A528" s="83">
        <v>45718</v>
      </c>
      <c r="B528" s="84">
        <v>2025</v>
      </c>
      <c r="C528" s="84" t="s">
        <v>233</v>
      </c>
      <c r="D528" s="84">
        <v>3</v>
      </c>
      <c r="E528" s="84" t="s">
        <v>236</v>
      </c>
      <c r="F528" s="84">
        <v>9</v>
      </c>
      <c r="G528" s="84">
        <v>2</v>
      </c>
      <c r="H528" s="84" t="s">
        <v>133</v>
      </c>
    </row>
    <row r="529" spans="1:8" x14ac:dyDescent="0.3">
      <c r="A529" s="81">
        <v>45719</v>
      </c>
      <c r="B529" s="82">
        <v>2025</v>
      </c>
      <c r="C529" s="82" t="s">
        <v>233</v>
      </c>
      <c r="D529" s="82">
        <v>3</v>
      </c>
      <c r="E529" s="82" t="s">
        <v>236</v>
      </c>
      <c r="F529" s="82">
        <v>10</v>
      </c>
      <c r="G529" s="82">
        <v>3</v>
      </c>
      <c r="H529" s="82" t="s">
        <v>121</v>
      </c>
    </row>
    <row r="530" spans="1:8" x14ac:dyDescent="0.3">
      <c r="A530" s="83">
        <v>45720</v>
      </c>
      <c r="B530" s="84">
        <v>2025</v>
      </c>
      <c r="C530" s="84" t="s">
        <v>233</v>
      </c>
      <c r="D530" s="84">
        <v>3</v>
      </c>
      <c r="E530" s="84" t="s">
        <v>236</v>
      </c>
      <c r="F530" s="84">
        <v>10</v>
      </c>
      <c r="G530" s="84">
        <v>4</v>
      </c>
      <c r="H530" s="84" t="s">
        <v>123</v>
      </c>
    </row>
    <row r="531" spans="1:8" x14ac:dyDescent="0.3">
      <c r="A531" s="81">
        <v>45721</v>
      </c>
      <c r="B531" s="82">
        <v>2025</v>
      </c>
      <c r="C531" s="82" t="s">
        <v>233</v>
      </c>
      <c r="D531" s="82">
        <v>3</v>
      </c>
      <c r="E531" s="82" t="s">
        <v>236</v>
      </c>
      <c r="F531" s="82">
        <v>10</v>
      </c>
      <c r="G531" s="82">
        <v>5</v>
      </c>
      <c r="H531" s="82" t="s">
        <v>125</v>
      </c>
    </row>
    <row r="532" spans="1:8" x14ac:dyDescent="0.3">
      <c r="A532" s="83">
        <v>45722</v>
      </c>
      <c r="B532" s="84">
        <v>2025</v>
      </c>
      <c r="C532" s="84" t="s">
        <v>233</v>
      </c>
      <c r="D532" s="84">
        <v>3</v>
      </c>
      <c r="E532" s="84" t="s">
        <v>236</v>
      </c>
      <c r="F532" s="84">
        <v>10</v>
      </c>
      <c r="G532" s="84">
        <v>6</v>
      </c>
      <c r="H532" s="84" t="s">
        <v>127</v>
      </c>
    </row>
    <row r="533" spans="1:8" x14ac:dyDescent="0.3">
      <c r="A533" s="81">
        <v>45723</v>
      </c>
      <c r="B533" s="82">
        <v>2025</v>
      </c>
      <c r="C533" s="82" t="s">
        <v>233</v>
      </c>
      <c r="D533" s="82">
        <v>3</v>
      </c>
      <c r="E533" s="82" t="s">
        <v>236</v>
      </c>
      <c r="F533" s="82">
        <v>10</v>
      </c>
      <c r="G533" s="82">
        <v>7</v>
      </c>
      <c r="H533" s="82" t="s">
        <v>129</v>
      </c>
    </row>
    <row r="534" spans="1:8" x14ac:dyDescent="0.3">
      <c r="A534" s="83">
        <v>45724</v>
      </c>
      <c r="B534" s="84">
        <v>2025</v>
      </c>
      <c r="C534" s="84" t="s">
        <v>233</v>
      </c>
      <c r="D534" s="84">
        <v>3</v>
      </c>
      <c r="E534" s="84" t="s">
        <v>236</v>
      </c>
      <c r="F534" s="84">
        <v>10</v>
      </c>
      <c r="G534" s="84">
        <v>8</v>
      </c>
      <c r="H534" s="84" t="s">
        <v>131</v>
      </c>
    </row>
    <row r="535" spans="1:8" x14ac:dyDescent="0.3">
      <c r="A535" s="81">
        <v>45725</v>
      </c>
      <c r="B535" s="82">
        <v>2025</v>
      </c>
      <c r="C535" s="82" t="s">
        <v>233</v>
      </c>
      <c r="D535" s="82">
        <v>3</v>
      </c>
      <c r="E535" s="82" t="s">
        <v>236</v>
      </c>
      <c r="F535" s="82">
        <v>10</v>
      </c>
      <c r="G535" s="82">
        <v>9</v>
      </c>
      <c r="H535" s="82" t="s">
        <v>133</v>
      </c>
    </row>
    <row r="536" spans="1:8" x14ac:dyDescent="0.3">
      <c r="A536" s="83">
        <v>45726</v>
      </c>
      <c r="B536" s="84">
        <v>2025</v>
      </c>
      <c r="C536" s="84" t="s">
        <v>233</v>
      </c>
      <c r="D536" s="84">
        <v>3</v>
      </c>
      <c r="E536" s="84" t="s">
        <v>236</v>
      </c>
      <c r="F536" s="84">
        <v>11</v>
      </c>
      <c r="G536" s="84">
        <v>10</v>
      </c>
      <c r="H536" s="84" t="s">
        <v>121</v>
      </c>
    </row>
    <row r="537" spans="1:8" x14ac:dyDescent="0.3">
      <c r="A537" s="81">
        <v>45727</v>
      </c>
      <c r="B537" s="82">
        <v>2025</v>
      </c>
      <c r="C537" s="82" t="s">
        <v>233</v>
      </c>
      <c r="D537" s="82">
        <v>3</v>
      </c>
      <c r="E537" s="82" t="s">
        <v>236</v>
      </c>
      <c r="F537" s="82">
        <v>11</v>
      </c>
      <c r="G537" s="82">
        <v>11</v>
      </c>
      <c r="H537" s="82" t="s">
        <v>123</v>
      </c>
    </row>
    <row r="538" spans="1:8" x14ac:dyDescent="0.3">
      <c r="A538" s="83">
        <v>45728</v>
      </c>
      <c r="B538" s="84">
        <v>2025</v>
      </c>
      <c r="C538" s="84" t="s">
        <v>233</v>
      </c>
      <c r="D538" s="84">
        <v>3</v>
      </c>
      <c r="E538" s="84" t="s">
        <v>236</v>
      </c>
      <c r="F538" s="84">
        <v>11</v>
      </c>
      <c r="G538" s="84">
        <v>12</v>
      </c>
      <c r="H538" s="84" t="s">
        <v>125</v>
      </c>
    </row>
    <row r="539" spans="1:8" x14ac:dyDescent="0.3">
      <c r="A539" s="81">
        <v>45729</v>
      </c>
      <c r="B539" s="82">
        <v>2025</v>
      </c>
      <c r="C539" s="82" t="s">
        <v>233</v>
      </c>
      <c r="D539" s="82">
        <v>3</v>
      </c>
      <c r="E539" s="82" t="s">
        <v>236</v>
      </c>
      <c r="F539" s="82">
        <v>11</v>
      </c>
      <c r="G539" s="82">
        <v>13</v>
      </c>
      <c r="H539" s="82" t="s">
        <v>127</v>
      </c>
    </row>
    <row r="540" spans="1:8" x14ac:dyDescent="0.3">
      <c r="A540" s="83">
        <v>45730</v>
      </c>
      <c r="B540" s="84">
        <v>2025</v>
      </c>
      <c r="C540" s="84" t="s">
        <v>233</v>
      </c>
      <c r="D540" s="84">
        <v>3</v>
      </c>
      <c r="E540" s="84" t="s">
        <v>236</v>
      </c>
      <c r="F540" s="84">
        <v>11</v>
      </c>
      <c r="G540" s="84">
        <v>14</v>
      </c>
      <c r="H540" s="84" t="s">
        <v>129</v>
      </c>
    </row>
    <row r="541" spans="1:8" x14ac:dyDescent="0.3">
      <c r="A541" s="81">
        <v>45731</v>
      </c>
      <c r="B541" s="82">
        <v>2025</v>
      </c>
      <c r="C541" s="82" t="s">
        <v>233</v>
      </c>
      <c r="D541" s="82">
        <v>3</v>
      </c>
      <c r="E541" s="82" t="s">
        <v>236</v>
      </c>
      <c r="F541" s="82">
        <v>11</v>
      </c>
      <c r="G541" s="82">
        <v>15</v>
      </c>
      <c r="H541" s="82" t="s">
        <v>131</v>
      </c>
    </row>
    <row r="542" spans="1:8" x14ac:dyDescent="0.3">
      <c r="A542" s="83">
        <v>45732</v>
      </c>
      <c r="B542" s="84">
        <v>2025</v>
      </c>
      <c r="C542" s="84" t="s">
        <v>233</v>
      </c>
      <c r="D542" s="84">
        <v>3</v>
      </c>
      <c r="E542" s="84" t="s">
        <v>236</v>
      </c>
      <c r="F542" s="84">
        <v>11</v>
      </c>
      <c r="G542" s="84">
        <v>16</v>
      </c>
      <c r="H542" s="84" t="s">
        <v>133</v>
      </c>
    </row>
    <row r="543" spans="1:8" x14ac:dyDescent="0.3">
      <c r="A543" s="81">
        <v>45733</v>
      </c>
      <c r="B543" s="82">
        <v>2025</v>
      </c>
      <c r="C543" s="82" t="s">
        <v>233</v>
      </c>
      <c r="D543" s="82">
        <v>3</v>
      </c>
      <c r="E543" s="82" t="s">
        <v>236</v>
      </c>
      <c r="F543" s="82">
        <v>12</v>
      </c>
      <c r="G543" s="82">
        <v>17</v>
      </c>
      <c r="H543" s="82" t="s">
        <v>121</v>
      </c>
    </row>
    <row r="544" spans="1:8" x14ac:dyDescent="0.3">
      <c r="A544" s="83">
        <v>45734</v>
      </c>
      <c r="B544" s="84">
        <v>2025</v>
      </c>
      <c r="C544" s="84" t="s">
        <v>233</v>
      </c>
      <c r="D544" s="84">
        <v>3</v>
      </c>
      <c r="E544" s="84" t="s">
        <v>236</v>
      </c>
      <c r="F544" s="84">
        <v>12</v>
      </c>
      <c r="G544" s="84">
        <v>18</v>
      </c>
      <c r="H544" s="84" t="s">
        <v>123</v>
      </c>
    </row>
    <row r="545" spans="1:8" x14ac:dyDescent="0.3">
      <c r="A545" s="81">
        <v>45735</v>
      </c>
      <c r="B545" s="82">
        <v>2025</v>
      </c>
      <c r="C545" s="82" t="s">
        <v>233</v>
      </c>
      <c r="D545" s="82">
        <v>3</v>
      </c>
      <c r="E545" s="82" t="s">
        <v>236</v>
      </c>
      <c r="F545" s="82">
        <v>12</v>
      </c>
      <c r="G545" s="82">
        <v>19</v>
      </c>
      <c r="H545" s="82" t="s">
        <v>125</v>
      </c>
    </row>
    <row r="546" spans="1:8" x14ac:dyDescent="0.3">
      <c r="A546" s="83">
        <v>45736</v>
      </c>
      <c r="B546" s="84">
        <v>2025</v>
      </c>
      <c r="C546" s="84" t="s">
        <v>233</v>
      </c>
      <c r="D546" s="84">
        <v>3</v>
      </c>
      <c r="E546" s="84" t="s">
        <v>236</v>
      </c>
      <c r="F546" s="84">
        <v>12</v>
      </c>
      <c r="G546" s="84">
        <v>20</v>
      </c>
      <c r="H546" s="84" t="s">
        <v>127</v>
      </c>
    </row>
    <row r="547" spans="1:8" x14ac:dyDescent="0.3">
      <c r="A547" s="81">
        <v>45737</v>
      </c>
      <c r="B547" s="82">
        <v>2025</v>
      </c>
      <c r="C547" s="82" t="s">
        <v>233</v>
      </c>
      <c r="D547" s="82">
        <v>3</v>
      </c>
      <c r="E547" s="82" t="s">
        <v>236</v>
      </c>
      <c r="F547" s="82">
        <v>12</v>
      </c>
      <c r="G547" s="82">
        <v>21</v>
      </c>
      <c r="H547" s="82" t="s">
        <v>129</v>
      </c>
    </row>
    <row r="548" spans="1:8" x14ac:dyDescent="0.3">
      <c r="A548" s="83">
        <v>45738</v>
      </c>
      <c r="B548" s="84">
        <v>2025</v>
      </c>
      <c r="C548" s="84" t="s">
        <v>233</v>
      </c>
      <c r="D548" s="84">
        <v>3</v>
      </c>
      <c r="E548" s="84" t="s">
        <v>236</v>
      </c>
      <c r="F548" s="84">
        <v>12</v>
      </c>
      <c r="G548" s="84">
        <v>22</v>
      </c>
      <c r="H548" s="84" t="s">
        <v>131</v>
      </c>
    </row>
    <row r="549" spans="1:8" x14ac:dyDescent="0.3">
      <c r="A549" s="81">
        <v>45739</v>
      </c>
      <c r="B549" s="82">
        <v>2025</v>
      </c>
      <c r="C549" s="82" t="s">
        <v>233</v>
      </c>
      <c r="D549" s="82">
        <v>3</v>
      </c>
      <c r="E549" s="82" t="s">
        <v>236</v>
      </c>
      <c r="F549" s="82">
        <v>12</v>
      </c>
      <c r="G549" s="82">
        <v>23</v>
      </c>
      <c r="H549" s="82" t="s">
        <v>133</v>
      </c>
    </row>
    <row r="550" spans="1:8" x14ac:dyDescent="0.3">
      <c r="A550" s="83">
        <v>45740</v>
      </c>
      <c r="B550" s="84">
        <v>2025</v>
      </c>
      <c r="C550" s="84" t="s">
        <v>233</v>
      </c>
      <c r="D550" s="84">
        <v>3</v>
      </c>
      <c r="E550" s="84" t="s">
        <v>236</v>
      </c>
      <c r="F550" s="84">
        <v>13</v>
      </c>
      <c r="G550" s="84">
        <v>24</v>
      </c>
      <c r="H550" s="84" t="s">
        <v>121</v>
      </c>
    </row>
    <row r="551" spans="1:8" x14ac:dyDescent="0.3">
      <c r="A551" s="81">
        <v>45741</v>
      </c>
      <c r="B551" s="82">
        <v>2025</v>
      </c>
      <c r="C551" s="82" t="s">
        <v>233</v>
      </c>
      <c r="D551" s="82">
        <v>3</v>
      </c>
      <c r="E551" s="82" t="s">
        <v>236</v>
      </c>
      <c r="F551" s="82">
        <v>13</v>
      </c>
      <c r="G551" s="82">
        <v>25</v>
      </c>
      <c r="H551" s="82" t="s">
        <v>123</v>
      </c>
    </row>
    <row r="552" spans="1:8" x14ac:dyDescent="0.3">
      <c r="A552" s="83">
        <v>45742</v>
      </c>
      <c r="B552" s="84">
        <v>2025</v>
      </c>
      <c r="C552" s="84" t="s">
        <v>233</v>
      </c>
      <c r="D552" s="84">
        <v>3</v>
      </c>
      <c r="E552" s="84" t="s">
        <v>236</v>
      </c>
      <c r="F552" s="84">
        <v>13</v>
      </c>
      <c r="G552" s="84">
        <v>26</v>
      </c>
      <c r="H552" s="84" t="s">
        <v>125</v>
      </c>
    </row>
    <row r="553" spans="1:8" x14ac:dyDescent="0.3">
      <c r="A553" s="81">
        <v>45743</v>
      </c>
      <c r="B553" s="82">
        <v>2025</v>
      </c>
      <c r="C553" s="82" t="s">
        <v>233</v>
      </c>
      <c r="D553" s="82">
        <v>3</v>
      </c>
      <c r="E553" s="82" t="s">
        <v>236</v>
      </c>
      <c r="F553" s="82">
        <v>13</v>
      </c>
      <c r="G553" s="82">
        <v>27</v>
      </c>
      <c r="H553" s="82" t="s">
        <v>127</v>
      </c>
    </row>
    <row r="554" spans="1:8" x14ac:dyDescent="0.3">
      <c r="A554" s="83">
        <v>45744</v>
      </c>
      <c r="B554" s="84">
        <v>2025</v>
      </c>
      <c r="C554" s="84" t="s">
        <v>233</v>
      </c>
      <c r="D554" s="84">
        <v>3</v>
      </c>
      <c r="E554" s="84" t="s">
        <v>236</v>
      </c>
      <c r="F554" s="84">
        <v>13</v>
      </c>
      <c r="G554" s="84">
        <v>28</v>
      </c>
      <c r="H554" s="84" t="s">
        <v>129</v>
      </c>
    </row>
    <row r="555" spans="1:8" x14ac:dyDescent="0.3">
      <c r="A555" s="81">
        <v>45745</v>
      </c>
      <c r="B555" s="82">
        <v>2025</v>
      </c>
      <c r="C555" s="82" t="s">
        <v>233</v>
      </c>
      <c r="D555" s="82">
        <v>3</v>
      </c>
      <c r="E555" s="82" t="s">
        <v>236</v>
      </c>
      <c r="F555" s="82">
        <v>13</v>
      </c>
      <c r="G555" s="82">
        <v>29</v>
      </c>
      <c r="H555" s="82" t="s">
        <v>131</v>
      </c>
    </row>
    <row r="556" spans="1:8" x14ac:dyDescent="0.3">
      <c r="A556" s="83">
        <v>45746</v>
      </c>
      <c r="B556" s="84">
        <v>2025</v>
      </c>
      <c r="C556" s="84" t="s">
        <v>233</v>
      </c>
      <c r="D556" s="84">
        <v>3</v>
      </c>
      <c r="E556" s="84" t="s">
        <v>236</v>
      </c>
      <c r="F556" s="84">
        <v>13</v>
      </c>
      <c r="G556" s="84">
        <v>30</v>
      </c>
      <c r="H556" s="84" t="s">
        <v>133</v>
      </c>
    </row>
    <row r="557" spans="1:8" x14ac:dyDescent="0.3">
      <c r="A557" s="81">
        <v>45747</v>
      </c>
      <c r="B557" s="82">
        <v>2025</v>
      </c>
      <c r="C557" s="82" t="s">
        <v>233</v>
      </c>
      <c r="D557" s="82">
        <v>3</v>
      </c>
      <c r="E557" s="82" t="s">
        <v>236</v>
      </c>
      <c r="F557" s="82">
        <v>14</v>
      </c>
      <c r="G557" s="82">
        <v>31</v>
      </c>
      <c r="H557" s="82" t="s">
        <v>121</v>
      </c>
    </row>
    <row r="558" spans="1:8" x14ac:dyDescent="0.3">
      <c r="A558" s="83">
        <v>45748</v>
      </c>
      <c r="B558" s="84">
        <v>2025</v>
      </c>
      <c r="C558" s="84" t="s">
        <v>237</v>
      </c>
      <c r="D558" s="84">
        <v>4</v>
      </c>
      <c r="E558" s="84" t="s">
        <v>238</v>
      </c>
      <c r="F558" s="84">
        <v>14</v>
      </c>
      <c r="G558" s="84">
        <v>1</v>
      </c>
      <c r="H558" s="84" t="s">
        <v>123</v>
      </c>
    </row>
    <row r="559" spans="1:8" x14ac:dyDescent="0.3">
      <c r="A559" s="81">
        <v>45749</v>
      </c>
      <c r="B559" s="82">
        <v>2025</v>
      </c>
      <c r="C559" s="82" t="s">
        <v>237</v>
      </c>
      <c r="D559" s="82">
        <v>4</v>
      </c>
      <c r="E559" s="82" t="s">
        <v>238</v>
      </c>
      <c r="F559" s="82">
        <v>14</v>
      </c>
      <c r="G559" s="82">
        <v>2</v>
      </c>
      <c r="H559" s="82" t="s">
        <v>125</v>
      </c>
    </row>
    <row r="560" spans="1:8" x14ac:dyDescent="0.3">
      <c r="A560" s="83">
        <v>45750</v>
      </c>
      <c r="B560" s="84">
        <v>2025</v>
      </c>
      <c r="C560" s="84" t="s">
        <v>237</v>
      </c>
      <c r="D560" s="84">
        <v>4</v>
      </c>
      <c r="E560" s="84" t="s">
        <v>238</v>
      </c>
      <c r="F560" s="84">
        <v>14</v>
      </c>
      <c r="G560" s="84">
        <v>3</v>
      </c>
      <c r="H560" s="84" t="s">
        <v>127</v>
      </c>
    </row>
    <row r="561" spans="1:8" x14ac:dyDescent="0.3">
      <c r="A561" s="81">
        <v>45751</v>
      </c>
      <c r="B561" s="82">
        <v>2025</v>
      </c>
      <c r="C561" s="82" t="s">
        <v>237</v>
      </c>
      <c r="D561" s="82">
        <v>4</v>
      </c>
      <c r="E561" s="82" t="s">
        <v>238</v>
      </c>
      <c r="F561" s="82">
        <v>14</v>
      </c>
      <c r="G561" s="82">
        <v>4</v>
      </c>
      <c r="H561" s="82" t="s">
        <v>129</v>
      </c>
    </row>
    <row r="562" spans="1:8" x14ac:dyDescent="0.3">
      <c r="A562" s="83">
        <v>45752</v>
      </c>
      <c r="B562" s="84">
        <v>2025</v>
      </c>
      <c r="C562" s="84" t="s">
        <v>237</v>
      </c>
      <c r="D562" s="84">
        <v>4</v>
      </c>
      <c r="E562" s="84" t="s">
        <v>238</v>
      </c>
      <c r="F562" s="84">
        <v>14</v>
      </c>
      <c r="G562" s="84">
        <v>5</v>
      </c>
      <c r="H562" s="84" t="s">
        <v>131</v>
      </c>
    </row>
    <row r="563" spans="1:8" x14ac:dyDescent="0.3">
      <c r="A563" s="81">
        <v>45753</v>
      </c>
      <c r="B563" s="82">
        <v>2025</v>
      </c>
      <c r="C563" s="82" t="s">
        <v>237</v>
      </c>
      <c r="D563" s="82">
        <v>4</v>
      </c>
      <c r="E563" s="82" t="s">
        <v>238</v>
      </c>
      <c r="F563" s="82">
        <v>14</v>
      </c>
      <c r="G563" s="82">
        <v>6</v>
      </c>
      <c r="H563" s="82" t="s">
        <v>133</v>
      </c>
    </row>
    <row r="564" spans="1:8" x14ac:dyDescent="0.3">
      <c r="A564" s="83">
        <v>45754</v>
      </c>
      <c r="B564" s="84">
        <v>2025</v>
      </c>
      <c r="C564" s="84" t="s">
        <v>237</v>
      </c>
      <c r="D564" s="84">
        <v>4</v>
      </c>
      <c r="E564" s="84" t="s">
        <v>238</v>
      </c>
      <c r="F564" s="84">
        <v>15</v>
      </c>
      <c r="G564" s="84">
        <v>7</v>
      </c>
      <c r="H564" s="84" t="s">
        <v>121</v>
      </c>
    </row>
    <row r="565" spans="1:8" x14ac:dyDescent="0.3">
      <c r="A565" s="81">
        <v>45755</v>
      </c>
      <c r="B565" s="82">
        <v>2025</v>
      </c>
      <c r="C565" s="82" t="s">
        <v>237</v>
      </c>
      <c r="D565" s="82">
        <v>4</v>
      </c>
      <c r="E565" s="82" t="s">
        <v>238</v>
      </c>
      <c r="F565" s="82">
        <v>15</v>
      </c>
      <c r="G565" s="82">
        <v>8</v>
      </c>
      <c r="H565" s="82" t="s">
        <v>123</v>
      </c>
    </row>
    <row r="566" spans="1:8" x14ac:dyDescent="0.3">
      <c r="A566" s="83">
        <v>45756</v>
      </c>
      <c r="B566" s="84">
        <v>2025</v>
      </c>
      <c r="C566" s="84" t="s">
        <v>237</v>
      </c>
      <c r="D566" s="84">
        <v>4</v>
      </c>
      <c r="E566" s="84" t="s">
        <v>238</v>
      </c>
      <c r="F566" s="84">
        <v>15</v>
      </c>
      <c r="G566" s="84">
        <v>9</v>
      </c>
      <c r="H566" s="84" t="s">
        <v>125</v>
      </c>
    </row>
    <row r="567" spans="1:8" x14ac:dyDescent="0.3">
      <c r="A567" s="81">
        <v>45757</v>
      </c>
      <c r="B567" s="82">
        <v>2025</v>
      </c>
      <c r="C567" s="82" t="s">
        <v>237</v>
      </c>
      <c r="D567" s="82">
        <v>4</v>
      </c>
      <c r="E567" s="82" t="s">
        <v>238</v>
      </c>
      <c r="F567" s="82">
        <v>15</v>
      </c>
      <c r="G567" s="82">
        <v>10</v>
      </c>
      <c r="H567" s="82" t="s">
        <v>127</v>
      </c>
    </row>
    <row r="568" spans="1:8" x14ac:dyDescent="0.3">
      <c r="A568" s="83">
        <v>45758</v>
      </c>
      <c r="B568" s="84">
        <v>2025</v>
      </c>
      <c r="C568" s="84" t="s">
        <v>237</v>
      </c>
      <c r="D568" s="84">
        <v>4</v>
      </c>
      <c r="E568" s="84" t="s">
        <v>238</v>
      </c>
      <c r="F568" s="84">
        <v>15</v>
      </c>
      <c r="G568" s="84">
        <v>11</v>
      </c>
      <c r="H568" s="84" t="s">
        <v>129</v>
      </c>
    </row>
    <row r="569" spans="1:8" x14ac:dyDescent="0.3">
      <c r="A569" s="81">
        <v>45759</v>
      </c>
      <c r="B569" s="82">
        <v>2025</v>
      </c>
      <c r="C569" s="82" t="s">
        <v>237</v>
      </c>
      <c r="D569" s="82">
        <v>4</v>
      </c>
      <c r="E569" s="82" t="s">
        <v>238</v>
      </c>
      <c r="F569" s="82">
        <v>15</v>
      </c>
      <c r="G569" s="82">
        <v>12</v>
      </c>
      <c r="H569" s="82" t="s">
        <v>131</v>
      </c>
    </row>
    <row r="570" spans="1:8" x14ac:dyDescent="0.3">
      <c r="A570" s="83">
        <v>45760</v>
      </c>
      <c r="B570" s="84">
        <v>2025</v>
      </c>
      <c r="C570" s="84" t="s">
        <v>237</v>
      </c>
      <c r="D570" s="84">
        <v>4</v>
      </c>
      <c r="E570" s="84" t="s">
        <v>238</v>
      </c>
      <c r="F570" s="84">
        <v>15</v>
      </c>
      <c r="G570" s="84">
        <v>13</v>
      </c>
      <c r="H570" s="84" t="s">
        <v>133</v>
      </c>
    </row>
    <row r="571" spans="1:8" x14ac:dyDescent="0.3">
      <c r="A571" s="81">
        <v>45761</v>
      </c>
      <c r="B571" s="82">
        <v>2025</v>
      </c>
      <c r="C571" s="82" t="s">
        <v>237</v>
      </c>
      <c r="D571" s="82">
        <v>4</v>
      </c>
      <c r="E571" s="82" t="s">
        <v>238</v>
      </c>
      <c r="F571" s="82">
        <v>16</v>
      </c>
      <c r="G571" s="82">
        <v>14</v>
      </c>
      <c r="H571" s="82" t="s">
        <v>121</v>
      </c>
    </row>
    <row r="572" spans="1:8" x14ac:dyDescent="0.3">
      <c r="A572" s="83">
        <v>45762</v>
      </c>
      <c r="B572" s="84">
        <v>2025</v>
      </c>
      <c r="C572" s="84" t="s">
        <v>237</v>
      </c>
      <c r="D572" s="84">
        <v>4</v>
      </c>
      <c r="E572" s="84" t="s">
        <v>238</v>
      </c>
      <c r="F572" s="84">
        <v>16</v>
      </c>
      <c r="G572" s="84">
        <v>15</v>
      </c>
      <c r="H572" s="84" t="s">
        <v>123</v>
      </c>
    </row>
    <row r="573" spans="1:8" x14ac:dyDescent="0.3">
      <c r="A573" s="81">
        <v>45763</v>
      </c>
      <c r="B573" s="82">
        <v>2025</v>
      </c>
      <c r="C573" s="82" t="s">
        <v>237</v>
      </c>
      <c r="D573" s="82">
        <v>4</v>
      </c>
      <c r="E573" s="82" t="s">
        <v>238</v>
      </c>
      <c r="F573" s="82">
        <v>16</v>
      </c>
      <c r="G573" s="82">
        <v>16</v>
      </c>
      <c r="H573" s="82" t="s">
        <v>125</v>
      </c>
    </row>
    <row r="574" spans="1:8" x14ac:dyDescent="0.3">
      <c r="A574" s="83">
        <v>45764</v>
      </c>
      <c r="B574" s="84">
        <v>2025</v>
      </c>
      <c r="C574" s="84" t="s">
        <v>237</v>
      </c>
      <c r="D574" s="84">
        <v>4</v>
      </c>
      <c r="E574" s="84" t="s">
        <v>238</v>
      </c>
      <c r="F574" s="84">
        <v>16</v>
      </c>
      <c r="G574" s="84">
        <v>17</v>
      </c>
      <c r="H574" s="84" t="s">
        <v>127</v>
      </c>
    </row>
    <row r="575" spans="1:8" x14ac:dyDescent="0.3">
      <c r="A575" s="81">
        <v>45765</v>
      </c>
      <c r="B575" s="82">
        <v>2025</v>
      </c>
      <c r="C575" s="82" t="s">
        <v>237</v>
      </c>
      <c r="D575" s="82">
        <v>4</v>
      </c>
      <c r="E575" s="82" t="s">
        <v>238</v>
      </c>
      <c r="F575" s="82">
        <v>16</v>
      </c>
      <c r="G575" s="82">
        <v>18</v>
      </c>
      <c r="H575" s="82" t="s">
        <v>129</v>
      </c>
    </row>
    <row r="576" spans="1:8" x14ac:dyDescent="0.3">
      <c r="A576" s="83">
        <v>45766</v>
      </c>
      <c r="B576" s="84">
        <v>2025</v>
      </c>
      <c r="C576" s="84" t="s">
        <v>237</v>
      </c>
      <c r="D576" s="84">
        <v>4</v>
      </c>
      <c r="E576" s="84" t="s">
        <v>238</v>
      </c>
      <c r="F576" s="84">
        <v>16</v>
      </c>
      <c r="G576" s="84">
        <v>19</v>
      </c>
      <c r="H576" s="84" t="s">
        <v>131</v>
      </c>
    </row>
    <row r="577" spans="1:8" x14ac:dyDescent="0.3">
      <c r="A577" s="81">
        <v>45767</v>
      </c>
      <c r="B577" s="82">
        <v>2025</v>
      </c>
      <c r="C577" s="82" t="s">
        <v>237</v>
      </c>
      <c r="D577" s="82">
        <v>4</v>
      </c>
      <c r="E577" s="82" t="s">
        <v>238</v>
      </c>
      <c r="F577" s="82">
        <v>16</v>
      </c>
      <c r="G577" s="82">
        <v>20</v>
      </c>
      <c r="H577" s="82" t="s">
        <v>133</v>
      </c>
    </row>
    <row r="578" spans="1:8" x14ac:dyDescent="0.3">
      <c r="A578" s="83">
        <v>45768</v>
      </c>
      <c r="B578" s="84">
        <v>2025</v>
      </c>
      <c r="C578" s="84" t="s">
        <v>237</v>
      </c>
      <c r="D578" s="84">
        <v>4</v>
      </c>
      <c r="E578" s="84" t="s">
        <v>238</v>
      </c>
      <c r="F578" s="84">
        <v>17</v>
      </c>
      <c r="G578" s="84">
        <v>21</v>
      </c>
      <c r="H578" s="84" t="s">
        <v>121</v>
      </c>
    </row>
    <row r="579" spans="1:8" x14ac:dyDescent="0.3">
      <c r="A579" s="81">
        <v>45769</v>
      </c>
      <c r="B579" s="82">
        <v>2025</v>
      </c>
      <c r="C579" s="82" t="s">
        <v>237</v>
      </c>
      <c r="D579" s="82">
        <v>4</v>
      </c>
      <c r="E579" s="82" t="s">
        <v>238</v>
      </c>
      <c r="F579" s="82">
        <v>17</v>
      </c>
      <c r="G579" s="82">
        <v>22</v>
      </c>
      <c r="H579" s="82" t="s">
        <v>123</v>
      </c>
    </row>
    <row r="580" spans="1:8" x14ac:dyDescent="0.3">
      <c r="A580" s="83">
        <v>45770</v>
      </c>
      <c r="B580" s="84">
        <v>2025</v>
      </c>
      <c r="C580" s="84" t="s">
        <v>237</v>
      </c>
      <c r="D580" s="84">
        <v>4</v>
      </c>
      <c r="E580" s="84" t="s">
        <v>238</v>
      </c>
      <c r="F580" s="84">
        <v>17</v>
      </c>
      <c r="G580" s="84">
        <v>23</v>
      </c>
      <c r="H580" s="84" t="s">
        <v>125</v>
      </c>
    </row>
    <row r="581" spans="1:8" x14ac:dyDescent="0.3">
      <c r="A581" s="81">
        <v>45771</v>
      </c>
      <c r="B581" s="82">
        <v>2025</v>
      </c>
      <c r="C581" s="82" t="s">
        <v>237</v>
      </c>
      <c r="D581" s="82">
        <v>4</v>
      </c>
      <c r="E581" s="82" t="s">
        <v>238</v>
      </c>
      <c r="F581" s="82">
        <v>17</v>
      </c>
      <c r="G581" s="82">
        <v>24</v>
      </c>
      <c r="H581" s="82" t="s">
        <v>127</v>
      </c>
    </row>
    <row r="582" spans="1:8" x14ac:dyDescent="0.3">
      <c r="A582" s="83">
        <v>45772</v>
      </c>
      <c r="B582" s="84">
        <v>2025</v>
      </c>
      <c r="C582" s="84" t="s">
        <v>237</v>
      </c>
      <c r="D582" s="84">
        <v>4</v>
      </c>
      <c r="E582" s="84" t="s">
        <v>238</v>
      </c>
      <c r="F582" s="84">
        <v>17</v>
      </c>
      <c r="G582" s="84">
        <v>25</v>
      </c>
      <c r="H582" s="84" t="s">
        <v>129</v>
      </c>
    </row>
    <row r="583" spans="1:8" x14ac:dyDescent="0.3">
      <c r="A583" s="81">
        <v>45773</v>
      </c>
      <c r="B583" s="82">
        <v>2025</v>
      </c>
      <c r="C583" s="82" t="s">
        <v>237</v>
      </c>
      <c r="D583" s="82">
        <v>4</v>
      </c>
      <c r="E583" s="82" t="s">
        <v>238</v>
      </c>
      <c r="F583" s="82">
        <v>17</v>
      </c>
      <c r="G583" s="82">
        <v>26</v>
      </c>
      <c r="H583" s="82" t="s">
        <v>131</v>
      </c>
    </row>
    <row r="584" spans="1:8" x14ac:dyDescent="0.3">
      <c r="A584" s="83">
        <v>45774</v>
      </c>
      <c r="B584" s="84">
        <v>2025</v>
      </c>
      <c r="C584" s="84" t="s">
        <v>237</v>
      </c>
      <c r="D584" s="84">
        <v>4</v>
      </c>
      <c r="E584" s="84" t="s">
        <v>238</v>
      </c>
      <c r="F584" s="84">
        <v>17</v>
      </c>
      <c r="G584" s="84">
        <v>27</v>
      </c>
      <c r="H584" s="84" t="s">
        <v>133</v>
      </c>
    </row>
    <row r="585" spans="1:8" x14ac:dyDescent="0.3">
      <c r="A585" s="81">
        <v>45775</v>
      </c>
      <c r="B585" s="82">
        <v>2025</v>
      </c>
      <c r="C585" s="82" t="s">
        <v>237</v>
      </c>
      <c r="D585" s="82">
        <v>4</v>
      </c>
      <c r="E585" s="82" t="s">
        <v>238</v>
      </c>
      <c r="F585" s="82">
        <v>18</v>
      </c>
      <c r="G585" s="82">
        <v>28</v>
      </c>
      <c r="H585" s="82" t="s">
        <v>121</v>
      </c>
    </row>
    <row r="586" spans="1:8" x14ac:dyDescent="0.3">
      <c r="A586" s="83">
        <v>45776</v>
      </c>
      <c r="B586" s="84">
        <v>2025</v>
      </c>
      <c r="C586" s="84" t="s">
        <v>237</v>
      </c>
      <c r="D586" s="84">
        <v>4</v>
      </c>
      <c r="E586" s="84" t="s">
        <v>238</v>
      </c>
      <c r="F586" s="84">
        <v>18</v>
      </c>
      <c r="G586" s="84">
        <v>29</v>
      </c>
      <c r="H586" s="84" t="s">
        <v>123</v>
      </c>
    </row>
    <row r="587" spans="1:8" x14ac:dyDescent="0.3">
      <c r="A587" s="81">
        <v>45777</v>
      </c>
      <c r="B587" s="82">
        <v>2025</v>
      </c>
      <c r="C587" s="82" t="s">
        <v>237</v>
      </c>
      <c r="D587" s="82">
        <v>4</v>
      </c>
      <c r="E587" s="82" t="s">
        <v>238</v>
      </c>
      <c r="F587" s="82">
        <v>18</v>
      </c>
      <c r="G587" s="82">
        <v>30</v>
      </c>
      <c r="H587" s="82" t="s">
        <v>125</v>
      </c>
    </row>
    <row r="588" spans="1:8" x14ac:dyDescent="0.3">
      <c r="A588" s="83">
        <v>45778</v>
      </c>
      <c r="B588" s="84">
        <v>2025</v>
      </c>
      <c r="C588" s="84" t="s">
        <v>237</v>
      </c>
      <c r="D588" s="84">
        <v>5</v>
      </c>
      <c r="E588" s="84" t="s">
        <v>239</v>
      </c>
      <c r="F588" s="84">
        <v>18</v>
      </c>
      <c r="G588" s="84">
        <v>1</v>
      </c>
      <c r="H588" s="84" t="s">
        <v>127</v>
      </c>
    </row>
    <row r="589" spans="1:8" x14ac:dyDescent="0.3">
      <c r="A589" s="81">
        <v>45779</v>
      </c>
      <c r="B589" s="82">
        <v>2025</v>
      </c>
      <c r="C589" s="82" t="s">
        <v>237</v>
      </c>
      <c r="D589" s="82">
        <v>5</v>
      </c>
      <c r="E589" s="82" t="s">
        <v>239</v>
      </c>
      <c r="F589" s="82">
        <v>18</v>
      </c>
      <c r="G589" s="82">
        <v>2</v>
      </c>
      <c r="H589" s="82" t="s">
        <v>129</v>
      </c>
    </row>
    <row r="590" spans="1:8" x14ac:dyDescent="0.3">
      <c r="A590" s="83">
        <v>45780</v>
      </c>
      <c r="B590" s="84">
        <v>2025</v>
      </c>
      <c r="C590" s="84" t="s">
        <v>237</v>
      </c>
      <c r="D590" s="84">
        <v>5</v>
      </c>
      <c r="E590" s="84" t="s">
        <v>239</v>
      </c>
      <c r="F590" s="84">
        <v>18</v>
      </c>
      <c r="G590" s="84">
        <v>3</v>
      </c>
      <c r="H590" s="84" t="s">
        <v>131</v>
      </c>
    </row>
    <row r="591" spans="1:8" x14ac:dyDescent="0.3">
      <c r="A591" s="81">
        <v>45781</v>
      </c>
      <c r="B591" s="82">
        <v>2025</v>
      </c>
      <c r="C591" s="82" t="s">
        <v>237</v>
      </c>
      <c r="D591" s="82">
        <v>5</v>
      </c>
      <c r="E591" s="82" t="s">
        <v>239</v>
      </c>
      <c r="F591" s="82">
        <v>18</v>
      </c>
      <c r="G591" s="82">
        <v>4</v>
      </c>
      <c r="H591" s="82" t="s">
        <v>133</v>
      </c>
    </row>
    <row r="592" spans="1:8" x14ac:dyDescent="0.3">
      <c r="A592" s="83">
        <v>45782</v>
      </c>
      <c r="B592" s="84">
        <v>2025</v>
      </c>
      <c r="C592" s="84" t="s">
        <v>237</v>
      </c>
      <c r="D592" s="84">
        <v>5</v>
      </c>
      <c r="E592" s="84" t="s">
        <v>239</v>
      </c>
      <c r="F592" s="84">
        <v>19</v>
      </c>
      <c r="G592" s="84">
        <v>5</v>
      </c>
      <c r="H592" s="84" t="s">
        <v>121</v>
      </c>
    </row>
    <row r="593" spans="1:8" x14ac:dyDescent="0.3">
      <c r="A593" s="81">
        <v>45783</v>
      </c>
      <c r="B593" s="82">
        <v>2025</v>
      </c>
      <c r="C593" s="82" t="s">
        <v>237</v>
      </c>
      <c r="D593" s="82">
        <v>5</v>
      </c>
      <c r="E593" s="82" t="s">
        <v>239</v>
      </c>
      <c r="F593" s="82">
        <v>19</v>
      </c>
      <c r="G593" s="82">
        <v>6</v>
      </c>
      <c r="H593" s="82" t="s">
        <v>123</v>
      </c>
    </row>
    <row r="594" spans="1:8" x14ac:dyDescent="0.3">
      <c r="A594" s="83">
        <v>45784</v>
      </c>
      <c r="B594" s="84">
        <v>2025</v>
      </c>
      <c r="C594" s="84" t="s">
        <v>237</v>
      </c>
      <c r="D594" s="84">
        <v>5</v>
      </c>
      <c r="E594" s="84" t="s">
        <v>239</v>
      </c>
      <c r="F594" s="84">
        <v>19</v>
      </c>
      <c r="G594" s="84">
        <v>7</v>
      </c>
      <c r="H594" s="84" t="s">
        <v>125</v>
      </c>
    </row>
    <row r="595" spans="1:8" x14ac:dyDescent="0.3">
      <c r="A595" s="81">
        <v>45785</v>
      </c>
      <c r="B595" s="82">
        <v>2025</v>
      </c>
      <c r="C595" s="82" t="s">
        <v>237</v>
      </c>
      <c r="D595" s="82">
        <v>5</v>
      </c>
      <c r="E595" s="82" t="s">
        <v>239</v>
      </c>
      <c r="F595" s="82">
        <v>19</v>
      </c>
      <c r="G595" s="82">
        <v>8</v>
      </c>
      <c r="H595" s="82" t="s">
        <v>127</v>
      </c>
    </row>
    <row r="596" spans="1:8" x14ac:dyDescent="0.3">
      <c r="A596" s="83">
        <v>45786</v>
      </c>
      <c r="B596" s="84">
        <v>2025</v>
      </c>
      <c r="C596" s="84" t="s">
        <v>237</v>
      </c>
      <c r="D596" s="84">
        <v>5</v>
      </c>
      <c r="E596" s="84" t="s">
        <v>239</v>
      </c>
      <c r="F596" s="84">
        <v>19</v>
      </c>
      <c r="G596" s="84">
        <v>9</v>
      </c>
      <c r="H596" s="84" t="s">
        <v>129</v>
      </c>
    </row>
    <row r="597" spans="1:8" x14ac:dyDescent="0.3">
      <c r="A597" s="81">
        <v>45787</v>
      </c>
      <c r="B597" s="82">
        <v>2025</v>
      </c>
      <c r="C597" s="82" t="s">
        <v>237</v>
      </c>
      <c r="D597" s="82">
        <v>5</v>
      </c>
      <c r="E597" s="82" t="s">
        <v>239</v>
      </c>
      <c r="F597" s="82">
        <v>19</v>
      </c>
      <c r="G597" s="82">
        <v>10</v>
      </c>
      <c r="H597" s="82" t="s">
        <v>131</v>
      </c>
    </row>
    <row r="598" spans="1:8" x14ac:dyDescent="0.3">
      <c r="A598" s="83">
        <v>45788</v>
      </c>
      <c r="B598" s="84">
        <v>2025</v>
      </c>
      <c r="C598" s="84" t="s">
        <v>237</v>
      </c>
      <c r="D598" s="84">
        <v>5</v>
      </c>
      <c r="E598" s="84" t="s">
        <v>239</v>
      </c>
      <c r="F598" s="84">
        <v>19</v>
      </c>
      <c r="G598" s="84">
        <v>11</v>
      </c>
      <c r="H598" s="84" t="s">
        <v>133</v>
      </c>
    </row>
    <row r="599" spans="1:8" x14ac:dyDescent="0.3">
      <c r="A599" s="81">
        <v>45789</v>
      </c>
      <c r="B599" s="82">
        <v>2025</v>
      </c>
      <c r="C599" s="82" t="s">
        <v>237</v>
      </c>
      <c r="D599" s="82">
        <v>5</v>
      </c>
      <c r="E599" s="82" t="s">
        <v>239</v>
      </c>
      <c r="F599" s="82">
        <v>20</v>
      </c>
      <c r="G599" s="82">
        <v>12</v>
      </c>
      <c r="H599" s="82" t="s">
        <v>121</v>
      </c>
    </row>
    <row r="600" spans="1:8" x14ac:dyDescent="0.3">
      <c r="A600" s="83">
        <v>45790</v>
      </c>
      <c r="B600" s="84">
        <v>2025</v>
      </c>
      <c r="C600" s="84" t="s">
        <v>237</v>
      </c>
      <c r="D600" s="84">
        <v>5</v>
      </c>
      <c r="E600" s="84" t="s">
        <v>239</v>
      </c>
      <c r="F600" s="84">
        <v>20</v>
      </c>
      <c r="G600" s="84">
        <v>13</v>
      </c>
      <c r="H600" s="84" t="s">
        <v>123</v>
      </c>
    </row>
    <row r="601" spans="1:8" x14ac:dyDescent="0.3">
      <c r="A601" s="81">
        <v>45791</v>
      </c>
      <c r="B601" s="82">
        <v>2025</v>
      </c>
      <c r="C601" s="82" t="s">
        <v>237</v>
      </c>
      <c r="D601" s="82">
        <v>5</v>
      </c>
      <c r="E601" s="82" t="s">
        <v>239</v>
      </c>
      <c r="F601" s="82">
        <v>20</v>
      </c>
      <c r="G601" s="82">
        <v>14</v>
      </c>
      <c r="H601" s="82" t="s">
        <v>125</v>
      </c>
    </row>
    <row r="602" spans="1:8" x14ac:dyDescent="0.3">
      <c r="A602" s="83">
        <v>45792</v>
      </c>
      <c r="B602" s="84">
        <v>2025</v>
      </c>
      <c r="C602" s="84" t="s">
        <v>237</v>
      </c>
      <c r="D602" s="84">
        <v>5</v>
      </c>
      <c r="E602" s="84" t="s">
        <v>239</v>
      </c>
      <c r="F602" s="84">
        <v>20</v>
      </c>
      <c r="G602" s="84">
        <v>15</v>
      </c>
      <c r="H602" s="84" t="s">
        <v>127</v>
      </c>
    </row>
    <row r="603" spans="1:8" x14ac:dyDescent="0.3">
      <c r="A603" s="81">
        <v>45793</v>
      </c>
      <c r="B603" s="82">
        <v>2025</v>
      </c>
      <c r="C603" s="82" t="s">
        <v>237</v>
      </c>
      <c r="D603" s="82">
        <v>5</v>
      </c>
      <c r="E603" s="82" t="s">
        <v>239</v>
      </c>
      <c r="F603" s="82">
        <v>20</v>
      </c>
      <c r="G603" s="82">
        <v>16</v>
      </c>
      <c r="H603" s="82" t="s">
        <v>129</v>
      </c>
    </row>
    <row r="604" spans="1:8" x14ac:dyDescent="0.3">
      <c r="A604" s="83">
        <v>45794</v>
      </c>
      <c r="B604" s="84">
        <v>2025</v>
      </c>
      <c r="C604" s="84" t="s">
        <v>237</v>
      </c>
      <c r="D604" s="84">
        <v>5</v>
      </c>
      <c r="E604" s="84" t="s">
        <v>239</v>
      </c>
      <c r="F604" s="84">
        <v>20</v>
      </c>
      <c r="G604" s="84">
        <v>17</v>
      </c>
      <c r="H604" s="84" t="s">
        <v>131</v>
      </c>
    </row>
    <row r="605" spans="1:8" x14ac:dyDescent="0.3">
      <c r="A605" s="81">
        <v>45795</v>
      </c>
      <c r="B605" s="82">
        <v>2025</v>
      </c>
      <c r="C605" s="82" t="s">
        <v>237</v>
      </c>
      <c r="D605" s="82">
        <v>5</v>
      </c>
      <c r="E605" s="82" t="s">
        <v>239</v>
      </c>
      <c r="F605" s="82">
        <v>20</v>
      </c>
      <c r="G605" s="82">
        <v>18</v>
      </c>
      <c r="H605" s="82" t="s">
        <v>133</v>
      </c>
    </row>
    <row r="606" spans="1:8" x14ac:dyDescent="0.3">
      <c r="A606" s="83">
        <v>45796</v>
      </c>
      <c r="B606" s="84">
        <v>2025</v>
      </c>
      <c r="C606" s="84" t="s">
        <v>237</v>
      </c>
      <c r="D606" s="84">
        <v>5</v>
      </c>
      <c r="E606" s="84" t="s">
        <v>239</v>
      </c>
      <c r="F606" s="84">
        <v>21</v>
      </c>
      <c r="G606" s="84">
        <v>19</v>
      </c>
      <c r="H606" s="84" t="s">
        <v>121</v>
      </c>
    </row>
    <row r="607" spans="1:8" x14ac:dyDescent="0.3">
      <c r="A607" s="81">
        <v>45797</v>
      </c>
      <c r="B607" s="82">
        <v>2025</v>
      </c>
      <c r="C607" s="82" t="s">
        <v>237</v>
      </c>
      <c r="D607" s="82">
        <v>5</v>
      </c>
      <c r="E607" s="82" t="s">
        <v>239</v>
      </c>
      <c r="F607" s="82">
        <v>21</v>
      </c>
      <c r="G607" s="82">
        <v>20</v>
      </c>
      <c r="H607" s="82" t="s">
        <v>123</v>
      </c>
    </row>
    <row r="608" spans="1:8" x14ac:dyDescent="0.3">
      <c r="A608" s="83">
        <v>45798</v>
      </c>
      <c r="B608" s="84">
        <v>2025</v>
      </c>
      <c r="C608" s="84" t="s">
        <v>237</v>
      </c>
      <c r="D608" s="84">
        <v>5</v>
      </c>
      <c r="E608" s="84" t="s">
        <v>239</v>
      </c>
      <c r="F608" s="84">
        <v>21</v>
      </c>
      <c r="G608" s="84">
        <v>21</v>
      </c>
      <c r="H608" s="84" t="s">
        <v>125</v>
      </c>
    </row>
    <row r="609" spans="1:8" x14ac:dyDescent="0.3">
      <c r="A609" s="81">
        <v>45799</v>
      </c>
      <c r="B609" s="82">
        <v>2025</v>
      </c>
      <c r="C609" s="82" t="s">
        <v>237</v>
      </c>
      <c r="D609" s="82">
        <v>5</v>
      </c>
      <c r="E609" s="82" t="s">
        <v>239</v>
      </c>
      <c r="F609" s="82">
        <v>21</v>
      </c>
      <c r="G609" s="82">
        <v>22</v>
      </c>
      <c r="H609" s="82" t="s">
        <v>127</v>
      </c>
    </row>
    <row r="610" spans="1:8" x14ac:dyDescent="0.3">
      <c r="A610" s="83">
        <v>45800</v>
      </c>
      <c r="B610" s="84">
        <v>2025</v>
      </c>
      <c r="C610" s="84" t="s">
        <v>237</v>
      </c>
      <c r="D610" s="84">
        <v>5</v>
      </c>
      <c r="E610" s="84" t="s">
        <v>239</v>
      </c>
      <c r="F610" s="84">
        <v>21</v>
      </c>
      <c r="G610" s="84">
        <v>23</v>
      </c>
      <c r="H610" s="84" t="s">
        <v>129</v>
      </c>
    </row>
    <row r="611" spans="1:8" x14ac:dyDescent="0.3">
      <c r="A611" s="81">
        <v>45801</v>
      </c>
      <c r="B611" s="82">
        <v>2025</v>
      </c>
      <c r="C611" s="82" t="s">
        <v>237</v>
      </c>
      <c r="D611" s="82">
        <v>5</v>
      </c>
      <c r="E611" s="82" t="s">
        <v>239</v>
      </c>
      <c r="F611" s="82">
        <v>21</v>
      </c>
      <c r="G611" s="82">
        <v>24</v>
      </c>
      <c r="H611" s="82" t="s">
        <v>131</v>
      </c>
    </row>
    <row r="612" spans="1:8" x14ac:dyDescent="0.3">
      <c r="A612" s="83">
        <v>45802</v>
      </c>
      <c r="B612" s="84">
        <v>2025</v>
      </c>
      <c r="C612" s="84" t="s">
        <v>237</v>
      </c>
      <c r="D612" s="84">
        <v>5</v>
      </c>
      <c r="E612" s="84" t="s">
        <v>239</v>
      </c>
      <c r="F612" s="84">
        <v>21</v>
      </c>
      <c r="G612" s="84">
        <v>25</v>
      </c>
      <c r="H612" s="84" t="s">
        <v>133</v>
      </c>
    </row>
    <row r="613" spans="1:8" x14ac:dyDescent="0.3">
      <c r="A613" s="81">
        <v>45803</v>
      </c>
      <c r="B613" s="82">
        <v>2025</v>
      </c>
      <c r="C613" s="82" t="s">
        <v>237</v>
      </c>
      <c r="D613" s="82">
        <v>5</v>
      </c>
      <c r="E613" s="82" t="s">
        <v>239</v>
      </c>
      <c r="F613" s="82">
        <v>22</v>
      </c>
      <c r="G613" s="82">
        <v>26</v>
      </c>
      <c r="H613" s="82" t="s">
        <v>121</v>
      </c>
    </row>
    <row r="614" spans="1:8" x14ac:dyDescent="0.3">
      <c r="A614" s="83">
        <v>45804</v>
      </c>
      <c r="B614" s="84">
        <v>2025</v>
      </c>
      <c r="C614" s="84" t="s">
        <v>237</v>
      </c>
      <c r="D614" s="84">
        <v>5</v>
      </c>
      <c r="E614" s="84" t="s">
        <v>239</v>
      </c>
      <c r="F614" s="84">
        <v>22</v>
      </c>
      <c r="G614" s="84">
        <v>27</v>
      </c>
      <c r="H614" s="84" t="s">
        <v>123</v>
      </c>
    </row>
    <row r="615" spans="1:8" x14ac:dyDescent="0.3">
      <c r="A615" s="81">
        <v>45805</v>
      </c>
      <c r="B615" s="82">
        <v>2025</v>
      </c>
      <c r="C615" s="82" t="s">
        <v>237</v>
      </c>
      <c r="D615" s="82">
        <v>5</v>
      </c>
      <c r="E615" s="82" t="s">
        <v>239</v>
      </c>
      <c r="F615" s="82">
        <v>22</v>
      </c>
      <c r="G615" s="82">
        <v>28</v>
      </c>
      <c r="H615" s="82" t="s">
        <v>125</v>
      </c>
    </row>
    <row r="616" spans="1:8" x14ac:dyDescent="0.3">
      <c r="A616" s="83">
        <v>45806</v>
      </c>
      <c r="B616" s="84">
        <v>2025</v>
      </c>
      <c r="C616" s="84" t="s">
        <v>237</v>
      </c>
      <c r="D616" s="84">
        <v>5</v>
      </c>
      <c r="E616" s="84" t="s">
        <v>239</v>
      </c>
      <c r="F616" s="84">
        <v>22</v>
      </c>
      <c r="G616" s="84">
        <v>29</v>
      </c>
      <c r="H616" s="84" t="s">
        <v>127</v>
      </c>
    </row>
    <row r="617" spans="1:8" x14ac:dyDescent="0.3">
      <c r="A617" s="81">
        <v>45807</v>
      </c>
      <c r="B617" s="82">
        <v>2025</v>
      </c>
      <c r="C617" s="82" t="s">
        <v>237</v>
      </c>
      <c r="D617" s="82">
        <v>5</v>
      </c>
      <c r="E617" s="82" t="s">
        <v>239</v>
      </c>
      <c r="F617" s="82">
        <v>22</v>
      </c>
      <c r="G617" s="82">
        <v>30</v>
      </c>
      <c r="H617" s="82" t="s">
        <v>129</v>
      </c>
    </row>
    <row r="618" spans="1:8" x14ac:dyDescent="0.3">
      <c r="A618" s="83">
        <v>45808</v>
      </c>
      <c r="B618" s="84">
        <v>2025</v>
      </c>
      <c r="C618" s="84" t="s">
        <v>237</v>
      </c>
      <c r="D618" s="84">
        <v>5</v>
      </c>
      <c r="E618" s="84" t="s">
        <v>239</v>
      </c>
      <c r="F618" s="84">
        <v>22</v>
      </c>
      <c r="G618" s="84">
        <v>31</v>
      </c>
      <c r="H618" s="84" t="s">
        <v>131</v>
      </c>
    </row>
    <row r="619" spans="1:8" x14ac:dyDescent="0.3">
      <c r="A619" s="81">
        <v>45809</v>
      </c>
      <c r="B619" s="82">
        <v>2025</v>
      </c>
      <c r="C619" s="82" t="s">
        <v>237</v>
      </c>
      <c r="D619" s="82">
        <v>6</v>
      </c>
      <c r="E619" s="82" t="s">
        <v>240</v>
      </c>
      <c r="F619" s="82">
        <v>22</v>
      </c>
      <c r="G619" s="82">
        <v>1</v>
      </c>
      <c r="H619" s="82" t="s">
        <v>133</v>
      </c>
    </row>
    <row r="620" spans="1:8" x14ac:dyDescent="0.3">
      <c r="A620" s="83">
        <v>45810</v>
      </c>
      <c r="B620" s="84">
        <v>2025</v>
      </c>
      <c r="C620" s="84" t="s">
        <v>237</v>
      </c>
      <c r="D620" s="84">
        <v>6</v>
      </c>
      <c r="E620" s="84" t="s">
        <v>240</v>
      </c>
      <c r="F620" s="84">
        <v>23</v>
      </c>
      <c r="G620" s="84">
        <v>2</v>
      </c>
      <c r="H620" s="84" t="s">
        <v>121</v>
      </c>
    </row>
    <row r="621" spans="1:8" x14ac:dyDescent="0.3">
      <c r="A621" s="81">
        <v>45811</v>
      </c>
      <c r="B621" s="82">
        <v>2025</v>
      </c>
      <c r="C621" s="82" t="s">
        <v>237</v>
      </c>
      <c r="D621" s="82">
        <v>6</v>
      </c>
      <c r="E621" s="82" t="s">
        <v>240</v>
      </c>
      <c r="F621" s="82">
        <v>23</v>
      </c>
      <c r="G621" s="82">
        <v>3</v>
      </c>
      <c r="H621" s="82" t="s">
        <v>123</v>
      </c>
    </row>
    <row r="622" spans="1:8" x14ac:dyDescent="0.3">
      <c r="A622" s="83">
        <v>45812</v>
      </c>
      <c r="B622" s="84">
        <v>2025</v>
      </c>
      <c r="C622" s="84" t="s">
        <v>237</v>
      </c>
      <c r="D622" s="84">
        <v>6</v>
      </c>
      <c r="E622" s="84" t="s">
        <v>240</v>
      </c>
      <c r="F622" s="84">
        <v>23</v>
      </c>
      <c r="G622" s="84">
        <v>4</v>
      </c>
      <c r="H622" s="84" t="s">
        <v>125</v>
      </c>
    </row>
    <row r="623" spans="1:8" x14ac:dyDescent="0.3">
      <c r="A623" s="81">
        <v>45813</v>
      </c>
      <c r="B623" s="82">
        <v>2025</v>
      </c>
      <c r="C623" s="82" t="s">
        <v>237</v>
      </c>
      <c r="D623" s="82">
        <v>6</v>
      </c>
      <c r="E623" s="82" t="s">
        <v>240</v>
      </c>
      <c r="F623" s="82">
        <v>23</v>
      </c>
      <c r="G623" s="82">
        <v>5</v>
      </c>
      <c r="H623" s="82" t="s">
        <v>127</v>
      </c>
    </row>
    <row r="624" spans="1:8" x14ac:dyDescent="0.3">
      <c r="A624" s="83">
        <v>45814</v>
      </c>
      <c r="B624" s="84">
        <v>2025</v>
      </c>
      <c r="C624" s="84" t="s">
        <v>237</v>
      </c>
      <c r="D624" s="84">
        <v>6</v>
      </c>
      <c r="E624" s="84" t="s">
        <v>240</v>
      </c>
      <c r="F624" s="84">
        <v>23</v>
      </c>
      <c r="G624" s="84">
        <v>6</v>
      </c>
      <c r="H624" s="84" t="s">
        <v>129</v>
      </c>
    </row>
    <row r="625" spans="1:8" x14ac:dyDescent="0.3">
      <c r="A625" s="81">
        <v>45815</v>
      </c>
      <c r="B625" s="82">
        <v>2025</v>
      </c>
      <c r="C625" s="82" t="s">
        <v>237</v>
      </c>
      <c r="D625" s="82">
        <v>6</v>
      </c>
      <c r="E625" s="82" t="s">
        <v>240</v>
      </c>
      <c r="F625" s="82">
        <v>23</v>
      </c>
      <c r="G625" s="82">
        <v>7</v>
      </c>
      <c r="H625" s="82" t="s">
        <v>131</v>
      </c>
    </row>
    <row r="626" spans="1:8" x14ac:dyDescent="0.3">
      <c r="A626" s="83">
        <v>45816</v>
      </c>
      <c r="B626" s="84">
        <v>2025</v>
      </c>
      <c r="C626" s="84" t="s">
        <v>237</v>
      </c>
      <c r="D626" s="84">
        <v>6</v>
      </c>
      <c r="E626" s="84" t="s">
        <v>240</v>
      </c>
      <c r="F626" s="84">
        <v>23</v>
      </c>
      <c r="G626" s="84">
        <v>8</v>
      </c>
      <c r="H626" s="84" t="s">
        <v>133</v>
      </c>
    </row>
    <row r="627" spans="1:8" x14ac:dyDescent="0.3">
      <c r="A627" s="81">
        <v>45817</v>
      </c>
      <c r="B627" s="82">
        <v>2025</v>
      </c>
      <c r="C627" s="82" t="s">
        <v>237</v>
      </c>
      <c r="D627" s="82">
        <v>6</v>
      </c>
      <c r="E627" s="82" t="s">
        <v>240</v>
      </c>
      <c r="F627" s="82">
        <v>24</v>
      </c>
      <c r="G627" s="82">
        <v>9</v>
      </c>
      <c r="H627" s="82" t="s">
        <v>121</v>
      </c>
    </row>
    <row r="628" spans="1:8" x14ac:dyDescent="0.3">
      <c r="A628" s="83">
        <v>45818</v>
      </c>
      <c r="B628" s="84">
        <v>2025</v>
      </c>
      <c r="C628" s="84" t="s">
        <v>237</v>
      </c>
      <c r="D628" s="84">
        <v>6</v>
      </c>
      <c r="E628" s="84" t="s">
        <v>240</v>
      </c>
      <c r="F628" s="84">
        <v>24</v>
      </c>
      <c r="G628" s="84">
        <v>10</v>
      </c>
      <c r="H628" s="84" t="s">
        <v>123</v>
      </c>
    </row>
    <row r="629" spans="1:8" x14ac:dyDescent="0.3">
      <c r="A629" s="81">
        <v>45819</v>
      </c>
      <c r="B629" s="82">
        <v>2025</v>
      </c>
      <c r="C629" s="82" t="s">
        <v>237</v>
      </c>
      <c r="D629" s="82">
        <v>6</v>
      </c>
      <c r="E629" s="82" t="s">
        <v>240</v>
      </c>
      <c r="F629" s="82">
        <v>24</v>
      </c>
      <c r="G629" s="82">
        <v>11</v>
      </c>
      <c r="H629" s="82" t="s">
        <v>125</v>
      </c>
    </row>
    <row r="630" spans="1:8" x14ac:dyDescent="0.3">
      <c r="A630" s="83">
        <v>45820</v>
      </c>
      <c r="B630" s="84">
        <v>2025</v>
      </c>
      <c r="C630" s="84" t="s">
        <v>237</v>
      </c>
      <c r="D630" s="84">
        <v>6</v>
      </c>
      <c r="E630" s="84" t="s">
        <v>240</v>
      </c>
      <c r="F630" s="84">
        <v>24</v>
      </c>
      <c r="G630" s="84">
        <v>12</v>
      </c>
      <c r="H630" s="84" t="s">
        <v>127</v>
      </c>
    </row>
    <row r="631" spans="1:8" x14ac:dyDescent="0.3">
      <c r="A631" s="81">
        <v>45821</v>
      </c>
      <c r="B631" s="82">
        <v>2025</v>
      </c>
      <c r="C631" s="82" t="s">
        <v>237</v>
      </c>
      <c r="D631" s="82">
        <v>6</v>
      </c>
      <c r="E631" s="82" t="s">
        <v>240</v>
      </c>
      <c r="F631" s="82">
        <v>24</v>
      </c>
      <c r="G631" s="82">
        <v>13</v>
      </c>
      <c r="H631" s="82" t="s">
        <v>129</v>
      </c>
    </row>
    <row r="632" spans="1:8" x14ac:dyDescent="0.3">
      <c r="A632" s="83">
        <v>45822</v>
      </c>
      <c r="B632" s="84">
        <v>2025</v>
      </c>
      <c r="C632" s="84" t="s">
        <v>237</v>
      </c>
      <c r="D632" s="84">
        <v>6</v>
      </c>
      <c r="E632" s="84" t="s">
        <v>240</v>
      </c>
      <c r="F632" s="84">
        <v>24</v>
      </c>
      <c r="G632" s="84">
        <v>14</v>
      </c>
      <c r="H632" s="84" t="s">
        <v>131</v>
      </c>
    </row>
    <row r="633" spans="1:8" x14ac:dyDescent="0.3">
      <c r="A633" s="81">
        <v>45823</v>
      </c>
      <c r="B633" s="82">
        <v>2025</v>
      </c>
      <c r="C633" s="82" t="s">
        <v>237</v>
      </c>
      <c r="D633" s="82">
        <v>6</v>
      </c>
      <c r="E633" s="82" t="s">
        <v>240</v>
      </c>
      <c r="F633" s="82">
        <v>24</v>
      </c>
      <c r="G633" s="82">
        <v>15</v>
      </c>
      <c r="H633" s="82" t="s">
        <v>133</v>
      </c>
    </row>
    <row r="634" spans="1:8" x14ac:dyDescent="0.3">
      <c r="A634" s="83">
        <v>45824</v>
      </c>
      <c r="B634" s="84">
        <v>2025</v>
      </c>
      <c r="C634" s="84" t="s">
        <v>237</v>
      </c>
      <c r="D634" s="84">
        <v>6</v>
      </c>
      <c r="E634" s="84" t="s">
        <v>240</v>
      </c>
      <c r="F634" s="84">
        <v>25</v>
      </c>
      <c r="G634" s="84">
        <v>16</v>
      </c>
      <c r="H634" s="84" t="s">
        <v>121</v>
      </c>
    </row>
    <row r="635" spans="1:8" x14ac:dyDescent="0.3">
      <c r="A635" s="81">
        <v>45825</v>
      </c>
      <c r="B635" s="82">
        <v>2025</v>
      </c>
      <c r="C635" s="82" t="s">
        <v>237</v>
      </c>
      <c r="D635" s="82">
        <v>6</v>
      </c>
      <c r="E635" s="82" t="s">
        <v>240</v>
      </c>
      <c r="F635" s="82">
        <v>25</v>
      </c>
      <c r="G635" s="82">
        <v>17</v>
      </c>
      <c r="H635" s="82" t="s">
        <v>123</v>
      </c>
    </row>
    <row r="636" spans="1:8" x14ac:dyDescent="0.3">
      <c r="A636" s="83">
        <v>45826</v>
      </c>
      <c r="B636" s="84">
        <v>2025</v>
      </c>
      <c r="C636" s="84" t="s">
        <v>237</v>
      </c>
      <c r="D636" s="84">
        <v>6</v>
      </c>
      <c r="E636" s="84" t="s">
        <v>240</v>
      </c>
      <c r="F636" s="84">
        <v>25</v>
      </c>
      <c r="G636" s="84">
        <v>18</v>
      </c>
      <c r="H636" s="84" t="s">
        <v>125</v>
      </c>
    </row>
    <row r="637" spans="1:8" x14ac:dyDescent="0.3">
      <c r="A637" s="81">
        <v>45827</v>
      </c>
      <c r="B637" s="82">
        <v>2025</v>
      </c>
      <c r="C637" s="82" t="s">
        <v>237</v>
      </c>
      <c r="D637" s="82">
        <v>6</v>
      </c>
      <c r="E637" s="82" t="s">
        <v>240</v>
      </c>
      <c r="F637" s="82">
        <v>25</v>
      </c>
      <c r="G637" s="82">
        <v>19</v>
      </c>
      <c r="H637" s="82" t="s">
        <v>127</v>
      </c>
    </row>
    <row r="638" spans="1:8" x14ac:dyDescent="0.3">
      <c r="A638" s="83">
        <v>45828</v>
      </c>
      <c r="B638" s="84">
        <v>2025</v>
      </c>
      <c r="C638" s="84" t="s">
        <v>237</v>
      </c>
      <c r="D638" s="84">
        <v>6</v>
      </c>
      <c r="E638" s="84" t="s">
        <v>240</v>
      </c>
      <c r="F638" s="84">
        <v>25</v>
      </c>
      <c r="G638" s="84">
        <v>20</v>
      </c>
      <c r="H638" s="84" t="s">
        <v>129</v>
      </c>
    </row>
    <row r="639" spans="1:8" x14ac:dyDescent="0.3">
      <c r="A639" s="81">
        <v>45829</v>
      </c>
      <c r="B639" s="82">
        <v>2025</v>
      </c>
      <c r="C639" s="82" t="s">
        <v>237</v>
      </c>
      <c r="D639" s="82">
        <v>6</v>
      </c>
      <c r="E639" s="82" t="s">
        <v>240</v>
      </c>
      <c r="F639" s="82">
        <v>25</v>
      </c>
      <c r="G639" s="82">
        <v>21</v>
      </c>
      <c r="H639" s="82" t="s">
        <v>131</v>
      </c>
    </row>
    <row r="640" spans="1:8" x14ac:dyDescent="0.3">
      <c r="A640" s="83">
        <v>45830</v>
      </c>
      <c r="B640" s="84">
        <v>2025</v>
      </c>
      <c r="C640" s="84" t="s">
        <v>237</v>
      </c>
      <c r="D640" s="84">
        <v>6</v>
      </c>
      <c r="E640" s="84" t="s">
        <v>240</v>
      </c>
      <c r="F640" s="84">
        <v>25</v>
      </c>
      <c r="G640" s="84">
        <v>22</v>
      </c>
      <c r="H640" s="84" t="s">
        <v>133</v>
      </c>
    </row>
    <row r="641" spans="1:8" x14ac:dyDescent="0.3">
      <c r="A641" s="81">
        <v>45831</v>
      </c>
      <c r="B641" s="82">
        <v>2025</v>
      </c>
      <c r="C641" s="82" t="s">
        <v>237</v>
      </c>
      <c r="D641" s="82">
        <v>6</v>
      </c>
      <c r="E641" s="82" t="s">
        <v>240</v>
      </c>
      <c r="F641" s="82">
        <v>26</v>
      </c>
      <c r="G641" s="82">
        <v>23</v>
      </c>
      <c r="H641" s="82" t="s">
        <v>121</v>
      </c>
    </row>
    <row r="642" spans="1:8" x14ac:dyDescent="0.3">
      <c r="A642" s="83">
        <v>45832</v>
      </c>
      <c r="B642" s="84">
        <v>2025</v>
      </c>
      <c r="C642" s="84" t="s">
        <v>237</v>
      </c>
      <c r="D642" s="84">
        <v>6</v>
      </c>
      <c r="E642" s="84" t="s">
        <v>240</v>
      </c>
      <c r="F642" s="84">
        <v>26</v>
      </c>
      <c r="G642" s="84">
        <v>24</v>
      </c>
      <c r="H642" s="84" t="s">
        <v>123</v>
      </c>
    </row>
    <row r="643" spans="1:8" x14ac:dyDescent="0.3">
      <c r="A643" s="81">
        <v>45833</v>
      </c>
      <c r="B643" s="82">
        <v>2025</v>
      </c>
      <c r="C643" s="82" t="s">
        <v>237</v>
      </c>
      <c r="D643" s="82">
        <v>6</v>
      </c>
      <c r="E643" s="82" t="s">
        <v>240</v>
      </c>
      <c r="F643" s="82">
        <v>26</v>
      </c>
      <c r="G643" s="82">
        <v>25</v>
      </c>
      <c r="H643" s="82" t="s">
        <v>125</v>
      </c>
    </row>
    <row r="644" spans="1:8" x14ac:dyDescent="0.3">
      <c r="A644" s="83">
        <v>45834</v>
      </c>
      <c r="B644" s="84">
        <v>2025</v>
      </c>
      <c r="C644" s="84" t="s">
        <v>237</v>
      </c>
      <c r="D644" s="84">
        <v>6</v>
      </c>
      <c r="E644" s="84" t="s">
        <v>240</v>
      </c>
      <c r="F644" s="84">
        <v>26</v>
      </c>
      <c r="G644" s="84">
        <v>26</v>
      </c>
      <c r="H644" s="84" t="s">
        <v>127</v>
      </c>
    </row>
    <row r="645" spans="1:8" x14ac:dyDescent="0.3">
      <c r="A645" s="81">
        <v>45835</v>
      </c>
      <c r="B645" s="82">
        <v>2025</v>
      </c>
      <c r="C645" s="82" t="s">
        <v>237</v>
      </c>
      <c r="D645" s="82">
        <v>6</v>
      </c>
      <c r="E645" s="82" t="s">
        <v>240</v>
      </c>
      <c r="F645" s="82">
        <v>26</v>
      </c>
      <c r="G645" s="82">
        <v>27</v>
      </c>
      <c r="H645" s="82" t="s">
        <v>129</v>
      </c>
    </row>
    <row r="646" spans="1:8" x14ac:dyDescent="0.3">
      <c r="A646" s="83">
        <v>45836</v>
      </c>
      <c r="B646" s="84">
        <v>2025</v>
      </c>
      <c r="C646" s="84" t="s">
        <v>237</v>
      </c>
      <c r="D646" s="84">
        <v>6</v>
      </c>
      <c r="E646" s="84" t="s">
        <v>240</v>
      </c>
      <c r="F646" s="84">
        <v>26</v>
      </c>
      <c r="G646" s="84">
        <v>28</v>
      </c>
      <c r="H646" s="84" t="s">
        <v>131</v>
      </c>
    </row>
    <row r="647" spans="1:8" x14ac:dyDescent="0.3">
      <c r="A647" s="81">
        <v>45837</v>
      </c>
      <c r="B647" s="82">
        <v>2025</v>
      </c>
      <c r="C647" s="82" t="s">
        <v>237</v>
      </c>
      <c r="D647" s="82">
        <v>6</v>
      </c>
      <c r="E647" s="82" t="s">
        <v>240</v>
      </c>
      <c r="F647" s="82">
        <v>26</v>
      </c>
      <c r="G647" s="82">
        <v>29</v>
      </c>
      <c r="H647" s="82" t="s">
        <v>133</v>
      </c>
    </row>
    <row r="648" spans="1:8" x14ac:dyDescent="0.3">
      <c r="A648" s="83">
        <v>45838</v>
      </c>
      <c r="B648" s="84">
        <v>2025</v>
      </c>
      <c r="C648" s="84" t="s">
        <v>237</v>
      </c>
      <c r="D648" s="84">
        <v>6</v>
      </c>
      <c r="E648" s="84" t="s">
        <v>240</v>
      </c>
      <c r="F648" s="84">
        <v>27</v>
      </c>
      <c r="G648" s="84">
        <v>30</v>
      </c>
      <c r="H648" s="84" t="s">
        <v>121</v>
      </c>
    </row>
    <row r="649" spans="1:8" x14ac:dyDescent="0.3">
      <c r="A649" s="81">
        <v>45839</v>
      </c>
      <c r="B649" s="82">
        <v>2025</v>
      </c>
      <c r="C649" s="82" t="s">
        <v>227</v>
      </c>
      <c r="D649" s="82">
        <v>7</v>
      </c>
      <c r="E649" s="82" t="s">
        <v>241</v>
      </c>
      <c r="F649" s="82">
        <v>27</v>
      </c>
      <c r="G649" s="82">
        <v>1</v>
      </c>
      <c r="H649" s="82" t="s">
        <v>123</v>
      </c>
    </row>
    <row r="650" spans="1:8" x14ac:dyDescent="0.3">
      <c r="A650" s="83">
        <v>45840</v>
      </c>
      <c r="B650" s="84">
        <v>2025</v>
      </c>
      <c r="C650" s="84" t="s">
        <v>227</v>
      </c>
      <c r="D650" s="84">
        <v>7</v>
      </c>
      <c r="E650" s="84" t="s">
        <v>241</v>
      </c>
      <c r="F650" s="84">
        <v>27</v>
      </c>
      <c r="G650" s="84">
        <v>2</v>
      </c>
      <c r="H650" s="84" t="s">
        <v>125</v>
      </c>
    </row>
    <row r="651" spans="1:8" x14ac:dyDescent="0.3">
      <c r="A651" s="81">
        <v>45841</v>
      </c>
      <c r="B651" s="82">
        <v>2025</v>
      </c>
      <c r="C651" s="82" t="s">
        <v>227</v>
      </c>
      <c r="D651" s="82">
        <v>7</v>
      </c>
      <c r="E651" s="82" t="s">
        <v>241</v>
      </c>
      <c r="F651" s="82">
        <v>27</v>
      </c>
      <c r="G651" s="82">
        <v>3</v>
      </c>
      <c r="H651" s="82" t="s">
        <v>127</v>
      </c>
    </row>
    <row r="652" spans="1:8" x14ac:dyDescent="0.3">
      <c r="A652" s="83">
        <v>45842</v>
      </c>
      <c r="B652" s="84">
        <v>2025</v>
      </c>
      <c r="C652" s="84" t="s">
        <v>227</v>
      </c>
      <c r="D652" s="84">
        <v>7</v>
      </c>
      <c r="E652" s="84" t="s">
        <v>241</v>
      </c>
      <c r="F652" s="84">
        <v>27</v>
      </c>
      <c r="G652" s="84">
        <v>4</v>
      </c>
      <c r="H652" s="84" t="s">
        <v>129</v>
      </c>
    </row>
    <row r="653" spans="1:8" x14ac:dyDescent="0.3">
      <c r="A653" s="81">
        <v>45843</v>
      </c>
      <c r="B653" s="82">
        <v>2025</v>
      </c>
      <c r="C653" s="82" t="s">
        <v>227</v>
      </c>
      <c r="D653" s="82">
        <v>7</v>
      </c>
      <c r="E653" s="82" t="s">
        <v>241</v>
      </c>
      <c r="F653" s="82">
        <v>27</v>
      </c>
      <c r="G653" s="82">
        <v>5</v>
      </c>
      <c r="H653" s="82" t="s">
        <v>131</v>
      </c>
    </row>
    <row r="654" spans="1:8" x14ac:dyDescent="0.3">
      <c r="A654" s="83">
        <v>45844</v>
      </c>
      <c r="B654" s="84">
        <v>2025</v>
      </c>
      <c r="C654" s="84" t="s">
        <v>227</v>
      </c>
      <c r="D654" s="84">
        <v>7</v>
      </c>
      <c r="E654" s="84" t="s">
        <v>241</v>
      </c>
      <c r="F654" s="84">
        <v>27</v>
      </c>
      <c r="G654" s="84">
        <v>6</v>
      </c>
      <c r="H654" s="84" t="s">
        <v>133</v>
      </c>
    </row>
    <row r="655" spans="1:8" x14ac:dyDescent="0.3">
      <c r="A655" s="81">
        <v>45845</v>
      </c>
      <c r="B655" s="82">
        <v>2025</v>
      </c>
      <c r="C655" s="82" t="s">
        <v>227</v>
      </c>
      <c r="D655" s="82">
        <v>7</v>
      </c>
      <c r="E655" s="82" t="s">
        <v>241</v>
      </c>
      <c r="F655" s="82">
        <v>28</v>
      </c>
      <c r="G655" s="82">
        <v>7</v>
      </c>
      <c r="H655" s="82" t="s">
        <v>121</v>
      </c>
    </row>
    <row r="656" spans="1:8" x14ac:dyDescent="0.3">
      <c r="A656" s="83">
        <v>45846</v>
      </c>
      <c r="B656" s="84">
        <v>2025</v>
      </c>
      <c r="C656" s="84" t="s">
        <v>227</v>
      </c>
      <c r="D656" s="84">
        <v>7</v>
      </c>
      <c r="E656" s="84" t="s">
        <v>241</v>
      </c>
      <c r="F656" s="84">
        <v>28</v>
      </c>
      <c r="G656" s="84">
        <v>8</v>
      </c>
      <c r="H656" s="84" t="s">
        <v>123</v>
      </c>
    </row>
    <row r="657" spans="1:8" x14ac:dyDescent="0.3">
      <c r="A657" s="81">
        <v>45847</v>
      </c>
      <c r="B657" s="82">
        <v>2025</v>
      </c>
      <c r="C657" s="82" t="s">
        <v>227</v>
      </c>
      <c r="D657" s="82">
        <v>7</v>
      </c>
      <c r="E657" s="82" t="s">
        <v>241</v>
      </c>
      <c r="F657" s="82">
        <v>28</v>
      </c>
      <c r="G657" s="82">
        <v>9</v>
      </c>
      <c r="H657" s="82" t="s">
        <v>125</v>
      </c>
    </row>
    <row r="658" spans="1:8" x14ac:dyDescent="0.3">
      <c r="A658" s="83">
        <v>45848</v>
      </c>
      <c r="B658" s="84">
        <v>2025</v>
      </c>
      <c r="C658" s="84" t="s">
        <v>227</v>
      </c>
      <c r="D658" s="84">
        <v>7</v>
      </c>
      <c r="E658" s="84" t="s">
        <v>241</v>
      </c>
      <c r="F658" s="84">
        <v>28</v>
      </c>
      <c r="G658" s="84">
        <v>10</v>
      </c>
      <c r="H658" s="84" t="s">
        <v>127</v>
      </c>
    </row>
    <row r="659" spans="1:8" x14ac:dyDescent="0.3">
      <c r="A659" s="81">
        <v>45849</v>
      </c>
      <c r="B659" s="82">
        <v>2025</v>
      </c>
      <c r="C659" s="82" t="s">
        <v>227</v>
      </c>
      <c r="D659" s="82">
        <v>7</v>
      </c>
      <c r="E659" s="82" t="s">
        <v>241</v>
      </c>
      <c r="F659" s="82">
        <v>28</v>
      </c>
      <c r="G659" s="82">
        <v>11</v>
      </c>
      <c r="H659" s="82" t="s">
        <v>129</v>
      </c>
    </row>
    <row r="660" spans="1:8" x14ac:dyDescent="0.3">
      <c r="A660" s="83">
        <v>45850</v>
      </c>
      <c r="B660" s="84">
        <v>2025</v>
      </c>
      <c r="C660" s="84" t="s">
        <v>227</v>
      </c>
      <c r="D660" s="84">
        <v>7</v>
      </c>
      <c r="E660" s="84" t="s">
        <v>241</v>
      </c>
      <c r="F660" s="84">
        <v>28</v>
      </c>
      <c r="G660" s="84">
        <v>12</v>
      </c>
      <c r="H660" s="84" t="s">
        <v>131</v>
      </c>
    </row>
    <row r="661" spans="1:8" x14ac:dyDescent="0.3">
      <c r="A661" s="81">
        <v>45851</v>
      </c>
      <c r="B661" s="82">
        <v>2025</v>
      </c>
      <c r="C661" s="82" t="s">
        <v>227</v>
      </c>
      <c r="D661" s="82">
        <v>7</v>
      </c>
      <c r="E661" s="82" t="s">
        <v>241</v>
      </c>
      <c r="F661" s="82">
        <v>28</v>
      </c>
      <c r="G661" s="82">
        <v>13</v>
      </c>
      <c r="H661" s="82" t="s">
        <v>133</v>
      </c>
    </row>
    <row r="662" spans="1:8" x14ac:dyDescent="0.3">
      <c r="A662" s="83">
        <v>45852</v>
      </c>
      <c r="B662" s="84">
        <v>2025</v>
      </c>
      <c r="C662" s="84" t="s">
        <v>227</v>
      </c>
      <c r="D662" s="84">
        <v>7</v>
      </c>
      <c r="E662" s="84" t="s">
        <v>241</v>
      </c>
      <c r="F662" s="84">
        <v>29</v>
      </c>
      <c r="G662" s="84">
        <v>14</v>
      </c>
      <c r="H662" s="84" t="s">
        <v>121</v>
      </c>
    </row>
    <row r="663" spans="1:8" x14ac:dyDescent="0.3">
      <c r="A663" s="81">
        <v>45853</v>
      </c>
      <c r="B663" s="82">
        <v>2025</v>
      </c>
      <c r="C663" s="82" t="s">
        <v>227</v>
      </c>
      <c r="D663" s="82">
        <v>7</v>
      </c>
      <c r="E663" s="82" t="s">
        <v>241</v>
      </c>
      <c r="F663" s="82">
        <v>29</v>
      </c>
      <c r="G663" s="82">
        <v>15</v>
      </c>
      <c r="H663" s="82" t="s">
        <v>123</v>
      </c>
    </row>
    <row r="664" spans="1:8" x14ac:dyDescent="0.3">
      <c r="A664" s="83">
        <v>45854</v>
      </c>
      <c r="B664" s="84">
        <v>2025</v>
      </c>
      <c r="C664" s="84" t="s">
        <v>227</v>
      </c>
      <c r="D664" s="84">
        <v>7</v>
      </c>
      <c r="E664" s="84" t="s">
        <v>241</v>
      </c>
      <c r="F664" s="84">
        <v>29</v>
      </c>
      <c r="G664" s="84">
        <v>16</v>
      </c>
      <c r="H664" s="84" t="s">
        <v>125</v>
      </c>
    </row>
    <row r="665" spans="1:8" x14ac:dyDescent="0.3">
      <c r="A665" s="81">
        <v>45855</v>
      </c>
      <c r="B665" s="82">
        <v>2025</v>
      </c>
      <c r="C665" s="82" t="s">
        <v>227</v>
      </c>
      <c r="D665" s="82">
        <v>7</v>
      </c>
      <c r="E665" s="82" t="s">
        <v>241</v>
      </c>
      <c r="F665" s="82">
        <v>29</v>
      </c>
      <c r="G665" s="82">
        <v>17</v>
      </c>
      <c r="H665" s="82" t="s">
        <v>127</v>
      </c>
    </row>
    <row r="666" spans="1:8" x14ac:dyDescent="0.3">
      <c r="A666" s="83">
        <v>45856</v>
      </c>
      <c r="B666" s="84">
        <v>2025</v>
      </c>
      <c r="C666" s="84" t="s">
        <v>227</v>
      </c>
      <c r="D666" s="84">
        <v>7</v>
      </c>
      <c r="E666" s="84" t="s">
        <v>241</v>
      </c>
      <c r="F666" s="84">
        <v>29</v>
      </c>
      <c r="G666" s="84">
        <v>18</v>
      </c>
      <c r="H666" s="84" t="s">
        <v>129</v>
      </c>
    </row>
    <row r="667" spans="1:8" x14ac:dyDescent="0.3">
      <c r="A667" s="81">
        <v>45857</v>
      </c>
      <c r="B667" s="82">
        <v>2025</v>
      </c>
      <c r="C667" s="82" t="s">
        <v>227</v>
      </c>
      <c r="D667" s="82">
        <v>7</v>
      </c>
      <c r="E667" s="82" t="s">
        <v>241</v>
      </c>
      <c r="F667" s="82">
        <v>29</v>
      </c>
      <c r="G667" s="82">
        <v>19</v>
      </c>
      <c r="H667" s="82" t="s">
        <v>131</v>
      </c>
    </row>
    <row r="668" spans="1:8" x14ac:dyDescent="0.3">
      <c r="A668" s="83">
        <v>45858</v>
      </c>
      <c r="B668" s="84">
        <v>2025</v>
      </c>
      <c r="C668" s="84" t="s">
        <v>227</v>
      </c>
      <c r="D668" s="84">
        <v>7</v>
      </c>
      <c r="E668" s="84" t="s">
        <v>241</v>
      </c>
      <c r="F668" s="84">
        <v>29</v>
      </c>
      <c r="G668" s="84">
        <v>20</v>
      </c>
      <c r="H668" s="84" t="s">
        <v>133</v>
      </c>
    </row>
    <row r="669" spans="1:8" x14ac:dyDescent="0.3">
      <c r="A669" s="81">
        <v>45859</v>
      </c>
      <c r="B669" s="82">
        <v>2025</v>
      </c>
      <c r="C669" s="82" t="s">
        <v>227</v>
      </c>
      <c r="D669" s="82">
        <v>7</v>
      </c>
      <c r="E669" s="82" t="s">
        <v>241</v>
      </c>
      <c r="F669" s="82">
        <v>30</v>
      </c>
      <c r="G669" s="82">
        <v>21</v>
      </c>
      <c r="H669" s="82" t="s">
        <v>121</v>
      </c>
    </row>
    <row r="670" spans="1:8" x14ac:dyDescent="0.3">
      <c r="A670" s="83">
        <v>45860</v>
      </c>
      <c r="B670" s="84">
        <v>2025</v>
      </c>
      <c r="C670" s="84" t="s">
        <v>227</v>
      </c>
      <c r="D670" s="84">
        <v>7</v>
      </c>
      <c r="E670" s="84" t="s">
        <v>241</v>
      </c>
      <c r="F670" s="84">
        <v>30</v>
      </c>
      <c r="G670" s="84">
        <v>22</v>
      </c>
      <c r="H670" s="84" t="s">
        <v>123</v>
      </c>
    </row>
    <row r="671" spans="1:8" x14ac:dyDescent="0.3">
      <c r="A671" s="81">
        <v>45861</v>
      </c>
      <c r="B671" s="82">
        <v>2025</v>
      </c>
      <c r="C671" s="82" t="s">
        <v>227</v>
      </c>
      <c r="D671" s="82">
        <v>7</v>
      </c>
      <c r="E671" s="82" t="s">
        <v>241</v>
      </c>
      <c r="F671" s="82">
        <v>30</v>
      </c>
      <c r="G671" s="82">
        <v>23</v>
      </c>
      <c r="H671" s="82" t="s">
        <v>125</v>
      </c>
    </row>
    <row r="672" spans="1:8" x14ac:dyDescent="0.3">
      <c r="A672" s="83">
        <v>45862</v>
      </c>
      <c r="B672" s="84">
        <v>2025</v>
      </c>
      <c r="C672" s="84" t="s">
        <v>227</v>
      </c>
      <c r="D672" s="84">
        <v>7</v>
      </c>
      <c r="E672" s="84" t="s">
        <v>241</v>
      </c>
      <c r="F672" s="84">
        <v>30</v>
      </c>
      <c r="G672" s="84">
        <v>24</v>
      </c>
      <c r="H672" s="84" t="s">
        <v>127</v>
      </c>
    </row>
    <row r="673" spans="1:8" x14ac:dyDescent="0.3">
      <c r="A673" s="81">
        <v>45863</v>
      </c>
      <c r="B673" s="82">
        <v>2025</v>
      </c>
      <c r="C673" s="82" t="s">
        <v>227</v>
      </c>
      <c r="D673" s="82">
        <v>7</v>
      </c>
      <c r="E673" s="82" t="s">
        <v>241</v>
      </c>
      <c r="F673" s="82">
        <v>30</v>
      </c>
      <c r="G673" s="82">
        <v>25</v>
      </c>
      <c r="H673" s="82" t="s">
        <v>129</v>
      </c>
    </row>
    <row r="674" spans="1:8" x14ac:dyDescent="0.3">
      <c r="A674" s="83">
        <v>45864</v>
      </c>
      <c r="B674" s="84">
        <v>2025</v>
      </c>
      <c r="C674" s="84" t="s">
        <v>227</v>
      </c>
      <c r="D674" s="84">
        <v>7</v>
      </c>
      <c r="E674" s="84" t="s">
        <v>241</v>
      </c>
      <c r="F674" s="84">
        <v>30</v>
      </c>
      <c r="G674" s="84">
        <v>26</v>
      </c>
      <c r="H674" s="84" t="s">
        <v>131</v>
      </c>
    </row>
    <row r="675" spans="1:8" x14ac:dyDescent="0.3">
      <c r="A675" s="81">
        <v>45865</v>
      </c>
      <c r="B675" s="82">
        <v>2025</v>
      </c>
      <c r="C675" s="82" t="s">
        <v>227</v>
      </c>
      <c r="D675" s="82">
        <v>7</v>
      </c>
      <c r="E675" s="82" t="s">
        <v>241</v>
      </c>
      <c r="F675" s="82">
        <v>30</v>
      </c>
      <c r="G675" s="82">
        <v>27</v>
      </c>
      <c r="H675" s="82" t="s">
        <v>133</v>
      </c>
    </row>
    <row r="676" spans="1:8" x14ac:dyDescent="0.3">
      <c r="A676" s="83">
        <v>45866</v>
      </c>
      <c r="B676" s="84">
        <v>2025</v>
      </c>
      <c r="C676" s="84" t="s">
        <v>227</v>
      </c>
      <c r="D676" s="84">
        <v>7</v>
      </c>
      <c r="E676" s="84" t="s">
        <v>241</v>
      </c>
      <c r="F676" s="84">
        <v>31</v>
      </c>
      <c r="G676" s="84">
        <v>28</v>
      </c>
      <c r="H676" s="84" t="s">
        <v>121</v>
      </c>
    </row>
    <row r="677" spans="1:8" x14ac:dyDescent="0.3">
      <c r="A677" s="81">
        <v>45867</v>
      </c>
      <c r="B677" s="82">
        <v>2025</v>
      </c>
      <c r="C677" s="82" t="s">
        <v>227</v>
      </c>
      <c r="D677" s="82">
        <v>7</v>
      </c>
      <c r="E677" s="82" t="s">
        <v>241</v>
      </c>
      <c r="F677" s="82">
        <v>31</v>
      </c>
      <c r="G677" s="82">
        <v>29</v>
      </c>
      <c r="H677" s="82" t="s">
        <v>123</v>
      </c>
    </row>
    <row r="678" spans="1:8" x14ac:dyDescent="0.3">
      <c r="A678" s="83">
        <v>45868</v>
      </c>
      <c r="B678" s="84">
        <v>2025</v>
      </c>
      <c r="C678" s="84" t="s">
        <v>227</v>
      </c>
      <c r="D678" s="84">
        <v>7</v>
      </c>
      <c r="E678" s="84" t="s">
        <v>241</v>
      </c>
      <c r="F678" s="84">
        <v>31</v>
      </c>
      <c r="G678" s="84">
        <v>30</v>
      </c>
      <c r="H678" s="84" t="s">
        <v>125</v>
      </c>
    </row>
    <row r="679" spans="1:8" x14ac:dyDescent="0.3">
      <c r="A679" s="81">
        <v>45869</v>
      </c>
      <c r="B679" s="82">
        <v>2025</v>
      </c>
      <c r="C679" s="82" t="s">
        <v>227</v>
      </c>
      <c r="D679" s="82">
        <v>7</v>
      </c>
      <c r="E679" s="82" t="s">
        <v>241</v>
      </c>
      <c r="F679" s="82">
        <v>31</v>
      </c>
      <c r="G679" s="82">
        <v>31</v>
      </c>
      <c r="H679" s="82" t="s">
        <v>127</v>
      </c>
    </row>
    <row r="680" spans="1:8" x14ac:dyDescent="0.3">
      <c r="A680" s="83">
        <v>45870</v>
      </c>
      <c r="B680" s="84">
        <v>2025</v>
      </c>
      <c r="C680" s="84" t="s">
        <v>227</v>
      </c>
      <c r="D680" s="84">
        <v>8</v>
      </c>
      <c r="E680" s="84" t="s">
        <v>242</v>
      </c>
      <c r="F680" s="84">
        <v>31</v>
      </c>
      <c r="G680" s="84">
        <v>1</v>
      </c>
      <c r="H680" s="84" t="s">
        <v>129</v>
      </c>
    </row>
    <row r="681" spans="1:8" x14ac:dyDescent="0.3">
      <c r="A681" s="81">
        <v>45871</v>
      </c>
      <c r="B681" s="82">
        <v>2025</v>
      </c>
      <c r="C681" s="82" t="s">
        <v>227</v>
      </c>
      <c r="D681" s="82">
        <v>8</v>
      </c>
      <c r="E681" s="82" t="s">
        <v>242</v>
      </c>
      <c r="F681" s="82">
        <v>31</v>
      </c>
      <c r="G681" s="82">
        <v>2</v>
      </c>
      <c r="H681" s="82" t="s">
        <v>131</v>
      </c>
    </row>
    <row r="682" spans="1:8" x14ac:dyDescent="0.3">
      <c r="A682" s="83">
        <v>45872</v>
      </c>
      <c r="B682" s="84">
        <v>2025</v>
      </c>
      <c r="C682" s="84" t="s">
        <v>227</v>
      </c>
      <c r="D682" s="84">
        <v>8</v>
      </c>
      <c r="E682" s="84" t="s">
        <v>242</v>
      </c>
      <c r="F682" s="84">
        <v>31</v>
      </c>
      <c r="G682" s="84">
        <v>3</v>
      </c>
      <c r="H682" s="84" t="s">
        <v>133</v>
      </c>
    </row>
    <row r="683" spans="1:8" x14ac:dyDescent="0.3">
      <c r="A683" s="81">
        <v>45873</v>
      </c>
      <c r="B683" s="82">
        <v>2025</v>
      </c>
      <c r="C683" s="82" t="s">
        <v>227</v>
      </c>
      <c r="D683" s="82">
        <v>8</v>
      </c>
      <c r="E683" s="82" t="s">
        <v>242</v>
      </c>
      <c r="F683" s="82">
        <v>32</v>
      </c>
      <c r="G683" s="82">
        <v>4</v>
      </c>
      <c r="H683" s="82" t="s">
        <v>121</v>
      </c>
    </row>
    <row r="684" spans="1:8" x14ac:dyDescent="0.3">
      <c r="A684" s="83">
        <v>45874</v>
      </c>
      <c r="B684" s="84">
        <v>2025</v>
      </c>
      <c r="C684" s="84" t="s">
        <v>227</v>
      </c>
      <c r="D684" s="84">
        <v>8</v>
      </c>
      <c r="E684" s="84" t="s">
        <v>242</v>
      </c>
      <c r="F684" s="84">
        <v>32</v>
      </c>
      <c r="G684" s="84">
        <v>5</v>
      </c>
      <c r="H684" s="84" t="s">
        <v>123</v>
      </c>
    </row>
    <row r="685" spans="1:8" x14ac:dyDescent="0.3">
      <c r="A685" s="81">
        <v>45875</v>
      </c>
      <c r="B685" s="82">
        <v>2025</v>
      </c>
      <c r="C685" s="82" t="s">
        <v>227</v>
      </c>
      <c r="D685" s="82">
        <v>8</v>
      </c>
      <c r="E685" s="82" t="s">
        <v>242</v>
      </c>
      <c r="F685" s="82">
        <v>32</v>
      </c>
      <c r="G685" s="82">
        <v>6</v>
      </c>
      <c r="H685" s="82" t="s">
        <v>125</v>
      </c>
    </row>
    <row r="686" spans="1:8" x14ac:dyDescent="0.3">
      <c r="A686" s="83">
        <v>45876</v>
      </c>
      <c r="B686" s="84">
        <v>2025</v>
      </c>
      <c r="C686" s="84" t="s">
        <v>227</v>
      </c>
      <c r="D686" s="84">
        <v>8</v>
      </c>
      <c r="E686" s="84" t="s">
        <v>242</v>
      </c>
      <c r="F686" s="84">
        <v>32</v>
      </c>
      <c r="G686" s="84">
        <v>7</v>
      </c>
      <c r="H686" s="84" t="s">
        <v>127</v>
      </c>
    </row>
    <row r="687" spans="1:8" x14ac:dyDescent="0.3">
      <c r="A687" s="81">
        <v>45877</v>
      </c>
      <c r="B687" s="82">
        <v>2025</v>
      </c>
      <c r="C687" s="82" t="s">
        <v>227</v>
      </c>
      <c r="D687" s="82">
        <v>8</v>
      </c>
      <c r="E687" s="82" t="s">
        <v>242</v>
      </c>
      <c r="F687" s="82">
        <v>32</v>
      </c>
      <c r="G687" s="82">
        <v>8</v>
      </c>
      <c r="H687" s="82" t="s">
        <v>129</v>
      </c>
    </row>
    <row r="688" spans="1:8" x14ac:dyDescent="0.3">
      <c r="A688" s="83">
        <v>45878</v>
      </c>
      <c r="B688" s="84">
        <v>2025</v>
      </c>
      <c r="C688" s="84" t="s">
        <v>227</v>
      </c>
      <c r="D688" s="84">
        <v>8</v>
      </c>
      <c r="E688" s="84" t="s">
        <v>242</v>
      </c>
      <c r="F688" s="84">
        <v>32</v>
      </c>
      <c r="G688" s="84">
        <v>9</v>
      </c>
      <c r="H688" s="84" t="s">
        <v>131</v>
      </c>
    </row>
    <row r="689" spans="1:8" x14ac:dyDescent="0.3">
      <c r="A689" s="81">
        <v>45879</v>
      </c>
      <c r="B689" s="82">
        <v>2025</v>
      </c>
      <c r="C689" s="82" t="s">
        <v>227</v>
      </c>
      <c r="D689" s="82">
        <v>8</v>
      </c>
      <c r="E689" s="82" t="s">
        <v>242</v>
      </c>
      <c r="F689" s="82">
        <v>32</v>
      </c>
      <c r="G689" s="82">
        <v>10</v>
      </c>
      <c r="H689" s="82" t="s">
        <v>133</v>
      </c>
    </row>
    <row r="690" spans="1:8" x14ac:dyDescent="0.3">
      <c r="A690" s="83">
        <v>45880</v>
      </c>
      <c r="B690" s="84">
        <v>2025</v>
      </c>
      <c r="C690" s="84" t="s">
        <v>227</v>
      </c>
      <c r="D690" s="84">
        <v>8</v>
      </c>
      <c r="E690" s="84" t="s">
        <v>242</v>
      </c>
      <c r="F690" s="84">
        <v>33</v>
      </c>
      <c r="G690" s="84">
        <v>11</v>
      </c>
      <c r="H690" s="84" t="s">
        <v>121</v>
      </c>
    </row>
    <row r="691" spans="1:8" x14ac:dyDescent="0.3">
      <c r="A691" s="81">
        <v>45881</v>
      </c>
      <c r="B691" s="82">
        <v>2025</v>
      </c>
      <c r="C691" s="82" t="s">
        <v>227</v>
      </c>
      <c r="D691" s="82">
        <v>8</v>
      </c>
      <c r="E691" s="82" t="s">
        <v>242</v>
      </c>
      <c r="F691" s="82">
        <v>33</v>
      </c>
      <c r="G691" s="82">
        <v>12</v>
      </c>
      <c r="H691" s="82" t="s">
        <v>123</v>
      </c>
    </row>
    <row r="692" spans="1:8" x14ac:dyDescent="0.3">
      <c r="A692" s="83">
        <v>45882</v>
      </c>
      <c r="B692" s="84">
        <v>2025</v>
      </c>
      <c r="C692" s="84" t="s">
        <v>227</v>
      </c>
      <c r="D692" s="84">
        <v>8</v>
      </c>
      <c r="E692" s="84" t="s">
        <v>242</v>
      </c>
      <c r="F692" s="84">
        <v>33</v>
      </c>
      <c r="G692" s="84">
        <v>13</v>
      </c>
      <c r="H692" s="84" t="s">
        <v>125</v>
      </c>
    </row>
    <row r="693" spans="1:8" x14ac:dyDescent="0.3">
      <c r="A693" s="81">
        <v>45883</v>
      </c>
      <c r="B693" s="82">
        <v>2025</v>
      </c>
      <c r="C693" s="82" t="s">
        <v>227</v>
      </c>
      <c r="D693" s="82">
        <v>8</v>
      </c>
      <c r="E693" s="82" t="s">
        <v>242</v>
      </c>
      <c r="F693" s="82">
        <v>33</v>
      </c>
      <c r="G693" s="82">
        <v>14</v>
      </c>
      <c r="H693" s="82" t="s">
        <v>127</v>
      </c>
    </row>
    <row r="694" spans="1:8" x14ac:dyDescent="0.3">
      <c r="A694" s="83">
        <v>45884</v>
      </c>
      <c r="B694" s="84">
        <v>2025</v>
      </c>
      <c r="C694" s="84" t="s">
        <v>227</v>
      </c>
      <c r="D694" s="84">
        <v>8</v>
      </c>
      <c r="E694" s="84" t="s">
        <v>242</v>
      </c>
      <c r="F694" s="84">
        <v>33</v>
      </c>
      <c r="G694" s="84">
        <v>15</v>
      </c>
      <c r="H694" s="84" t="s">
        <v>129</v>
      </c>
    </row>
    <row r="695" spans="1:8" x14ac:dyDescent="0.3">
      <c r="A695" s="81">
        <v>45885</v>
      </c>
      <c r="B695" s="82">
        <v>2025</v>
      </c>
      <c r="C695" s="82" t="s">
        <v>227</v>
      </c>
      <c r="D695" s="82">
        <v>8</v>
      </c>
      <c r="E695" s="82" t="s">
        <v>242</v>
      </c>
      <c r="F695" s="82">
        <v>33</v>
      </c>
      <c r="G695" s="82">
        <v>16</v>
      </c>
      <c r="H695" s="82" t="s">
        <v>131</v>
      </c>
    </row>
    <row r="696" spans="1:8" x14ac:dyDescent="0.3">
      <c r="A696" s="83">
        <v>45886</v>
      </c>
      <c r="B696" s="84">
        <v>2025</v>
      </c>
      <c r="C696" s="84" t="s">
        <v>227</v>
      </c>
      <c r="D696" s="84">
        <v>8</v>
      </c>
      <c r="E696" s="84" t="s">
        <v>242</v>
      </c>
      <c r="F696" s="84">
        <v>33</v>
      </c>
      <c r="G696" s="84">
        <v>17</v>
      </c>
      <c r="H696" s="84" t="s">
        <v>133</v>
      </c>
    </row>
    <row r="697" spans="1:8" x14ac:dyDescent="0.3">
      <c r="A697" s="81">
        <v>45887</v>
      </c>
      <c r="B697" s="82">
        <v>2025</v>
      </c>
      <c r="C697" s="82" t="s">
        <v>227</v>
      </c>
      <c r="D697" s="82">
        <v>8</v>
      </c>
      <c r="E697" s="82" t="s">
        <v>242</v>
      </c>
      <c r="F697" s="82">
        <v>34</v>
      </c>
      <c r="G697" s="82">
        <v>18</v>
      </c>
      <c r="H697" s="82" t="s">
        <v>121</v>
      </c>
    </row>
    <row r="698" spans="1:8" x14ac:dyDescent="0.3">
      <c r="A698" s="83">
        <v>45888</v>
      </c>
      <c r="B698" s="84">
        <v>2025</v>
      </c>
      <c r="C698" s="84" t="s">
        <v>227</v>
      </c>
      <c r="D698" s="84">
        <v>8</v>
      </c>
      <c r="E698" s="84" t="s">
        <v>242</v>
      </c>
      <c r="F698" s="84">
        <v>34</v>
      </c>
      <c r="G698" s="84">
        <v>19</v>
      </c>
      <c r="H698" s="84" t="s">
        <v>123</v>
      </c>
    </row>
    <row r="699" spans="1:8" x14ac:dyDescent="0.3">
      <c r="A699" s="81">
        <v>45889</v>
      </c>
      <c r="B699" s="82">
        <v>2025</v>
      </c>
      <c r="C699" s="82" t="s">
        <v>227</v>
      </c>
      <c r="D699" s="82">
        <v>8</v>
      </c>
      <c r="E699" s="82" t="s">
        <v>242</v>
      </c>
      <c r="F699" s="82">
        <v>34</v>
      </c>
      <c r="G699" s="82">
        <v>20</v>
      </c>
      <c r="H699" s="82" t="s">
        <v>125</v>
      </c>
    </row>
    <row r="700" spans="1:8" x14ac:dyDescent="0.3">
      <c r="A700" s="83">
        <v>45890</v>
      </c>
      <c r="B700" s="84">
        <v>2025</v>
      </c>
      <c r="C700" s="84" t="s">
        <v>227</v>
      </c>
      <c r="D700" s="84">
        <v>8</v>
      </c>
      <c r="E700" s="84" t="s">
        <v>242</v>
      </c>
      <c r="F700" s="84">
        <v>34</v>
      </c>
      <c r="G700" s="84">
        <v>21</v>
      </c>
      <c r="H700" s="84" t="s">
        <v>127</v>
      </c>
    </row>
    <row r="701" spans="1:8" x14ac:dyDescent="0.3">
      <c r="A701" s="81">
        <v>45891</v>
      </c>
      <c r="B701" s="82">
        <v>2025</v>
      </c>
      <c r="C701" s="82" t="s">
        <v>227</v>
      </c>
      <c r="D701" s="82">
        <v>8</v>
      </c>
      <c r="E701" s="82" t="s">
        <v>242</v>
      </c>
      <c r="F701" s="82">
        <v>34</v>
      </c>
      <c r="G701" s="82">
        <v>22</v>
      </c>
      <c r="H701" s="82" t="s">
        <v>129</v>
      </c>
    </row>
    <row r="702" spans="1:8" x14ac:dyDescent="0.3">
      <c r="A702" s="83">
        <v>45892</v>
      </c>
      <c r="B702" s="84">
        <v>2025</v>
      </c>
      <c r="C702" s="84" t="s">
        <v>227</v>
      </c>
      <c r="D702" s="84">
        <v>8</v>
      </c>
      <c r="E702" s="84" t="s">
        <v>242</v>
      </c>
      <c r="F702" s="84">
        <v>34</v>
      </c>
      <c r="G702" s="84">
        <v>23</v>
      </c>
      <c r="H702" s="84" t="s">
        <v>131</v>
      </c>
    </row>
    <row r="703" spans="1:8" x14ac:dyDescent="0.3">
      <c r="A703" s="81">
        <v>45893</v>
      </c>
      <c r="B703" s="82">
        <v>2025</v>
      </c>
      <c r="C703" s="82" t="s">
        <v>227</v>
      </c>
      <c r="D703" s="82">
        <v>8</v>
      </c>
      <c r="E703" s="82" t="s">
        <v>242</v>
      </c>
      <c r="F703" s="82">
        <v>34</v>
      </c>
      <c r="G703" s="82">
        <v>24</v>
      </c>
      <c r="H703" s="82" t="s">
        <v>133</v>
      </c>
    </row>
    <row r="704" spans="1:8" x14ac:dyDescent="0.3">
      <c r="A704" s="83">
        <v>45894</v>
      </c>
      <c r="B704" s="84">
        <v>2025</v>
      </c>
      <c r="C704" s="84" t="s">
        <v>227</v>
      </c>
      <c r="D704" s="84">
        <v>8</v>
      </c>
      <c r="E704" s="84" t="s">
        <v>242</v>
      </c>
      <c r="F704" s="84">
        <v>35</v>
      </c>
      <c r="G704" s="84">
        <v>25</v>
      </c>
      <c r="H704" s="84" t="s">
        <v>121</v>
      </c>
    </row>
    <row r="705" spans="1:8" x14ac:dyDescent="0.3">
      <c r="A705" s="81">
        <v>45895</v>
      </c>
      <c r="B705" s="82">
        <v>2025</v>
      </c>
      <c r="C705" s="82" t="s">
        <v>227</v>
      </c>
      <c r="D705" s="82">
        <v>8</v>
      </c>
      <c r="E705" s="82" t="s">
        <v>242</v>
      </c>
      <c r="F705" s="82">
        <v>35</v>
      </c>
      <c r="G705" s="82">
        <v>26</v>
      </c>
      <c r="H705" s="82" t="s">
        <v>123</v>
      </c>
    </row>
    <row r="706" spans="1:8" x14ac:dyDescent="0.3">
      <c r="A706" s="83">
        <v>45896</v>
      </c>
      <c r="B706" s="84">
        <v>2025</v>
      </c>
      <c r="C706" s="84" t="s">
        <v>227</v>
      </c>
      <c r="D706" s="84">
        <v>8</v>
      </c>
      <c r="E706" s="84" t="s">
        <v>242</v>
      </c>
      <c r="F706" s="84">
        <v>35</v>
      </c>
      <c r="G706" s="84">
        <v>27</v>
      </c>
      <c r="H706" s="84" t="s">
        <v>125</v>
      </c>
    </row>
    <row r="707" spans="1:8" x14ac:dyDescent="0.3">
      <c r="A707" s="81">
        <v>45897</v>
      </c>
      <c r="B707" s="82">
        <v>2025</v>
      </c>
      <c r="C707" s="82" t="s">
        <v>227</v>
      </c>
      <c r="D707" s="82">
        <v>8</v>
      </c>
      <c r="E707" s="82" t="s">
        <v>242</v>
      </c>
      <c r="F707" s="82">
        <v>35</v>
      </c>
      <c r="G707" s="82">
        <v>28</v>
      </c>
      <c r="H707" s="82" t="s">
        <v>127</v>
      </c>
    </row>
    <row r="708" spans="1:8" x14ac:dyDescent="0.3">
      <c r="A708" s="83">
        <v>45898</v>
      </c>
      <c r="B708" s="84">
        <v>2025</v>
      </c>
      <c r="C708" s="84" t="s">
        <v>227</v>
      </c>
      <c r="D708" s="84">
        <v>8</v>
      </c>
      <c r="E708" s="84" t="s">
        <v>242</v>
      </c>
      <c r="F708" s="84">
        <v>35</v>
      </c>
      <c r="G708" s="84">
        <v>29</v>
      </c>
      <c r="H708" s="84" t="s">
        <v>129</v>
      </c>
    </row>
    <row r="709" spans="1:8" x14ac:dyDescent="0.3">
      <c r="A709" s="81">
        <v>45899</v>
      </c>
      <c r="B709" s="82">
        <v>2025</v>
      </c>
      <c r="C709" s="82" t="s">
        <v>227</v>
      </c>
      <c r="D709" s="82">
        <v>8</v>
      </c>
      <c r="E709" s="82" t="s">
        <v>242</v>
      </c>
      <c r="F709" s="82">
        <v>35</v>
      </c>
      <c r="G709" s="82">
        <v>30</v>
      </c>
      <c r="H709" s="82" t="s">
        <v>131</v>
      </c>
    </row>
    <row r="710" spans="1:8" x14ac:dyDescent="0.3">
      <c r="A710" s="83">
        <v>45900</v>
      </c>
      <c r="B710" s="84">
        <v>2025</v>
      </c>
      <c r="C710" s="84" t="s">
        <v>227</v>
      </c>
      <c r="D710" s="84">
        <v>8</v>
      </c>
      <c r="E710" s="84" t="s">
        <v>242</v>
      </c>
      <c r="F710" s="84">
        <v>35</v>
      </c>
      <c r="G710" s="84">
        <v>31</v>
      </c>
      <c r="H710" s="84" t="s">
        <v>133</v>
      </c>
    </row>
    <row r="711" spans="1:8" x14ac:dyDescent="0.3">
      <c r="A711" s="81">
        <v>45901</v>
      </c>
      <c r="B711" s="82">
        <v>2025</v>
      </c>
      <c r="C711" s="82" t="s">
        <v>227</v>
      </c>
      <c r="D711" s="82">
        <v>9</v>
      </c>
      <c r="E711" s="82" t="s">
        <v>228</v>
      </c>
      <c r="F711" s="82">
        <v>36</v>
      </c>
      <c r="G711" s="82">
        <v>1</v>
      </c>
      <c r="H711" s="82" t="s">
        <v>121</v>
      </c>
    </row>
    <row r="712" spans="1:8" x14ac:dyDescent="0.3">
      <c r="A712" s="83">
        <v>45902</v>
      </c>
      <c r="B712" s="84">
        <v>2025</v>
      </c>
      <c r="C712" s="84" t="s">
        <v>227</v>
      </c>
      <c r="D712" s="84">
        <v>9</v>
      </c>
      <c r="E712" s="84" t="s">
        <v>228</v>
      </c>
      <c r="F712" s="84">
        <v>36</v>
      </c>
      <c r="G712" s="84">
        <v>2</v>
      </c>
      <c r="H712" s="84" t="s">
        <v>123</v>
      </c>
    </row>
    <row r="713" spans="1:8" x14ac:dyDescent="0.3">
      <c r="A713" s="81">
        <v>45903</v>
      </c>
      <c r="B713" s="82">
        <v>2025</v>
      </c>
      <c r="C713" s="82" t="s">
        <v>227</v>
      </c>
      <c r="D713" s="82">
        <v>9</v>
      </c>
      <c r="E713" s="82" t="s">
        <v>228</v>
      </c>
      <c r="F713" s="82">
        <v>36</v>
      </c>
      <c r="G713" s="82">
        <v>3</v>
      </c>
      <c r="H713" s="82" t="s">
        <v>125</v>
      </c>
    </row>
    <row r="714" spans="1:8" x14ac:dyDescent="0.3">
      <c r="A714" s="83">
        <v>45904</v>
      </c>
      <c r="B714" s="84">
        <v>2025</v>
      </c>
      <c r="C714" s="84" t="s">
        <v>227</v>
      </c>
      <c r="D714" s="84">
        <v>9</v>
      </c>
      <c r="E714" s="84" t="s">
        <v>228</v>
      </c>
      <c r="F714" s="84">
        <v>36</v>
      </c>
      <c r="G714" s="84">
        <v>4</v>
      </c>
      <c r="H714" s="84" t="s">
        <v>127</v>
      </c>
    </row>
    <row r="715" spans="1:8" x14ac:dyDescent="0.3">
      <c r="A715" s="81">
        <v>45905</v>
      </c>
      <c r="B715" s="82">
        <v>2025</v>
      </c>
      <c r="C715" s="82" t="s">
        <v>227</v>
      </c>
      <c r="D715" s="82">
        <v>9</v>
      </c>
      <c r="E715" s="82" t="s">
        <v>228</v>
      </c>
      <c r="F715" s="82">
        <v>36</v>
      </c>
      <c r="G715" s="82">
        <v>5</v>
      </c>
      <c r="H715" s="82" t="s">
        <v>129</v>
      </c>
    </row>
    <row r="716" spans="1:8" x14ac:dyDescent="0.3">
      <c r="A716" s="83">
        <v>45906</v>
      </c>
      <c r="B716" s="84">
        <v>2025</v>
      </c>
      <c r="C716" s="84" t="s">
        <v>227</v>
      </c>
      <c r="D716" s="84">
        <v>9</v>
      </c>
      <c r="E716" s="84" t="s">
        <v>228</v>
      </c>
      <c r="F716" s="84">
        <v>36</v>
      </c>
      <c r="G716" s="84">
        <v>6</v>
      </c>
      <c r="H716" s="84" t="s">
        <v>131</v>
      </c>
    </row>
    <row r="717" spans="1:8" x14ac:dyDescent="0.3">
      <c r="A717" s="81">
        <v>45907</v>
      </c>
      <c r="B717" s="82">
        <v>2025</v>
      </c>
      <c r="C717" s="82" t="s">
        <v>227</v>
      </c>
      <c r="D717" s="82">
        <v>9</v>
      </c>
      <c r="E717" s="82" t="s">
        <v>228</v>
      </c>
      <c r="F717" s="82">
        <v>36</v>
      </c>
      <c r="G717" s="82">
        <v>7</v>
      </c>
      <c r="H717" s="82" t="s">
        <v>133</v>
      </c>
    </row>
    <row r="718" spans="1:8" x14ac:dyDescent="0.3">
      <c r="A718" s="83">
        <v>45908</v>
      </c>
      <c r="B718" s="84">
        <v>2025</v>
      </c>
      <c r="C718" s="84" t="s">
        <v>227</v>
      </c>
      <c r="D718" s="84">
        <v>9</v>
      </c>
      <c r="E718" s="84" t="s">
        <v>228</v>
      </c>
      <c r="F718" s="84">
        <v>37</v>
      </c>
      <c r="G718" s="84">
        <v>8</v>
      </c>
      <c r="H718" s="84" t="s">
        <v>121</v>
      </c>
    </row>
    <row r="719" spans="1:8" x14ac:dyDescent="0.3">
      <c r="A719" s="81">
        <v>45909</v>
      </c>
      <c r="B719" s="82">
        <v>2025</v>
      </c>
      <c r="C719" s="82" t="s">
        <v>227</v>
      </c>
      <c r="D719" s="82">
        <v>9</v>
      </c>
      <c r="E719" s="82" t="s">
        <v>228</v>
      </c>
      <c r="F719" s="82">
        <v>37</v>
      </c>
      <c r="G719" s="82">
        <v>9</v>
      </c>
      <c r="H719" s="82" t="s">
        <v>123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2F2F2"/>
  </sheetPr>
  <dimension ref="A1:Q251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8" customWidth="1"/>
    <col min="3" max="3" width="7.6640625" customWidth="1"/>
    <col min="4" max="4" width="9.5546875" customWidth="1"/>
    <col min="5" max="5" width="16.109375" customWidth="1"/>
    <col min="6" max="6" width="12" customWidth="1"/>
    <col min="7" max="7" width="12.88671875" customWidth="1"/>
    <col min="8" max="8" width="15.44140625" customWidth="1"/>
    <col min="9" max="9" width="17.88671875" customWidth="1"/>
    <col min="10" max="10" width="18.6640625" customWidth="1"/>
    <col min="11" max="11" width="24.21875" customWidth="1"/>
    <col min="12" max="12" width="17.88671875" customWidth="1"/>
    <col min="13" max="13" width="15" customWidth="1"/>
    <col min="14" max="14" width="11.77734375" customWidth="1"/>
    <col min="15" max="15" width="9" customWidth="1"/>
    <col min="16" max="16" width="14.6640625" customWidth="1"/>
    <col min="17" max="17" width="18.77734375" customWidth="1"/>
  </cols>
  <sheetData>
    <row r="1" spans="1:17" ht="27.75" customHeight="1" x14ac:dyDescent="0.3">
      <c r="A1" s="85" t="s">
        <v>84</v>
      </c>
      <c r="B1" s="85" t="s">
        <v>167</v>
      </c>
      <c r="C1" s="85" t="s">
        <v>243</v>
      </c>
      <c r="D1" s="85" t="s">
        <v>67</v>
      </c>
      <c r="E1" s="85" t="s">
        <v>45</v>
      </c>
      <c r="F1" s="85" t="s">
        <v>244</v>
      </c>
      <c r="G1" s="85" t="s">
        <v>41</v>
      </c>
      <c r="H1" s="85" t="s">
        <v>245</v>
      </c>
      <c r="I1" s="85" t="s">
        <v>246</v>
      </c>
      <c r="J1" s="85" t="s">
        <v>247</v>
      </c>
      <c r="K1" s="85" t="s">
        <v>248</v>
      </c>
      <c r="L1" s="85" t="s">
        <v>170</v>
      </c>
      <c r="M1" s="85" t="s">
        <v>63</v>
      </c>
      <c r="N1" s="85" t="s">
        <v>111</v>
      </c>
      <c r="O1" s="85" t="s">
        <v>222</v>
      </c>
      <c r="P1" s="85" t="s">
        <v>249</v>
      </c>
      <c r="Q1" s="85" t="s">
        <v>250</v>
      </c>
    </row>
    <row r="2" spans="1:17" x14ac:dyDescent="0.3">
      <c r="A2" s="86" t="s">
        <v>251</v>
      </c>
      <c r="B2" s="86" t="s">
        <v>252</v>
      </c>
      <c r="C2" s="86">
        <v>58</v>
      </c>
      <c r="D2" s="86" t="s">
        <v>76</v>
      </c>
      <c r="E2" s="86" t="s">
        <v>57</v>
      </c>
      <c r="F2" s="86" t="s">
        <v>58</v>
      </c>
      <c r="G2" s="86" t="s">
        <v>56</v>
      </c>
      <c r="H2" s="87">
        <v>73131.839999999997</v>
      </c>
      <c r="I2" s="88">
        <v>45593</v>
      </c>
      <c r="J2" s="86" t="s">
        <v>253</v>
      </c>
      <c r="K2" s="87">
        <v>8713.4599999999991</v>
      </c>
      <c r="L2" s="87">
        <v>8713.4599999999991</v>
      </c>
      <c r="M2" s="86" t="s">
        <v>69</v>
      </c>
      <c r="N2" s="86" t="s">
        <v>140</v>
      </c>
      <c r="O2" s="86">
        <v>2024</v>
      </c>
      <c r="P2" s="86" t="s">
        <v>121</v>
      </c>
      <c r="Q2" s="87">
        <v>81845.3</v>
      </c>
    </row>
    <row r="3" spans="1:17" x14ac:dyDescent="0.3">
      <c r="A3" s="89" t="s">
        <v>197</v>
      </c>
      <c r="B3" s="89" t="s">
        <v>198</v>
      </c>
      <c r="C3" s="89">
        <v>20</v>
      </c>
      <c r="D3" s="89" t="s">
        <v>76</v>
      </c>
      <c r="E3" s="89" t="s">
        <v>59</v>
      </c>
      <c r="F3" s="89" t="s">
        <v>60</v>
      </c>
      <c r="G3" s="89" t="s">
        <v>50</v>
      </c>
      <c r="H3" s="90">
        <v>68824.5</v>
      </c>
      <c r="I3" s="91">
        <v>45417</v>
      </c>
      <c r="J3" s="89" t="s">
        <v>253</v>
      </c>
      <c r="K3" s="90">
        <v>12915.76</v>
      </c>
      <c r="L3" s="90">
        <v>12915.76</v>
      </c>
      <c r="M3" s="89" t="s">
        <v>89</v>
      </c>
      <c r="N3" s="89" t="s">
        <v>135</v>
      </c>
      <c r="O3" s="89">
        <v>2024</v>
      </c>
      <c r="P3" s="89" t="s">
        <v>133</v>
      </c>
      <c r="Q3" s="90">
        <v>81740.259999999995</v>
      </c>
    </row>
    <row r="4" spans="1:17" x14ac:dyDescent="0.3">
      <c r="A4" s="86" t="s">
        <v>254</v>
      </c>
      <c r="B4" s="86" t="s">
        <v>255</v>
      </c>
      <c r="C4" s="86">
        <v>22</v>
      </c>
      <c r="D4" s="86" t="s">
        <v>76</v>
      </c>
      <c r="E4" s="86" t="s">
        <v>59</v>
      </c>
      <c r="F4" s="86" t="s">
        <v>60</v>
      </c>
      <c r="G4" s="86" t="s">
        <v>50</v>
      </c>
      <c r="H4" s="87">
        <v>98573.98</v>
      </c>
      <c r="I4" s="88">
        <v>45516</v>
      </c>
      <c r="J4" s="86" t="s">
        <v>253</v>
      </c>
      <c r="K4" s="87">
        <v>13412.67</v>
      </c>
      <c r="L4" s="87">
        <v>13412.67</v>
      </c>
      <c r="M4" s="86" t="s">
        <v>89</v>
      </c>
      <c r="N4" s="86" t="s">
        <v>138</v>
      </c>
      <c r="O4" s="86">
        <v>2024</v>
      </c>
      <c r="P4" s="86" t="s">
        <v>121</v>
      </c>
      <c r="Q4" s="87">
        <v>111986.65</v>
      </c>
    </row>
    <row r="5" spans="1:17" x14ac:dyDescent="0.3">
      <c r="A5" s="89" t="s">
        <v>256</v>
      </c>
      <c r="B5" s="89" t="s">
        <v>257</v>
      </c>
      <c r="C5" s="89">
        <v>47</v>
      </c>
      <c r="D5" s="89" t="s">
        <v>76</v>
      </c>
      <c r="E5" s="89" t="s">
        <v>59</v>
      </c>
      <c r="F5" s="89" t="s">
        <v>60</v>
      </c>
      <c r="G5" s="89" t="s">
        <v>53</v>
      </c>
      <c r="H5" s="90">
        <v>62041.63</v>
      </c>
      <c r="I5" s="91">
        <v>45587</v>
      </c>
      <c r="J5" s="89" t="s">
        <v>253</v>
      </c>
      <c r="K5" s="90">
        <v>7333.53</v>
      </c>
      <c r="L5" s="90">
        <v>7333.53</v>
      </c>
      <c r="M5" s="89" t="s">
        <v>89</v>
      </c>
      <c r="N5" s="89" t="s">
        <v>140</v>
      </c>
      <c r="O5" s="89">
        <v>2024</v>
      </c>
      <c r="P5" s="89" t="s">
        <v>123</v>
      </c>
      <c r="Q5" s="90">
        <v>69375.16</v>
      </c>
    </row>
    <row r="6" spans="1:17" x14ac:dyDescent="0.3">
      <c r="A6" s="86" t="s">
        <v>208</v>
      </c>
      <c r="B6" s="86" t="s">
        <v>209</v>
      </c>
      <c r="C6" s="86">
        <v>41</v>
      </c>
      <c r="D6" s="86" t="s">
        <v>72</v>
      </c>
      <c r="E6" s="86" t="s">
        <v>54</v>
      </c>
      <c r="F6" s="86" t="s">
        <v>55</v>
      </c>
      <c r="G6" s="86" t="s">
        <v>53</v>
      </c>
      <c r="H6" s="87">
        <v>17198.02</v>
      </c>
      <c r="I6" s="88">
        <v>45867</v>
      </c>
      <c r="J6" s="86" t="s">
        <v>258</v>
      </c>
      <c r="K6" s="87">
        <v>13357.83</v>
      </c>
      <c r="L6" s="87">
        <v>-13357.83</v>
      </c>
      <c r="M6" s="86" t="s">
        <v>89</v>
      </c>
      <c r="N6" s="86" t="s">
        <v>147</v>
      </c>
      <c r="O6" s="86">
        <v>2025</v>
      </c>
      <c r="P6" s="86" t="s">
        <v>123</v>
      </c>
      <c r="Q6" s="87">
        <v>3840.19</v>
      </c>
    </row>
    <row r="7" spans="1:17" x14ac:dyDescent="0.3">
      <c r="A7" s="89" t="s">
        <v>259</v>
      </c>
      <c r="B7" s="89" t="s">
        <v>260</v>
      </c>
      <c r="C7" s="89">
        <v>18</v>
      </c>
      <c r="D7" s="89" t="s">
        <v>76</v>
      </c>
      <c r="E7" s="89" t="s">
        <v>59</v>
      </c>
      <c r="F7" s="89" t="s">
        <v>60</v>
      </c>
      <c r="G7" s="89" t="s">
        <v>50</v>
      </c>
      <c r="H7" s="90">
        <v>39633.39</v>
      </c>
      <c r="I7" s="91">
        <v>45815</v>
      </c>
      <c r="J7" s="89" t="s">
        <v>258</v>
      </c>
      <c r="K7" s="90">
        <v>12676.79</v>
      </c>
      <c r="L7" s="90">
        <v>-12676.79</v>
      </c>
      <c r="M7" s="89" t="s">
        <v>89</v>
      </c>
      <c r="N7" s="89" t="s">
        <v>146</v>
      </c>
      <c r="O7" s="89">
        <v>2025</v>
      </c>
      <c r="P7" s="89" t="s">
        <v>131</v>
      </c>
      <c r="Q7" s="90">
        <v>26956.6</v>
      </c>
    </row>
    <row r="8" spans="1:17" x14ac:dyDescent="0.3">
      <c r="A8" s="86" t="s">
        <v>261</v>
      </c>
      <c r="B8" s="86" t="s">
        <v>262</v>
      </c>
      <c r="C8" s="86">
        <v>19</v>
      </c>
      <c r="D8" s="86" t="s">
        <v>72</v>
      </c>
      <c r="E8" s="86" t="s">
        <v>59</v>
      </c>
      <c r="F8" s="86" t="s">
        <v>60</v>
      </c>
      <c r="G8" s="86" t="s">
        <v>50</v>
      </c>
      <c r="H8" s="87">
        <v>43897.65</v>
      </c>
      <c r="I8" s="88">
        <v>45465</v>
      </c>
      <c r="J8" s="86" t="s">
        <v>258</v>
      </c>
      <c r="K8" s="87">
        <v>11979.96</v>
      </c>
      <c r="L8" s="87">
        <v>-11979.96</v>
      </c>
      <c r="M8" s="86" t="s">
        <v>89</v>
      </c>
      <c r="N8" s="86" t="s">
        <v>136</v>
      </c>
      <c r="O8" s="86">
        <v>2024</v>
      </c>
      <c r="P8" s="86" t="s">
        <v>131</v>
      </c>
      <c r="Q8" s="87">
        <v>31917.69</v>
      </c>
    </row>
    <row r="9" spans="1:17" x14ac:dyDescent="0.3">
      <c r="A9" s="89" t="s">
        <v>208</v>
      </c>
      <c r="B9" s="89" t="s">
        <v>209</v>
      </c>
      <c r="C9" s="89">
        <v>41</v>
      </c>
      <c r="D9" s="89" t="s">
        <v>72</v>
      </c>
      <c r="E9" s="89" t="s">
        <v>51</v>
      </c>
      <c r="F9" s="89" t="s">
        <v>52</v>
      </c>
      <c r="G9" s="89" t="s">
        <v>53</v>
      </c>
      <c r="H9" s="90">
        <v>96233.56</v>
      </c>
      <c r="I9" s="91">
        <v>45297</v>
      </c>
      <c r="J9" s="89" t="s">
        <v>258</v>
      </c>
      <c r="K9" s="90">
        <v>2959.93</v>
      </c>
      <c r="L9" s="90">
        <v>-2959.93</v>
      </c>
      <c r="M9" s="89" t="s">
        <v>89</v>
      </c>
      <c r="N9" s="89" t="s">
        <v>128</v>
      </c>
      <c r="O9" s="89">
        <v>2024</v>
      </c>
      <c r="P9" s="89" t="s">
        <v>131</v>
      </c>
      <c r="Q9" s="90">
        <v>93273.63</v>
      </c>
    </row>
    <row r="10" spans="1:17" x14ac:dyDescent="0.3">
      <c r="A10" s="86" t="s">
        <v>263</v>
      </c>
      <c r="B10" s="86" t="s">
        <v>264</v>
      </c>
      <c r="C10" s="86">
        <v>49</v>
      </c>
      <c r="D10" s="86" t="s">
        <v>76</v>
      </c>
      <c r="E10" s="86" t="s">
        <v>57</v>
      </c>
      <c r="F10" s="86" t="s">
        <v>58</v>
      </c>
      <c r="G10" s="86" t="s">
        <v>53</v>
      </c>
      <c r="H10" s="87">
        <v>84372.91</v>
      </c>
      <c r="I10" s="88">
        <v>45432</v>
      </c>
      <c r="J10" s="86" t="s">
        <v>258</v>
      </c>
      <c r="K10" s="87">
        <v>17052.82</v>
      </c>
      <c r="L10" s="87">
        <v>-17052.82</v>
      </c>
      <c r="M10" s="86" t="s">
        <v>77</v>
      </c>
      <c r="N10" s="86" t="s">
        <v>135</v>
      </c>
      <c r="O10" s="86">
        <v>2024</v>
      </c>
      <c r="P10" s="86" t="s">
        <v>121</v>
      </c>
      <c r="Q10" s="87">
        <v>67320.09</v>
      </c>
    </row>
    <row r="11" spans="1:17" x14ac:dyDescent="0.3">
      <c r="A11" s="89" t="s">
        <v>265</v>
      </c>
      <c r="B11" s="89" t="s">
        <v>266</v>
      </c>
      <c r="C11" s="89">
        <v>50</v>
      </c>
      <c r="D11" s="89" t="s">
        <v>76</v>
      </c>
      <c r="E11" s="89" t="s">
        <v>51</v>
      </c>
      <c r="F11" s="89" t="s">
        <v>52</v>
      </c>
      <c r="G11" s="89" t="s">
        <v>53</v>
      </c>
      <c r="H11" s="90">
        <v>30328.11</v>
      </c>
      <c r="I11" s="91">
        <v>45342</v>
      </c>
      <c r="J11" s="89" t="s">
        <v>253</v>
      </c>
      <c r="K11" s="90">
        <v>9212.6200000000008</v>
      </c>
      <c r="L11" s="90">
        <v>9212.6200000000008</v>
      </c>
      <c r="M11" s="89" t="s">
        <v>89</v>
      </c>
      <c r="N11" s="89" t="s">
        <v>130</v>
      </c>
      <c r="O11" s="89">
        <v>2024</v>
      </c>
      <c r="P11" s="89" t="s">
        <v>123</v>
      </c>
      <c r="Q11" s="90">
        <v>39540.730000000003</v>
      </c>
    </row>
    <row r="12" spans="1:17" x14ac:dyDescent="0.3">
      <c r="A12" s="86" t="s">
        <v>202</v>
      </c>
      <c r="B12" s="86" t="s">
        <v>203</v>
      </c>
      <c r="C12" s="86">
        <v>19</v>
      </c>
      <c r="D12" s="86" t="s">
        <v>76</v>
      </c>
      <c r="E12" s="86" t="s">
        <v>54</v>
      </c>
      <c r="F12" s="86" t="s">
        <v>55</v>
      </c>
      <c r="G12" s="86" t="s">
        <v>50</v>
      </c>
      <c r="H12" s="87">
        <v>79166.789999999994</v>
      </c>
      <c r="I12" s="88">
        <v>45258</v>
      </c>
      <c r="J12" s="86" t="s">
        <v>253</v>
      </c>
      <c r="K12" s="87">
        <v>13130.42</v>
      </c>
      <c r="L12" s="87">
        <v>13130.42</v>
      </c>
      <c r="M12" s="86" t="s">
        <v>89</v>
      </c>
      <c r="N12" s="86" t="s">
        <v>124</v>
      </c>
      <c r="O12" s="86">
        <v>2023</v>
      </c>
      <c r="P12" s="86" t="s">
        <v>123</v>
      </c>
      <c r="Q12" s="87">
        <v>92297.21</v>
      </c>
    </row>
    <row r="13" spans="1:17" x14ac:dyDescent="0.3">
      <c r="A13" s="89" t="s">
        <v>267</v>
      </c>
      <c r="B13" s="89" t="s">
        <v>268</v>
      </c>
      <c r="C13" s="89">
        <v>39</v>
      </c>
      <c r="D13" s="89" t="s">
        <v>76</v>
      </c>
      <c r="E13" s="89" t="s">
        <v>57</v>
      </c>
      <c r="F13" s="89" t="s">
        <v>58</v>
      </c>
      <c r="G13" s="89" t="s">
        <v>53</v>
      </c>
      <c r="H13" s="90">
        <v>62048.09</v>
      </c>
      <c r="I13" s="91">
        <v>45558</v>
      </c>
      <c r="J13" s="89" t="s">
        <v>258</v>
      </c>
      <c r="K13" s="90">
        <v>7493.22</v>
      </c>
      <c r="L13" s="90">
        <v>-7493.22</v>
      </c>
      <c r="M13" s="89" t="s">
        <v>77</v>
      </c>
      <c r="N13" s="89" t="s">
        <v>139</v>
      </c>
      <c r="O13" s="89">
        <v>2024</v>
      </c>
      <c r="P13" s="89" t="s">
        <v>121</v>
      </c>
      <c r="Q13" s="90">
        <v>54554.87</v>
      </c>
    </row>
    <row r="14" spans="1:17" x14ac:dyDescent="0.3">
      <c r="A14" s="86" t="s">
        <v>269</v>
      </c>
      <c r="B14" s="86" t="s">
        <v>270</v>
      </c>
      <c r="C14" s="86">
        <v>56</v>
      </c>
      <c r="D14" s="86" t="s">
        <v>76</v>
      </c>
      <c r="E14" s="86" t="s">
        <v>59</v>
      </c>
      <c r="F14" s="86" t="s">
        <v>60</v>
      </c>
      <c r="G14" s="86" t="s">
        <v>56</v>
      </c>
      <c r="H14" s="87">
        <v>7749.5</v>
      </c>
      <c r="I14" s="88">
        <v>45437</v>
      </c>
      <c r="J14" s="86" t="s">
        <v>258</v>
      </c>
      <c r="K14" s="87">
        <v>12649.9</v>
      </c>
      <c r="L14" s="87">
        <v>-12649.9</v>
      </c>
      <c r="M14" s="86" t="s">
        <v>89</v>
      </c>
      <c r="N14" s="86" t="s">
        <v>135</v>
      </c>
      <c r="O14" s="86">
        <v>2024</v>
      </c>
      <c r="P14" s="86" t="s">
        <v>131</v>
      </c>
      <c r="Q14" s="87">
        <v>-4900.3999999999996</v>
      </c>
    </row>
    <row r="15" spans="1:17" x14ac:dyDescent="0.3">
      <c r="A15" s="89" t="s">
        <v>271</v>
      </c>
      <c r="B15" s="89" t="s">
        <v>272</v>
      </c>
      <c r="C15" s="89">
        <v>31</v>
      </c>
      <c r="D15" s="89" t="s">
        <v>72</v>
      </c>
      <c r="E15" s="89" t="s">
        <v>59</v>
      </c>
      <c r="F15" s="89" t="s">
        <v>60</v>
      </c>
      <c r="G15" s="89" t="s">
        <v>53</v>
      </c>
      <c r="H15" s="90">
        <v>15516.82</v>
      </c>
      <c r="I15" s="91">
        <v>45418</v>
      </c>
      <c r="J15" s="89" t="s">
        <v>253</v>
      </c>
      <c r="K15" s="90">
        <v>19008.71</v>
      </c>
      <c r="L15" s="90">
        <v>19008.71</v>
      </c>
      <c r="M15" s="89" t="s">
        <v>89</v>
      </c>
      <c r="N15" s="89" t="s">
        <v>135</v>
      </c>
      <c r="O15" s="89">
        <v>2024</v>
      </c>
      <c r="P15" s="89" t="s">
        <v>121</v>
      </c>
      <c r="Q15" s="90">
        <v>34525.53</v>
      </c>
    </row>
    <row r="16" spans="1:17" x14ac:dyDescent="0.3">
      <c r="A16" s="86" t="s">
        <v>273</v>
      </c>
      <c r="B16" s="86" t="s">
        <v>274</v>
      </c>
      <c r="C16" s="86">
        <v>35</v>
      </c>
      <c r="D16" s="86" t="s">
        <v>76</v>
      </c>
      <c r="E16" s="86" t="s">
        <v>54</v>
      </c>
      <c r="F16" s="86" t="s">
        <v>55</v>
      </c>
      <c r="G16" s="86" t="s">
        <v>53</v>
      </c>
      <c r="H16" s="87">
        <v>67847.5</v>
      </c>
      <c r="I16" s="88">
        <v>45351</v>
      </c>
      <c r="J16" s="86" t="s">
        <v>258</v>
      </c>
      <c r="K16" s="87">
        <v>3498.51</v>
      </c>
      <c r="L16" s="87">
        <v>-3498.51</v>
      </c>
      <c r="M16" s="86" t="s">
        <v>89</v>
      </c>
      <c r="N16" s="86" t="s">
        <v>130</v>
      </c>
      <c r="O16" s="86">
        <v>2024</v>
      </c>
      <c r="P16" s="86" t="s">
        <v>127</v>
      </c>
      <c r="Q16" s="87">
        <v>64348.99</v>
      </c>
    </row>
    <row r="17" spans="1:17" x14ac:dyDescent="0.3">
      <c r="A17" s="89" t="s">
        <v>194</v>
      </c>
      <c r="B17" s="89" t="s">
        <v>195</v>
      </c>
      <c r="C17" s="89">
        <v>50</v>
      </c>
      <c r="D17" s="89" t="s">
        <v>76</v>
      </c>
      <c r="E17" s="89" t="s">
        <v>59</v>
      </c>
      <c r="F17" s="89" t="s">
        <v>60</v>
      </c>
      <c r="G17" s="89" t="s">
        <v>53</v>
      </c>
      <c r="H17" s="90">
        <v>84624.57</v>
      </c>
      <c r="I17" s="91">
        <v>45838</v>
      </c>
      <c r="J17" s="89" t="s">
        <v>258</v>
      </c>
      <c r="K17" s="90">
        <v>18288.48</v>
      </c>
      <c r="L17" s="90">
        <v>-18288.48</v>
      </c>
      <c r="M17" s="89" t="s">
        <v>89</v>
      </c>
      <c r="N17" s="89" t="s">
        <v>146</v>
      </c>
      <c r="O17" s="89">
        <v>2025</v>
      </c>
      <c r="P17" s="89" t="s">
        <v>121</v>
      </c>
      <c r="Q17" s="90">
        <v>66336.09</v>
      </c>
    </row>
    <row r="18" spans="1:17" x14ac:dyDescent="0.3">
      <c r="A18" s="86" t="s">
        <v>275</v>
      </c>
      <c r="B18" s="86" t="s">
        <v>276</v>
      </c>
      <c r="C18" s="86">
        <v>36</v>
      </c>
      <c r="D18" s="86" t="s">
        <v>72</v>
      </c>
      <c r="E18" s="86" t="s">
        <v>57</v>
      </c>
      <c r="F18" s="86" t="s">
        <v>58</v>
      </c>
      <c r="G18" s="86" t="s">
        <v>53</v>
      </c>
      <c r="H18" s="87">
        <v>76300.929999999993</v>
      </c>
      <c r="I18" s="88">
        <v>45569</v>
      </c>
      <c r="J18" s="86" t="s">
        <v>253</v>
      </c>
      <c r="K18" s="87">
        <v>13659.83</v>
      </c>
      <c r="L18" s="87">
        <v>13659.83</v>
      </c>
      <c r="M18" s="86" t="s">
        <v>69</v>
      </c>
      <c r="N18" s="86" t="s">
        <v>140</v>
      </c>
      <c r="O18" s="86">
        <v>2024</v>
      </c>
      <c r="P18" s="86" t="s">
        <v>129</v>
      </c>
      <c r="Q18" s="87">
        <v>89960.76</v>
      </c>
    </row>
    <row r="19" spans="1:17" x14ac:dyDescent="0.3">
      <c r="A19" s="89" t="s">
        <v>277</v>
      </c>
      <c r="B19" s="89" t="s">
        <v>278</v>
      </c>
      <c r="C19" s="89">
        <v>46</v>
      </c>
      <c r="D19" s="89" t="s">
        <v>72</v>
      </c>
      <c r="E19" s="89" t="s">
        <v>54</v>
      </c>
      <c r="F19" s="89" t="s">
        <v>55</v>
      </c>
      <c r="G19" s="89" t="s">
        <v>53</v>
      </c>
      <c r="H19" s="90">
        <v>48290.92</v>
      </c>
      <c r="I19" s="91">
        <v>45200</v>
      </c>
      <c r="J19" s="89" t="s">
        <v>253</v>
      </c>
      <c r="K19" s="90">
        <v>14235.91</v>
      </c>
      <c r="L19" s="90">
        <v>14235.91</v>
      </c>
      <c r="M19" s="89" t="s">
        <v>89</v>
      </c>
      <c r="N19" s="89" t="s">
        <v>122</v>
      </c>
      <c r="O19" s="89">
        <v>2023</v>
      </c>
      <c r="P19" s="89" t="s">
        <v>133</v>
      </c>
      <c r="Q19" s="90">
        <v>62526.83</v>
      </c>
    </row>
    <row r="20" spans="1:17" x14ac:dyDescent="0.3">
      <c r="A20" s="86" t="s">
        <v>279</v>
      </c>
      <c r="B20" s="86" t="s">
        <v>280</v>
      </c>
      <c r="C20" s="86">
        <v>64</v>
      </c>
      <c r="D20" s="86" t="s">
        <v>72</v>
      </c>
      <c r="E20" s="86" t="s">
        <v>51</v>
      </c>
      <c r="F20" s="86" t="s">
        <v>52</v>
      </c>
      <c r="G20" s="86" t="s">
        <v>56</v>
      </c>
      <c r="H20" s="87">
        <v>26850.46</v>
      </c>
      <c r="I20" s="88">
        <v>45301</v>
      </c>
      <c r="J20" s="86" t="s">
        <v>258</v>
      </c>
      <c r="K20" s="87">
        <v>5685.01</v>
      </c>
      <c r="L20" s="87">
        <v>-5685.01</v>
      </c>
      <c r="M20" s="86" t="s">
        <v>89</v>
      </c>
      <c r="N20" s="86" t="s">
        <v>128</v>
      </c>
      <c r="O20" s="86">
        <v>2024</v>
      </c>
      <c r="P20" s="86" t="s">
        <v>125</v>
      </c>
      <c r="Q20" s="87">
        <v>21165.45</v>
      </c>
    </row>
    <row r="21" spans="1:17" x14ac:dyDescent="0.3">
      <c r="A21" s="89" t="s">
        <v>261</v>
      </c>
      <c r="B21" s="89" t="s">
        <v>262</v>
      </c>
      <c r="C21" s="89">
        <v>19</v>
      </c>
      <c r="D21" s="89" t="s">
        <v>72</v>
      </c>
      <c r="E21" s="89" t="s">
        <v>54</v>
      </c>
      <c r="F21" s="89" t="s">
        <v>55</v>
      </c>
      <c r="G21" s="89" t="s">
        <v>50</v>
      </c>
      <c r="H21" s="90">
        <v>33245.29</v>
      </c>
      <c r="I21" s="91">
        <v>45200</v>
      </c>
      <c r="J21" s="89" t="s">
        <v>258</v>
      </c>
      <c r="K21" s="90">
        <v>7400.17</v>
      </c>
      <c r="L21" s="90">
        <v>-7400.17</v>
      </c>
      <c r="M21" s="89" t="s">
        <v>89</v>
      </c>
      <c r="N21" s="89" t="s">
        <v>122</v>
      </c>
      <c r="O21" s="89">
        <v>2023</v>
      </c>
      <c r="P21" s="89" t="s">
        <v>133</v>
      </c>
      <c r="Q21" s="90">
        <v>25845.119999999999</v>
      </c>
    </row>
    <row r="22" spans="1:17" x14ac:dyDescent="0.3">
      <c r="A22" s="86" t="s">
        <v>281</v>
      </c>
      <c r="B22" s="86" t="s">
        <v>282</v>
      </c>
      <c r="C22" s="86">
        <v>21</v>
      </c>
      <c r="D22" s="86" t="s">
        <v>72</v>
      </c>
      <c r="E22" s="86" t="s">
        <v>57</v>
      </c>
      <c r="F22" s="86" t="s">
        <v>58</v>
      </c>
      <c r="G22" s="86" t="s">
        <v>50</v>
      </c>
      <c r="H22" s="87">
        <v>90115.56</v>
      </c>
      <c r="I22" s="88">
        <v>45524</v>
      </c>
      <c r="J22" s="86" t="s">
        <v>258</v>
      </c>
      <c r="K22" s="87">
        <v>9798.57</v>
      </c>
      <c r="L22" s="87">
        <v>-9798.57</v>
      </c>
      <c r="M22" s="86" t="s">
        <v>73</v>
      </c>
      <c r="N22" s="86" t="s">
        <v>138</v>
      </c>
      <c r="O22" s="86">
        <v>2024</v>
      </c>
      <c r="P22" s="86" t="s">
        <v>123</v>
      </c>
      <c r="Q22" s="87">
        <v>80316.990000000005</v>
      </c>
    </row>
    <row r="23" spans="1:17" x14ac:dyDescent="0.3">
      <c r="A23" s="89" t="s">
        <v>202</v>
      </c>
      <c r="B23" s="89" t="s">
        <v>203</v>
      </c>
      <c r="C23" s="89">
        <v>19</v>
      </c>
      <c r="D23" s="89" t="s">
        <v>76</v>
      </c>
      <c r="E23" s="89" t="s">
        <v>51</v>
      </c>
      <c r="F23" s="89" t="s">
        <v>52</v>
      </c>
      <c r="G23" s="89" t="s">
        <v>50</v>
      </c>
      <c r="H23" s="90">
        <v>20146.77</v>
      </c>
      <c r="I23" s="91">
        <v>45570</v>
      </c>
      <c r="J23" s="89" t="s">
        <v>258</v>
      </c>
      <c r="K23" s="90">
        <v>4708.58</v>
      </c>
      <c r="L23" s="90">
        <v>-4708.58</v>
      </c>
      <c r="M23" s="89" t="s">
        <v>89</v>
      </c>
      <c r="N23" s="89" t="s">
        <v>140</v>
      </c>
      <c r="O23" s="89">
        <v>2024</v>
      </c>
      <c r="P23" s="89" t="s">
        <v>131</v>
      </c>
      <c r="Q23" s="90">
        <v>15438.19</v>
      </c>
    </row>
    <row r="24" spans="1:17" x14ac:dyDescent="0.3">
      <c r="A24" s="86" t="s">
        <v>283</v>
      </c>
      <c r="B24" s="86" t="s">
        <v>284</v>
      </c>
      <c r="C24" s="86">
        <v>61</v>
      </c>
      <c r="D24" s="86" t="s">
        <v>72</v>
      </c>
      <c r="E24" s="86" t="s">
        <v>51</v>
      </c>
      <c r="F24" s="86" t="s">
        <v>52</v>
      </c>
      <c r="G24" s="86" t="s">
        <v>56</v>
      </c>
      <c r="H24" s="87">
        <v>38998.53</v>
      </c>
      <c r="I24" s="88">
        <v>45713</v>
      </c>
      <c r="J24" s="86" t="s">
        <v>258</v>
      </c>
      <c r="K24" s="87">
        <v>895.26</v>
      </c>
      <c r="L24" s="87">
        <v>-895.26</v>
      </c>
      <c r="M24" s="86" t="s">
        <v>89</v>
      </c>
      <c r="N24" s="86" t="s">
        <v>285</v>
      </c>
      <c r="O24" s="86">
        <v>2025</v>
      </c>
      <c r="P24" s="86" t="s">
        <v>123</v>
      </c>
      <c r="Q24" s="87">
        <v>38103.269999999997</v>
      </c>
    </row>
    <row r="25" spans="1:17" x14ac:dyDescent="0.3">
      <c r="A25" s="89" t="s">
        <v>286</v>
      </c>
      <c r="B25" s="89" t="s">
        <v>287</v>
      </c>
      <c r="C25" s="89">
        <v>66</v>
      </c>
      <c r="D25" s="89" t="s">
        <v>72</v>
      </c>
      <c r="E25" s="89" t="s">
        <v>54</v>
      </c>
      <c r="F25" s="89" t="s">
        <v>55</v>
      </c>
      <c r="G25" s="89" t="s">
        <v>56</v>
      </c>
      <c r="H25" s="90">
        <v>53800.93</v>
      </c>
      <c r="I25" s="91">
        <v>45448</v>
      </c>
      <c r="J25" s="89" t="s">
        <v>258</v>
      </c>
      <c r="K25" s="90">
        <v>18661.68</v>
      </c>
      <c r="L25" s="90">
        <v>-18661.68</v>
      </c>
      <c r="M25" s="89" t="s">
        <v>89</v>
      </c>
      <c r="N25" s="89" t="s">
        <v>136</v>
      </c>
      <c r="O25" s="89">
        <v>2024</v>
      </c>
      <c r="P25" s="89" t="s">
        <v>125</v>
      </c>
      <c r="Q25" s="90">
        <v>35139.25</v>
      </c>
    </row>
    <row r="26" spans="1:17" x14ac:dyDescent="0.3">
      <c r="A26" s="86" t="s">
        <v>283</v>
      </c>
      <c r="B26" s="86" t="s">
        <v>284</v>
      </c>
      <c r="C26" s="86">
        <v>61</v>
      </c>
      <c r="D26" s="86" t="s">
        <v>72</v>
      </c>
      <c r="E26" s="86" t="s">
        <v>54</v>
      </c>
      <c r="F26" s="86" t="s">
        <v>55</v>
      </c>
      <c r="G26" s="86" t="s">
        <v>56</v>
      </c>
      <c r="H26" s="87">
        <v>93853.119999999995</v>
      </c>
      <c r="I26" s="88">
        <v>45199</v>
      </c>
      <c r="J26" s="86" t="s">
        <v>258</v>
      </c>
      <c r="K26" s="87">
        <v>11105.78</v>
      </c>
      <c r="L26" s="87">
        <v>-11105.78</v>
      </c>
      <c r="M26" s="86" t="s">
        <v>89</v>
      </c>
      <c r="N26" s="86" t="s">
        <v>120</v>
      </c>
      <c r="O26" s="86">
        <v>2023</v>
      </c>
      <c r="P26" s="86" t="s">
        <v>131</v>
      </c>
      <c r="Q26" s="87">
        <v>82747.34</v>
      </c>
    </row>
    <row r="27" spans="1:17" x14ac:dyDescent="0.3">
      <c r="A27" s="89" t="s">
        <v>288</v>
      </c>
      <c r="B27" s="89" t="s">
        <v>289</v>
      </c>
      <c r="C27" s="89">
        <v>24</v>
      </c>
      <c r="D27" s="89" t="s">
        <v>76</v>
      </c>
      <c r="E27" s="89" t="s">
        <v>59</v>
      </c>
      <c r="F27" s="89" t="s">
        <v>60</v>
      </c>
      <c r="G27" s="89" t="s">
        <v>50</v>
      </c>
      <c r="H27" s="90">
        <v>73862.17</v>
      </c>
      <c r="I27" s="91">
        <v>45651</v>
      </c>
      <c r="J27" s="89" t="s">
        <v>258</v>
      </c>
      <c r="K27" s="90">
        <v>12099.75</v>
      </c>
      <c r="L27" s="90">
        <v>-12099.75</v>
      </c>
      <c r="M27" s="89" t="s">
        <v>89</v>
      </c>
      <c r="N27" s="89" t="s">
        <v>290</v>
      </c>
      <c r="O27" s="89">
        <v>2024</v>
      </c>
      <c r="P27" s="89" t="s">
        <v>125</v>
      </c>
      <c r="Q27" s="90">
        <v>61762.42</v>
      </c>
    </row>
    <row r="28" spans="1:17" x14ac:dyDescent="0.3">
      <c r="A28" s="86" t="s">
        <v>261</v>
      </c>
      <c r="B28" s="86" t="s">
        <v>262</v>
      </c>
      <c r="C28" s="86">
        <v>19</v>
      </c>
      <c r="D28" s="86" t="s">
        <v>72</v>
      </c>
      <c r="E28" s="86" t="s">
        <v>54</v>
      </c>
      <c r="F28" s="86" t="s">
        <v>55</v>
      </c>
      <c r="G28" s="86" t="s">
        <v>50</v>
      </c>
      <c r="H28" s="87">
        <v>9391.18</v>
      </c>
      <c r="I28" s="88">
        <v>45838</v>
      </c>
      <c r="J28" s="86" t="s">
        <v>253</v>
      </c>
      <c r="K28" s="87">
        <v>2072.0500000000002</v>
      </c>
      <c r="L28" s="87">
        <v>2072.0500000000002</v>
      </c>
      <c r="M28" s="86" t="s">
        <v>89</v>
      </c>
      <c r="N28" s="86" t="s">
        <v>146</v>
      </c>
      <c r="O28" s="86">
        <v>2025</v>
      </c>
      <c r="P28" s="86" t="s">
        <v>121</v>
      </c>
      <c r="Q28" s="87">
        <v>11463.23</v>
      </c>
    </row>
    <row r="29" spans="1:17" x14ac:dyDescent="0.3">
      <c r="A29" s="89" t="s">
        <v>254</v>
      </c>
      <c r="B29" s="89" t="s">
        <v>255</v>
      </c>
      <c r="C29" s="89">
        <v>22</v>
      </c>
      <c r="D29" s="89" t="s">
        <v>76</v>
      </c>
      <c r="E29" s="89" t="s">
        <v>57</v>
      </c>
      <c r="F29" s="89" t="s">
        <v>58</v>
      </c>
      <c r="G29" s="89" t="s">
        <v>50</v>
      </c>
      <c r="H29" s="90">
        <v>28152.92</v>
      </c>
      <c r="I29" s="91">
        <v>45400</v>
      </c>
      <c r="J29" s="89" t="s">
        <v>253</v>
      </c>
      <c r="K29" s="90">
        <v>19890.91</v>
      </c>
      <c r="L29" s="90">
        <v>19890.91</v>
      </c>
      <c r="M29" s="89" t="s">
        <v>77</v>
      </c>
      <c r="N29" s="89" t="s">
        <v>134</v>
      </c>
      <c r="O29" s="89">
        <v>2024</v>
      </c>
      <c r="P29" s="89" t="s">
        <v>127</v>
      </c>
      <c r="Q29" s="90">
        <v>48043.83</v>
      </c>
    </row>
    <row r="30" spans="1:17" x14ac:dyDescent="0.3">
      <c r="A30" s="86" t="s">
        <v>291</v>
      </c>
      <c r="B30" s="86" t="s">
        <v>292</v>
      </c>
      <c r="C30" s="86">
        <v>69</v>
      </c>
      <c r="D30" s="86" t="s">
        <v>76</v>
      </c>
      <c r="E30" s="86" t="s">
        <v>51</v>
      </c>
      <c r="F30" s="86" t="s">
        <v>52</v>
      </c>
      <c r="G30" s="86" t="s">
        <v>56</v>
      </c>
      <c r="H30" s="87">
        <v>82740.100000000006</v>
      </c>
      <c r="I30" s="88">
        <v>45263</v>
      </c>
      <c r="J30" s="86" t="s">
        <v>253</v>
      </c>
      <c r="K30" s="87">
        <v>1186.3399999999999</v>
      </c>
      <c r="L30" s="87">
        <v>1186.3399999999999</v>
      </c>
      <c r="M30" s="86" t="s">
        <v>89</v>
      </c>
      <c r="N30" s="86" t="s">
        <v>126</v>
      </c>
      <c r="O30" s="86">
        <v>2023</v>
      </c>
      <c r="P30" s="86" t="s">
        <v>133</v>
      </c>
      <c r="Q30" s="87">
        <v>83926.44</v>
      </c>
    </row>
    <row r="31" spans="1:17" x14ac:dyDescent="0.3">
      <c r="A31" s="89" t="s">
        <v>293</v>
      </c>
      <c r="B31" s="89" t="s">
        <v>294</v>
      </c>
      <c r="C31" s="89">
        <v>63</v>
      </c>
      <c r="D31" s="89" t="s">
        <v>72</v>
      </c>
      <c r="E31" s="89" t="s">
        <v>59</v>
      </c>
      <c r="F31" s="89" t="s">
        <v>60</v>
      </c>
      <c r="G31" s="89" t="s">
        <v>56</v>
      </c>
      <c r="H31" s="90">
        <v>62617.84</v>
      </c>
      <c r="I31" s="91">
        <v>45346</v>
      </c>
      <c r="J31" s="89" t="s">
        <v>258</v>
      </c>
      <c r="K31" s="90">
        <v>14095.4</v>
      </c>
      <c r="L31" s="90">
        <v>-14095.4</v>
      </c>
      <c r="M31" s="89" t="s">
        <v>89</v>
      </c>
      <c r="N31" s="89" t="s">
        <v>130</v>
      </c>
      <c r="O31" s="89">
        <v>2024</v>
      </c>
      <c r="P31" s="89" t="s">
        <v>131</v>
      </c>
      <c r="Q31" s="90">
        <v>48522.44</v>
      </c>
    </row>
    <row r="32" spans="1:17" x14ac:dyDescent="0.3">
      <c r="A32" s="86" t="s">
        <v>295</v>
      </c>
      <c r="B32" s="86" t="s">
        <v>296</v>
      </c>
      <c r="C32" s="86">
        <v>54</v>
      </c>
      <c r="D32" s="86" t="s">
        <v>72</v>
      </c>
      <c r="E32" s="86" t="s">
        <v>51</v>
      </c>
      <c r="F32" s="86" t="s">
        <v>52</v>
      </c>
      <c r="G32" s="86" t="s">
        <v>56</v>
      </c>
      <c r="H32" s="87">
        <v>85632.97</v>
      </c>
      <c r="I32" s="88">
        <v>45742</v>
      </c>
      <c r="J32" s="86" t="s">
        <v>258</v>
      </c>
      <c r="K32" s="87">
        <v>2075.21</v>
      </c>
      <c r="L32" s="87">
        <v>-2075.21</v>
      </c>
      <c r="M32" s="86" t="s">
        <v>89</v>
      </c>
      <c r="N32" s="86" t="s">
        <v>297</v>
      </c>
      <c r="O32" s="86">
        <v>2025</v>
      </c>
      <c r="P32" s="86" t="s">
        <v>125</v>
      </c>
      <c r="Q32" s="87">
        <v>83557.759999999995</v>
      </c>
    </row>
    <row r="33" spans="1:17" x14ac:dyDescent="0.3">
      <c r="A33" s="89" t="s">
        <v>104</v>
      </c>
      <c r="B33" s="89" t="s">
        <v>105</v>
      </c>
      <c r="C33" s="89">
        <v>49</v>
      </c>
      <c r="D33" s="89" t="s">
        <v>72</v>
      </c>
      <c r="E33" s="89" t="s">
        <v>59</v>
      </c>
      <c r="F33" s="89" t="s">
        <v>60</v>
      </c>
      <c r="G33" s="89" t="s">
        <v>53</v>
      </c>
      <c r="H33" s="90">
        <v>95714.21</v>
      </c>
      <c r="I33" s="91">
        <v>45285</v>
      </c>
      <c r="J33" s="89" t="s">
        <v>258</v>
      </c>
      <c r="K33" s="90">
        <v>12340.23</v>
      </c>
      <c r="L33" s="90">
        <v>-12340.23</v>
      </c>
      <c r="M33" s="89" t="s">
        <v>89</v>
      </c>
      <c r="N33" s="89" t="s">
        <v>126</v>
      </c>
      <c r="O33" s="89">
        <v>2023</v>
      </c>
      <c r="P33" s="89" t="s">
        <v>121</v>
      </c>
      <c r="Q33" s="90">
        <v>83373.98</v>
      </c>
    </row>
    <row r="34" spans="1:17" x14ac:dyDescent="0.3">
      <c r="A34" s="86" t="s">
        <v>298</v>
      </c>
      <c r="B34" s="86" t="s">
        <v>299</v>
      </c>
      <c r="C34" s="86">
        <v>49</v>
      </c>
      <c r="D34" s="86" t="s">
        <v>76</v>
      </c>
      <c r="E34" s="86" t="s">
        <v>57</v>
      </c>
      <c r="F34" s="86" t="s">
        <v>58</v>
      </c>
      <c r="G34" s="86" t="s">
        <v>53</v>
      </c>
      <c r="H34" s="87">
        <v>56602.77</v>
      </c>
      <c r="I34" s="88">
        <v>45509</v>
      </c>
      <c r="J34" s="86" t="s">
        <v>253</v>
      </c>
      <c r="K34" s="87">
        <v>6112.46</v>
      </c>
      <c r="L34" s="87">
        <v>6112.46</v>
      </c>
      <c r="M34" s="86" t="s">
        <v>73</v>
      </c>
      <c r="N34" s="86" t="s">
        <v>138</v>
      </c>
      <c r="O34" s="86">
        <v>2024</v>
      </c>
      <c r="P34" s="86" t="s">
        <v>121</v>
      </c>
      <c r="Q34" s="87">
        <v>62715.23</v>
      </c>
    </row>
    <row r="35" spans="1:17" x14ac:dyDescent="0.3">
      <c r="A35" s="89" t="s">
        <v>300</v>
      </c>
      <c r="B35" s="89" t="s">
        <v>301</v>
      </c>
      <c r="C35" s="89">
        <v>22</v>
      </c>
      <c r="D35" s="89" t="s">
        <v>72</v>
      </c>
      <c r="E35" s="89" t="s">
        <v>51</v>
      </c>
      <c r="F35" s="89" t="s">
        <v>52</v>
      </c>
      <c r="G35" s="89" t="s">
        <v>50</v>
      </c>
      <c r="H35" s="90">
        <v>5404.83</v>
      </c>
      <c r="I35" s="91">
        <v>45204</v>
      </c>
      <c r="J35" s="89" t="s">
        <v>253</v>
      </c>
      <c r="K35" s="90">
        <v>10597.98</v>
      </c>
      <c r="L35" s="90">
        <v>10597.98</v>
      </c>
      <c r="M35" s="89" t="s">
        <v>89</v>
      </c>
      <c r="N35" s="89" t="s">
        <v>122</v>
      </c>
      <c r="O35" s="89">
        <v>2023</v>
      </c>
      <c r="P35" s="89" t="s">
        <v>127</v>
      </c>
      <c r="Q35" s="90">
        <v>16002.81</v>
      </c>
    </row>
    <row r="36" spans="1:17" x14ac:dyDescent="0.3">
      <c r="A36" s="86" t="s">
        <v>302</v>
      </c>
      <c r="B36" s="86" t="s">
        <v>303</v>
      </c>
      <c r="C36" s="86">
        <v>55</v>
      </c>
      <c r="D36" s="86" t="s">
        <v>72</v>
      </c>
      <c r="E36" s="86" t="s">
        <v>51</v>
      </c>
      <c r="F36" s="86" t="s">
        <v>52</v>
      </c>
      <c r="G36" s="86" t="s">
        <v>56</v>
      </c>
      <c r="H36" s="87">
        <v>47071.76</v>
      </c>
      <c r="I36" s="88">
        <v>45391</v>
      </c>
      <c r="J36" s="86" t="s">
        <v>258</v>
      </c>
      <c r="K36" s="87">
        <v>19124.939999999999</v>
      </c>
      <c r="L36" s="87">
        <v>-19124.939999999999</v>
      </c>
      <c r="M36" s="86" t="s">
        <v>89</v>
      </c>
      <c r="N36" s="86" t="s">
        <v>134</v>
      </c>
      <c r="O36" s="86">
        <v>2024</v>
      </c>
      <c r="P36" s="86" t="s">
        <v>123</v>
      </c>
      <c r="Q36" s="87">
        <v>27946.82</v>
      </c>
    </row>
    <row r="37" spans="1:17" x14ac:dyDescent="0.3">
      <c r="A37" s="89" t="s">
        <v>304</v>
      </c>
      <c r="B37" s="89" t="s">
        <v>305</v>
      </c>
      <c r="C37" s="89">
        <v>20</v>
      </c>
      <c r="D37" s="89" t="s">
        <v>72</v>
      </c>
      <c r="E37" s="89" t="s">
        <v>59</v>
      </c>
      <c r="F37" s="89" t="s">
        <v>60</v>
      </c>
      <c r="G37" s="89" t="s">
        <v>50</v>
      </c>
      <c r="H37" s="90">
        <v>55866.080000000002</v>
      </c>
      <c r="I37" s="91">
        <v>45775</v>
      </c>
      <c r="J37" s="89" t="s">
        <v>258</v>
      </c>
      <c r="K37" s="90">
        <v>4089.31</v>
      </c>
      <c r="L37" s="90">
        <v>-4089.31</v>
      </c>
      <c r="M37" s="89" t="s">
        <v>89</v>
      </c>
      <c r="N37" s="89" t="s">
        <v>306</v>
      </c>
      <c r="O37" s="89">
        <v>2025</v>
      </c>
      <c r="P37" s="89" t="s">
        <v>121</v>
      </c>
      <c r="Q37" s="90">
        <v>51776.77</v>
      </c>
    </row>
    <row r="38" spans="1:17" x14ac:dyDescent="0.3">
      <c r="A38" s="86" t="s">
        <v>87</v>
      </c>
      <c r="B38" s="86" t="s">
        <v>88</v>
      </c>
      <c r="C38" s="86">
        <v>49</v>
      </c>
      <c r="D38" s="86" t="s">
        <v>76</v>
      </c>
      <c r="E38" s="86" t="s">
        <v>54</v>
      </c>
      <c r="F38" s="86" t="s">
        <v>55</v>
      </c>
      <c r="G38" s="86" t="s">
        <v>53</v>
      </c>
      <c r="H38" s="87">
        <v>1002.04</v>
      </c>
      <c r="I38" s="88">
        <v>45369</v>
      </c>
      <c r="J38" s="86" t="s">
        <v>253</v>
      </c>
      <c r="K38" s="87">
        <v>2176.91</v>
      </c>
      <c r="L38" s="87">
        <v>2176.91</v>
      </c>
      <c r="M38" s="86" t="s">
        <v>89</v>
      </c>
      <c r="N38" s="86" t="s">
        <v>132</v>
      </c>
      <c r="O38" s="86">
        <v>2024</v>
      </c>
      <c r="P38" s="86" t="s">
        <v>121</v>
      </c>
      <c r="Q38" s="87">
        <v>3178.95</v>
      </c>
    </row>
    <row r="39" spans="1:17" x14ac:dyDescent="0.3">
      <c r="A39" s="89" t="s">
        <v>275</v>
      </c>
      <c r="B39" s="89" t="s">
        <v>276</v>
      </c>
      <c r="C39" s="89">
        <v>36</v>
      </c>
      <c r="D39" s="89" t="s">
        <v>72</v>
      </c>
      <c r="E39" s="89" t="s">
        <v>54</v>
      </c>
      <c r="F39" s="89" t="s">
        <v>55</v>
      </c>
      <c r="G39" s="89" t="s">
        <v>53</v>
      </c>
      <c r="H39" s="90">
        <v>80682.16</v>
      </c>
      <c r="I39" s="91">
        <v>45739</v>
      </c>
      <c r="J39" s="89" t="s">
        <v>258</v>
      </c>
      <c r="K39" s="90">
        <v>9780.48</v>
      </c>
      <c r="L39" s="90">
        <v>-9780.48</v>
      </c>
      <c r="M39" s="89" t="s">
        <v>89</v>
      </c>
      <c r="N39" s="89" t="s">
        <v>297</v>
      </c>
      <c r="O39" s="89">
        <v>2025</v>
      </c>
      <c r="P39" s="89" t="s">
        <v>133</v>
      </c>
      <c r="Q39" s="90">
        <v>70901.679999999993</v>
      </c>
    </row>
    <row r="40" spans="1:17" x14ac:dyDescent="0.3">
      <c r="A40" s="86" t="s">
        <v>283</v>
      </c>
      <c r="B40" s="86" t="s">
        <v>284</v>
      </c>
      <c r="C40" s="86">
        <v>61</v>
      </c>
      <c r="D40" s="86" t="s">
        <v>72</v>
      </c>
      <c r="E40" s="86" t="s">
        <v>57</v>
      </c>
      <c r="F40" s="86" t="s">
        <v>58</v>
      </c>
      <c r="G40" s="86" t="s">
        <v>56</v>
      </c>
      <c r="H40" s="87">
        <v>46966.71</v>
      </c>
      <c r="I40" s="88">
        <v>45456</v>
      </c>
      <c r="J40" s="86" t="s">
        <v>253</v>
      </c>
      <c r="K40" s="87">
        <v>13966.32</v>
      </c>
      <c r="L40" s="87">
        <v>13966.32</v>
      </c>
      <c r="M40" s="86" t="s">
        <v>77</v>
      </c>
      <c r="N40" s="86" t="s">
        <v>136</v>
      </c>
      <c r="O40" s="86">
        <v>2024</v>
      </c>
      <c r="P40" s="86" t="s">
        <v>127</v>
      </c>
      <c r="Q40" s="87">
        <v>60933.03</v>
      </c>
    </row>
    <row r="41" spans="1:17" x14ac:dyDescent="0.3">
      <c r="A41" s="89" t="s">
        <v>307</v>
      </c>
      <c r="B41" s="89" t="s">
        <v>308</v>
      </c>
      <c r="C41" s="89">
        <v>53</v>
      </c>
      <c r="D41" s="89" t="s">
        <v>76</v>
      </c>
      <c r="E41" s="89" t="s">
        <v>59</v>
      </c>
      <c r="F41" s="89" t="s">
        <v>60</v>
      </c>
      <c r="G41" s="89" t="s">
        <v>56</v>
      </c>
      <c r="H41" s="90">
        <v>47497.31</v>
      </c>
      <c r="I41" s="91">
        <v>45802</v>
      </c>
      <c r="J41" s="89" t="s">
        <v>258</v>
      </c>
      <c r="K41" s="90">
        <v>11157.6</v>
      </c>
      <c r="L41" s="90">
        <v>-11157.6</v>
      </c>
      <c r="M41" s="89" t="s">
        <v>89</v>
      </c>
      <c r="N41" s="89" t="s">
        <v>309</v>
      </c>
      <c r="O41" s="89">
        <v>2025</v>
      </c>
      <c r="P41" s="89" t="s">
        <v>133</v>
      </c>
      <c r="Q41" s="90">
        <v>36339.71</v>
      </c>
    </row>
    <row r="42" spans="1:17" x14ac:dyDescent="0.3">
      <c r="A42" s="86" t="s">
        <v>286</v>
      </c>
      <c r="B42" s="86" t="s">
        <v>287</v>
      </c>
      <c r="C42" s="86">
        <v>66</v>
      </c>
      <c r="D42" s="86" t="s">
        <v>72</v>
      </c>
      <c r="E42" s="86" t="s">
        <v>54</v>
      </c>
      <c r="F42" s="86" t="s">
        <v>55</v>
      </c>
      <c r="G42" s="86" t="s">
        <v>56</v>
      </c>
      <c r="H42" s="87">
        <v>83894.36</v>
      </c>
      <c r="I42" s="88">
        <v>45577</v>
      </c>
      <c r="J42" s="86" t="s">
        <v>258</v>
      </c>
      <c r="K42" s="87">
        <v>9604.7000000000007</v>
      </c>
      <c r="L42" s="87">
        <v>-9604.7000000000007</v>
      </c>
      <c r="M42" s="86" t="s">
        <v>89</v>
      </c>
      <c r="N42" s="86" t="s">
        <v>140</v>
      </c>
      <c r="O42" s="86">
        <v>2024</v>
      </c>
      <c r="P42" s="86" t="s">
        <v>131</v>
      </c>
      <c r="Q42" s="87">
        <v>74289.66</v>
      </c>
    </row>
    <row r="43" spans="1:17" x14ac:dyDescent="0.3">
      <c r="A43" s="89" t="s">
        <v>208</v>
      </c>
      <c r="B43" s="89" t="s">
        <v>209</v>
      </c>
      <c r="C43" s="89">
        <v>41</v>
      </c>
      <c r="D43" s="89" t="s">
        <v>72</v>
      </c>
      <c r="E43" s="89" t="s">
        <v>57</v>
      </c>
      <c r="F43" s="89" t="s">
        <v>58</v>
      </c>
      <c r="G43" s="89" t="s">
        <v>53</v>
      </c>
      <c r="H43" s="90">
        <v>24487.599999999999</v>
      </c>
      <c r="I43" s="91">
        <v>45433</v>
      </c>
      <c r="J43" s="89" t="s">
        <v>253</v>
      </c>
      <c r="K43" s="90">
        <v>8618.44</v>
      </c>
      <c r="L43" s="90">
        <v>8618.44</v>
      </c>
      <c r="M43" s="89" t="s">
        <v>77</v>
      </c>
      <c r="N43" s="89" t="s">
        <v>135</v>
      </c>
      <c r="O43" s="89">
        <v>2024</v>
      </c>
      <c r="P43" s="89" t="s">
        <v>123</v>
      </c>
      <c r="Q43" s="90">
        <v>33106.04</v>
      </c>
    </row>
    <row r="44" spans="1:17" x14ac:dyDescent="0.3">
      <c r="A44" s="86" t="s">
        <v>277</v>
      </c>
      <c r="B44" s="86" t="s">
        <v>278</v>
      </c>
      <c r="C44" s="86">
        <v>46</v>
      </c>
      <c r="D44" s="86" t="s">
        <v>72</v>
      </c>
      <c r="E44" s="86" t="s">
        <v>59</v>
      </c>
      <c r="F44" s="86" t="s">
        <v>60</v>
      </c>
      <c r="G44" s="86" t="s">
        <v>53</v>
      </c>
      <c r="H44" s="87">
        <v>10126.57</v>
      </c>
      <c r="I44" s="88">
        <v>45284</v>
      </c>
      <c r="J44" s="86" t="s">
        <v>253</v>
      </c>
      <c r="K44" s="87">
        <v>2161.54</v>
      </c>
      <c r="L44" s="87">
        <v>2161.54</v>
      </c>
      <c r="M44" s="86" t="s">
        <v>89</v>
      </c>
      <c r="N44" s="86" t="s">
        <v>126</v>
      </c>
      <c r="O44" s="86">
        <v>2023</v>
      </c>
      <c r="P44" s="86" t="s">
        <v>133</v>
      </c>
      <c r="Q44" s="87">
        <v>12288.11</v>
      </c>
    </row>
    <row r="45" spans="1:17" x14ac:dyDescent="0.3">
      <c r="A45" s="89" t="s">
        <v>267</v>
      </c>
      <c r="B45" s="89" t="s">
        <v>268</v>
      </c>
      <c r="C45" s="89">
        <v>39</v>
      </c>
      <c r="D45" s="89" t="s">
        <v>76</v>
      </c>
      <c r="E45" s="89" t="s">
        <v>54</v>
      </c>
      <c r="F45" s="89" t="s">
        <v>55</v>
      </c>
      <c r="G45" s="89" t="s">
        <v>53</v>
      </c>
      <c r="H45" s="90">
        <v>23636.31</v>
      </c>
      <c r="I45" s="91">
        <v>45355</v>
      </c>
      <c r="J45" s="89" t="s">
        <v>253</v>
      </c>
      <c r="K45" s="90">
        <v>12010.59</v>
      </c>
      <c r="L45" s="90">
        <v>12010.59</v>
      </c>
      <c r="M45" s="89" t="s">
        <v>89</v>
      </c>
      <c r="N45" s="89" t="s">
        <v>132</v>
      </c>
      <c r="O45" s="89">
        <v>2024</v>
      </c>
      <c r="P45" s="89" t="s">
        <v>121</v>
      </c>
      <c r="Q45" s="90">
        <v>35646.9</v>
      </c>
    </row>
    <row r="46" spans="1:17" x14ac:dyDescent="0.3">
      <c r="A46" s="86" t="s">
        <v>208</v>
      </c>
      <c r="B46" s="86" t="s">
        <v>209</v>
      </c>
      <c r="C46" s="86">
        <v>41</v>
      </c>
      <c r="D46" s="86" t="s">
        <v>72</v>
      </c>
      <c r="E46" s="86" t="s">
        <v>57</v>
      </c>
      <c r="F46" s="86" t="s">
        <v>58</v>
      </c>
      <c r="G46" s="86" t="s">
        <v>53</v>
      </c>
      <c r="H46" s="87">
        <v>50957.01</v>
      </c>
      <c r="I46" s="88">
        <v>45388</v>
      </c>
      <c r="J46" s="86" t="s">
        <v>258</v>
      </c>
      <c r="K46" s="87">
        <v>11428.3</v>
      </c>
      <c r="L46" s="87">
        <v>-11428.3</v>
      </c>
      <c r="M46" s="86" t="s">
        <v>77</v>
      </c>
      <c r="N46" s="86" t="s">
        <v>134</v>
      </c>
      <c r="O46" s="86">
        <v>2024</v>
      </c>
      <c r="P46" s="86" t="s">
        <v>131</v>
      </c>
      <c r="Q46" s="87">
        <v>39528.71</v>
      </c>
    </row>
    <row r="47" spans="1:17" x14ac:dyDescent="0.3">
      <c r="A47" s="89" t="s">
        <v>178</v>
      </c>
      <c r="B47" s="89" t="s">
        <v>179</v>
      </c>
      <c r="C47" s="89">
        <v>48</v>
      </c>
      <c r="D47" s="89" t="s">
        <v>72</v>
      </c>
      <c r="E47" s="89" t="s">
        <v>57</v>
      </c>
      <c r="F47" s="89" t="s">
        <v>58</v>
      </c>
      <c r="G47" s="89" t="s">
        <v>53</v>
      </c>
      <c r="H47" s="90">
        <v>10311.24</v>
      </c>
      <c r="I47" s="91">
        <v>45395</v>
      </c>
      <c r="J47" s="89" t="s">
        <v>258</v>
      </c>
      <c r="K47" s="90">
        <v>10528.88</v>
      </c>
      <c r="L47" s="90">
        <v>-10528.88</v>
      </c>
      <c r="M47" s="89" t="s">
        <v>73</v>
      </c>
      <c r="N47" s="89" t="s">
        <v>134</v>
      </c>
      <c r="O47" s="89">
        <v>2024</v>
      </c>
      <c r="P47" s="89" t="s">
        <v>131</v>
      </c>
      <c r="Q47" s="90">
        <v>-217.63999999999899</v>
      </c>
    </row>
    <row r="48" spans="1:17" x14ac:dyDescent="0.3">
      <c r="A48" s="86" t="s">
        <v>310</v>
      </c>
      <c r="B48" s="86" t="s">
        <v>311</v>
      </c>
      <c r="C48" s="86">
        <v>42</v>
      </c>
      <c r="D48" s="86" t="s">
        <v>76</v>
      </c>
      <c r="E48" s="86" t="s">
        <v>51</v>
      </c>
      <c r="F48" s="86" t="s">
        <v>52</v>
      </c>
      <c r="G48" s="86" t="s">
        <v>53</v>
      </c>
      <c r="H48" s="87">
        <v>78827.37</v>
      </c>
      <c r="I48" s="88">
        <v>45546</v>
      </c>
      <c r="J48" s="86" t="s">
        <v>253</v>
      </c>
      <c r="K48" s="87">
        <v>1055.7</v>
      </c>
      <c r="L48" s="87">
        <v>1055.7</v>
      </c>
      <c r="M48" s="86" t="s">
        <v>89</v>
      </c>
      <c r="N48" s="86" t="s">
        <v>139</v>
      </c>
      <c r="O48" s="86">
        <v>2024</v>
      </c>
      <c r="P48" s="86" t="s">
        <v>125</v>
      </c>
      <c r="Q48" s="87">
        <v>79883.070000000007</v>
      </c>
    </row>
    <row r="49" spans="1:17" x14ac:dyDescent="0.3">
      <c r="A49" s="89" t="s">
        <v>312</v>
      </c>
      <c r="B49" s="89" t="s">
        <v>313</v>
      </c>
      <c r="C49" s="89">
        <v>25</v>
      </c>
      <c r="D49" s="89" t="s">
        <v>72</v>
      </c>
      <c r="E49" s="89" t="s">
        <v>59</v>
      </c>
      <c r="F49" s="89" t="s">
        <v>60</v>
      </c>
      <c r="G49" s="89" t="s">
        <v>50</v>
      </c>
      <c r="H49" s="90">
        <v>18472.7</v>
      </c>
      <c r="I49" s="91">
        <v>45269</v>
      </c>
      <c r="J49" s="89" t="s">
        <v>253</v>
      </c>
      <c r="K49" s="90">
        <v>8498.83</v>
      </c>
      <c r="L49" s="90">
        <v>8498.83</v>
      </c>
      <c r="M49" s="89" t="s">
        <v>89</v>
      </c>
      <c r="N49" s="89" t="s">
        <v>126</v>
      </c>
      <c r="O49" s="89">
        <v>2023</v>
      </c>
      <c r="P49" s="89" t="s">
        <v>131</v>
      </c>
      <c r="Q49" s="90">
        <v>26971.53</v>
      </c>
    </row>
    <row r="50" spans="1:17" x14ac:dyDescent="0.3">
      <c r="A50" s="86" t="s">
        <v>175</v>
      </c>
      <c r="B50" s="86" t="s">
        <v>176</v>
      </c>
      <c r="C50" s="86">
        <v>54</v>
      </c>
      <c r="D50" s="86" t="s">
        <v>72</v>
      </c>
      <c r="E50" s="86" t="s">
        <v>59</v>
      </c>
      <c r="F50" s="86" t="s">
        <v>60</v>
      </c>
      <c r="G50" s="86" t="s">
        <v>56</v>
      </c>
      <c r="H50" s="87">
        <v>65180.92</v>
      </c>
      <c r="I50" s="88">
        <v>45908</v>
      </c>
      <c r="J50" s="86" t="s">
        <v>258</v>
      </c>
      <c r="K50" s="87">
        <v>2879.38</v>
      </c>
      <c r="L50" s="87">
        <v>-2879.38</v>
      </c>
      <c r="M50" s="86" t="s">
        <v>89</v>
      </c>
      <c r="N50" s="86" t="s">
        <v>149</v>
      </c>
      <c r="O50" s="86">
        <v>2025</v>
      </c>
      <c r="P50" s="86" t="s">
        <v>121</v>
      </c>
      <c r="Q50" s="87">
        <v>62301.54</v>
      </c>
    </row>
    <row r="51" spans="1:17" x14ac:dyDescent="0.3">
      <c r="A51" s="89" t="s">
        <v>178</v>
      </c>
      <c r="B51" s="89" t="s">
        <v>179</v>
      </c>
      <c r="C51" s="89">
        <v>48</v>
      </c>
      <c r="D51" s="89" t="s">
        <v>72</v>
      </c>
      <c r="E51" s="89" t="s">
        <v>54</v>
      </c>
      <c r="F51" s="89" t="s">
        <v>55</v>
      </c>
      <c r="G51" s="89" t="s">
        <v>53</v>
      </c>
      <c r="H51" s="90">
        <v>66896.960000000006</v>
      </c>
      <c r="I51" s="91">
        <v>45659</v>
      </c>
      <c r="J51" s="89" t="s">
        <v>258</v>
      </c>
      <c r="K51" s="90">
        <v>5573.57</v>
      </c>
      <c r="L51" s="90">
        <v>-5573.57</v>
      </c>
      <c r="M51" s="89" t="s">
        <v>89</v>
      </c>
      <c r="N51" s="89" t="s">
        <v>314</v>
      </c>
      <c r="O51" s="89">
        <v>2025</v>
      </c>
      <c r="P51" s="89" t="s">
        <v>127</v>
      </c>
      <c r="Q51" s="90">
        <v>61323.39</v>
      </c>
    </row>
    <row r="52" spans="1:17" x14ac:dyDescent="0.3">
      <c r="A52" s="86" t="s">
        <v>302</v>
      </c>
      <c r="B52" s="86" t="s">
        <v>303</v>
      </c>
      <c r="C52" s="86">
        <v>55</v>
      </c>
      <c r="D52" s="86" t="s">
        <v>72</v>
      </c>
      <c r="E52" s="86" t="s">
        <v>57</v>
      </c>
      <c r="F52" s="86" t="s">
        <v>58</v>
      </c>
      <c r="G52" s="86" t="s">
        <v>56</v>
      </c>
      <c r="H52" s="87">
        <v>60233.88</v>
      </c>
      <c r="I52" s="88">
        <v>45891</v>
      </c>
      <c r="J52" s="86" t="s">
        <v>253</v>
      </c>
      <c r="K52" s="87">
        <v>15538.55</v>
      </c>
      <c r="L52" s="87">
        <v>15538.55</v>
      </c>
      <c r="M52" s="86" t="s">
        <v>69</v>
      </c>
      <c r="N52" s="86" t="s">
        <v>148</v>
      </c>
      <c r="O52" s="86">
        <v>2025</v>
      </c>
      <c r="P52" s="86" t="s">
        <v>129</v>
      </c>
      <c r="Q52" s="87">
        <v>75772.429999999993</v>
      </c>
    </row>
    <row r="53" spans="1:17" x14ac:dyDescent="0.3">
      <c r="A53" s="89" t="s">
        <v>312</v>
      </c>
      <c r="B53" s="89" t="s">
        <v>313</v>
      </c>
      <c r="C53" s="89">
        <v>25</v>
      </c>
      <c r="D53" s="89" t="s">
        <v>72</v>
      </c>
      <c r="E53" s="89" t="s">
        <v>59</v>
      </c>
      <c r="F53" s="89" t="s">
        <v>60</v>
      </c>
      <c r="G53" s="89" t="s">
        <v>50</v>
      </c>
      <c r="H53" s="90">
        <v>60155.25</v>
      </c>
      <c r="I53" s="91">
        <v>45714</v>
      </c>
      <c r="J53" s="89" t="s">
        <v>258</v>
      </c>
      <c r="K53" s="90">
        <v>4328.83</v>
      </c>
      <c r="L53" s="90">
        <v>-4328.83</v>
      </c>
      <c r="M53" s="89" t="s">
        <v>89</v>
      </c>
      <c r="N53" s="89" t="s">
        <v>285</v>
      </c>
      <c r="O53" s="89">
        <v>2025</v>
      </c>
      <c r="P53" s="89" t="s">
        <v>125</v>
      </c>
      <c r="Q53" s="90">
        <v>55826.42</v>
      </c>
    </row>
    <row r="54" spans="1:17" x14ac:dyDescent="0.3">
      <c r="A54" s="86" t="s">
        <v>315</v>
      </c>
      <c r="B54" s="86" t="s">
        <v>316</v>
      </c>
      <c r="C54" s="86">
        <v>64</v>
      </c>
      <c r="D54" s="86" t="s">
        <v>72</v>
      </c>
      <c r="E54" s="86" t="s">
        <v>54</v>
      </c>
      <c r="F54" s="86" t="s">
        <v>55</v>
      </c>
      <c r="G54" s="86" t="s">
        <v>56</v>
      </c>
      <c r="H54" s="87">
        <v>46958.63</v>
      </c>
      <c r="I54" s="88">
        <v>45564</v>
      </c>
      <c r="J54" s="86" t="s">
        <v>253</v>
      </c>
      <c r="K54" s="87">
        <v>1135.96</v>
      </c>
      <c r="L54" s="87">
        <v>1135.96</v>
      </c>
      <c r="M54" s="86" t="s">
        <v>89</v>
      </c>
      <c r="N54" s="86" t="s">
        <v>139</v>
      </c>
      <c r="O54" s="86">
        <v>2024</v>
      </c>
      <c r="P54" s="86" t="s">
        <v>133</v>
      </c>
      <c r="Q54" s="87">
        <v>48094.59</v>
      </c>
    </row>
    <row r="55" spans="1:17" x14ac:dyDescent="0.3">
      <c r="A55" s="89" t="s">
        <v>317</v>
      </c>
      <c r="B55" s="89" t="s">
        <v>218</v>
      </c>
      <c r="C55" s="89">
        <v>25</v>
      </c>
      <c r="D55" s="89" t="s">
        <v>76</v>
      </c>
      <c r="E55" s="89" t="s">
        <v>57</v>
      </c>
      <c r="F55" s="89" t="s">
        <v>58</v>
      </c>
      <c r="G55" s="89" t="s">
        <v>50</v>
      </c>
      <c r="H55" s="90">
        <v>83057.42</v>
      </c>
      <c r="I55" s="91">
        <v>45613</v>
      </c>
      <c r="J55" s="89" t="s">
        <v>258</v>
      </c>
      <c r="K55" s="90">
        <v>1527.56</v>
      </c>
      <c r="L55" s="90">
        <v>-1527.56</v>
      </c>
      <c r="M55" s="89" t="s">
        <v>77</v>
      </c>
      <c r="N55" s="89" t="s">
        <v>141</v>
      </c>
      <c r="O55" s="89">
        <v>2024</v>
      </c>
      <c r="P55" s="89" t="s">
        <v>133</v>
      </c>
      <c r="Q55" s="90">
        <v>81529.86</v>
      </c>
    </row>
    <row r="56" spans="1:17" x14ac:dyDescent="0.3">
      <c r="A56" s="86" t="s">
        <v>318</v>
      </c>
      <c r="B56" s="86" t="s">
        <v>319</v>
      </c>
      <c r="C56" s="86">
        <v>28</v>
      </c>
      <c r="D56" s="86" t="s">
        <v>76</v>
      </c>
      <c r="E56" s="86" t="s">
        <v>54</v>
      </c>
      <c r="F56" s="86" t="s">
        <v>55</v>
      </c>
      <c r="G56" s="86" t="s">
        <v>50</v>
      </c>
      <c r="H56" s="87">
        <v>38765.1</v>
      </c>
      <c r="I56" s="88">
        <v>45648</v>
      </c>
      <c r="J56" s="86" t="s">
        <v>258</v>
      </c>
      <c r="K56" s="87">
        <v>712.97</v>
      </c>
      <c r="L56" s="87">
        <v>-712.97</v>
      </c>
      <c r="M56" s="86" t="s">
        <v>89</v>
      </c>
      <c r="N56" s="86" t="s">
        <v>290</v>
      </c>
      <c r="O56" s="86">
        <v>2024</v>
      </c>
      <c r="P56" s="86" t="s">
        <v>133</v>
      </c>
      <c r="Q56" s="87">
        <v>38052.129999999997</v>
      </c>
    </row>
    <row r="57" spans="1:17" x14ac:dyDescent="0.3">
      <c r="A57" s="89" t="s">
        <v>215</v>
      </c>
      <c r="B57" s="89" t="s">
        <v>216</v>
      </c>
      <c r="C57" s="89">
        <v>51</v>
      </c>
      <c r="D57" s="89" t="s">
        <v>72</v>
      </c>
      <c r="E57" s="89" t="s">
        <v>57</v>
      </c>
      <c r="F57" s="89" t="s">
        <v>58</v>
      </c>
      <c r="G57" s="89" t="s">
        <v>56</v>
      </c>
      <c r="H57" s="90">
        <v>58975.06</v>
      </c>
      <c r="I57" s="91">
        <v>45700</v>
      </c>
      <c r="J57" s="89" t="s">
        <v>258</v>
      </c>
      <c r="K57" s="90">
        <v>12338.72</v>
      </c>
      <c r="L57" s="90">
        <v>-12338.72</v>
      </c>
      <c r="M57" s="89" t="s">
        <v>69</v>
      </c>
      <c r="N57" s="89" t="s">
        <v>285</v>
      </c>
      <c r="O57" s="89">
        <v>2025</v>
      </c>
      <c r="P57" s="89" t="s">
        <v>125</v>
      </c>
      <c r="Q57" s="90">
        <v>46636.34</v>
      </c>
    </row>
    <row r="58" spans="1:17" x14ac:dyDescent="0.3">
      <c r="A58" s="86" t="s">
        <v>251</v>
      </c>
      <c r="B58" s="86" t="s">
        <v>252</v>
      </c>
      <c r="C58" s="86">
        <v>58</v>
      </c>
      <c r="D58" s="86" t="s">
        <v>76</v>
      </c>
      <c r="E58" s="86" t="s">
        <v>59</v>
      </c>
      <c r="F58" s="86" t="s">
        <v>60</v>
      </c>
      <c r="G58" s="86" t="s">
        <v>56</v>
      </c>
      <c r="H58" s="87">
        <v>59256.82</v>
      </c>
      <c r="I58" s="88">
        <v>45266</v>
      </c>
      <c r="J58" s="86" t="s">
        <v>253</v>
      </c>
      <c r="K58" s="87">
        <v>3865.95</v>
      </c>
      <c r="L58" s="87">
        <v>3865.95</v>
      </c>
      <c r="M58" s="86" t="s">
        <v>89</v>
      </c>
      <c r="N58" s="86" t="s">
        <v>126</v>
      </c>
      <c r="O58" s="86">
        <v>2023</v>
      </c>
      <c r="P58" s="86" t="s">
        <v>125</v>
      </c>
      <c r="Q58" s="87">
        <v>63122.77</v>
      </c>
    </row>
    <row r="59" spans="1:17" x14ac:dyDescent="0.3">
      <c r="A59" s="89" t="s">
        <v>320</v>
      </c>
      <c r="B59" s="89" t="s">
        <v>321</v>
      </c>
      <c r="C59" s="89">
        <v>59</v>
      </c>
      <c r="D59" s="89" t="s">
        <v>76</v>
      </c>
      <c r="E59" s="89" t="s">
        <v>57</v>
      </c>
      <c r="F59" s="89" t="s">
        <v>58</v>
      </c>
      <c r="G59" s="89" t="s">
        <v>56</v>
      </c>
      <c r="H59" s="90">
        <v>10569.9</v>
      </c>
      <c r="I59" s="91">
        <v>45479</v>
      </c>
      <c r="J59" s="89" t="s">
        <v>253</v>
      </c>
      <c r="K59" s="90">
        <v>17254.87</v>
      </c>
      <c r="L59" s="90">
        <v>17254.87</v>
      </c>
      <c r="M59" s="89" t="s">
        <v>73</v>
      </c>
      <c r="N59" s="89" t="s">
        <v>137</v>
      </c>
      <c r="O59" s="89">
        <v>2024</v>
      </c>
      <c r="P59" s="89" t="s">
        <v>131</v>
      </c>
      <c r="Q59" s="90">
        <v>27824.77</v>
      </c>
    </row>
    <row r="60" spans="1:17" x14ac:dyDescent="0.3">
      <c r="A60" s="86" t="s">
        <v>191</v>
      </c>
      <c r="B60" s="86" t="s">
        <v>192</v>
      </c>
      <c r="C60" s="86">
        <v>18</v>
      </c>
      <c r="D60" s="86" t="s">
        <v>76</v>
      </c>
      <c r="E60" s="86" t="s">
        <v>51</v>
      </c>
      <c r="F60" s="86" t="s">
        <v>52</v>
      </c>
      <c r="G60" s="86" t="s">
        <v>50</v>
      </c>
      <c r="H60" s="87">
        <v>93381.92</v>
      </c>
      <c r="I60" s="88">
        <v>45446</v>
      </c>
      <c r="J60" s="86" t="s">
        <v>258</v>
      </c>
      <c r="K60" s="87">
        <v>17476.55</v>
      </c>
      <c r="L60" s="87">
        <v>-17476.55</v>
      </c>
      <c r="M60" s="86" t="s">
        <v>89</v>
      </c>
      <c r="N60" s="86" t="s">
        <v>136</v>
      </c>
      <c r="O60" s="86">
        <v>2024</v>
      </c>
      <c r="P60" s="86" t="s">
        <v>121</v>
      </c>
      <c r="Q60" s="87">
        <v>75905.37</v>
      </c>
    </row>
    <row r="61" spans="1:17" x14ac:dyDescent="0.3">
      <c r="A61" s="89" t="s">
        <v>215</v>
      </c>
      <c r="B61" s="89" t="s">
        <v>216</v>
      </c>
      <c r="C61" s="89">
        <v>51</v>
      </c>
      <c r="D61" s="89" t="s">
        <v>72</v>
      </c>
      <c r="E61" s="89" t="s">
        <v>54</v>
      </c>
      <c r="F61" s="89" t="s">
        <v>55</v>
      </c>
      <c r="G61" s="89" t="s">
        <v>56</v>
      </c>
      <c r="H61" s="90">
        <v>79263.98</v>
      </c>
      <c r="I61" s="91">
        <v>45301</v>
      </c>
      <c r="J61" s="89" t="s">
        <v>258</v>
      </c>
      <c r="K61" s="90">
        <v>17777.02</v>
      </c>
      <c r="L61" s="90">
        <v>-17777.02</v>
      </c>
      <c r="M61" s="89" t="s">
        <v>89</v>
      </c>
      <c r="N61" s="89" t="s">
        <v>128</v>
      </c>
      <c r="O61" s="89">
        <v>2024</v>
      </c>
      <c r="P61" s="89" t="s">
        <v>125</v>
      </c>
      <c r="Q61" s="90">
        <v>61486.96</v>
      </c>
    </row>
    <row r="62" spans="1:17" x14ac:dyDescent="0.3">
      <c r="A62" s="86" t="s">
        <v>104</v>
      </c>
      <c r="B62" s="86" t="s">
        <v>105</v>
      </c>
      <c r="C62" s="86">
        <v>49</v>
      </c>
      <c r="D62" s="86" t="s">
        <v>72</v>
      </c>
      <c r="E62" s="86" t="s">
        <v>59</v>
      </c>
      <c r="F62" s="86" t="s">
        <v>60</v>
      </c>
      <c r="G62" s="86" t="s">
        <v>53</v>
      </c>
      <c r="H62" s="87">
        <v>71415.539999999994</v>
      </c>
      <c r="I62" s="88">
        <v>45591</v>
      </c>
      <c r="J62" s="86" t="s">
        <v>258</v>
      </c>
      <c r="K62" s="87">
        <v>4689.93</v>
      </c>
      <c r="L62" s="87">
        <v>-4689.93</v>
      </c>
      <c r="M62" s="86" t="s">
        <v>89</v>
      </c>
      <c r="N62" s="86" t="s">
        <v>140</v>
      </c>
      <c r="O62" s="86">
        <v>2024</v>
      </c>
      <c r="P62" s="86" t="s">
        <v>131</v>
      </c>
      <c r="Q62" s="87">
        <v>66725.61</v>
      </c>
    </row>
    <row r="63" spans="1:17" x14ac:dyDescent="0.3">
      <c r="A63" s="89" t="s">
        <v>322</v>
      </c>
      <c r="B63" s="89" t="s">
        <v>323</v>
      </c>
      <c r="C63" s="89">
        <v>68</v>
      </c>
      <c r="D63" s="89" t="s">
        <v>76</v>
      </c>
      <c r="E63" s="89" t="s">
        <v>59</v>
      </c>
      <c r="F63" s="89" t="s">
        <v>60</v>
      </c>
      <c r="G63" s="89" t="s">
        <v>56</v>
      </c>
      <c r="H63" s="90">
        <v>33864.5</v>
      </c>
      <c r="I63" s="91">
        <v>45868</v>
      </c>
      <c r="J63" s="89" t="s">
        <v>258</v>
      </c>
      <c r="K63" s="90">
        <v>5607.78</v>
      </c>
      <c r="L63" s="90">
        <v>-5607.78</v>
      </c>
      <c r="M63" s="89" t="s">
        <v>89</v>
      </c>
      <c r="N63" s="89" t="s">
        <v>147</v>
      </c>
      <c r="O63" s="89">
        <v>2025</v>
      </c>
      <c r="P63" s="89" t="s">
        <v>125</v>
      </c>
      <c r="Q63" s="90">
        <v>28256.720000000001</v>
      </c>
    </row>
    <row r="64" spans="1:17" x14ac:dyDescent="0.3">
      <c r="A64" s="86" t="s">
        <v>324</v>
      </c>
      <c r="B64" s="86" t="s">
        <v>325</v>
      </c>
      <c r="C64" s="86">
        <v>59</v>
      </c>
      <c r="D64" s="86" t="s">
        <v>72</v>
      </c>
      <c r="E64" s="86" t="s">
        <v>59</v>
      </c>
      <c r="F64" s="86" t="s">
        <v>60</v>
      </c>
      <c r="G64" s="86" t="s">
        <v>56</v>
      </c>
      <c r="H64" s="87">
        <v>70411.240000000005</v>
      </c>
      <c r="I64" s="88">
        <v>45693</v>
      </c>
      <c r="J64" s="86" t="s">
        <v>253</v>
      </c>
      <c r="K64" s="87">
        <v>19548.060000000001</v>
      </c>
      <c r="L64" s="87">
        <v>19548.060000000001</v>
      </c>
      <c r="M64" s="86" t="s">
        <v>89</v>
      </c>
      <c r="N64" s="86" t="s">
        <v>285</v>
      </c>
      <c r="O64" s="86">
        <v>2025</v>
      </c>
      <c r="P64" s="86" t="s">
        <v>125</v>
      </c>
      <c r="Q64" s="87">
        <v>89959.3</v>
      </c>
    </row>
    <row r="65" spans="1:17" x14ac:dyDescent="0.3">
      <c r="A65" s="89" t="s">
        <v>188</v>
      </c>
      <c r="B65" s="89" t="s">
        <v>189</v>
      </c>
      <c r="C65" s="89">
        <v>31</v>
      </c>
      <c r="D65" s="89" t="s">
        <v>72</v>
      </c>
      <c r="E65" s="89" t="s">
        <v>54</v>
      </c>
      <c r="F65" s="89" t="s">
        <v>55</v>
      </c>
      <c r="G65" s="89" t="s">
        <v>53</v>
      </c>
      <c r="H65" s="90">
        <v>54630.22</v>
      </c>
      <c r="I65" s="91">
        <v>45353</v>
      </c>
      <c r="J65" s="89" t="s">
        <v>253</v>
      </c>
      <c r="K65" s="90">
        <v>569.70000000000005</v>
      </c>
      <c r="L65" s="90">
        <v>569.70000000000005</v>
      </c>
      <c r="M65" s="89" t="s">
        <v>89</v>
      </c>
      <c r="N65" s="89" t="s">
        <v>132</v>
      </c>
      <c r="O65" s="89">
        <v>2024</v>
      </c>
      <c r="P65" s="89" t="s">
        <v>131</v>
      </c>
      <c r="Q65" s="90">
        <v>55199.92</v>
      </c>
    </row>
    <row r="66" spans="1:17" x14ac:dyDescent="0.3">
      <c r="A66" s="86" t="s">
        <v>269</v>
      </c>
      <c r="B66" s="86" t="s">
        <v>270</v>
      </c>
      <c r="C66" s="86">
        <v>56</v>
      </c>
      <c r="D66" s="86" t="s">
        <v>76</v>
      </c>
      <c r="E66" s="86" t="s">
        <v>57</v>
      </c>
      <c r="F66" s="86" t="s">
        <v>58</v>
      </c>
      <c r="G66" s="86" t="s">
        <v>56</v>
      </c>
      <c r="H66" s="87">
        <v>83396.960000000006</v>
      </c>
      <c r="I66" s="88">
        <v>45324</v>
      </c>
      <c r="J66" s="86" t="s">
        <v>253</v>
      </c>
      <c r="K66" s="87">
        <v>19568.97</v>
      </c>
      <c r="L66" s="87">
        <v>19568.97</v>
      </c>
      <c r="M66" s="86" t="s">
        <v>73</v>
      </c>
      <c r="N66" s="86" t="s">
        <v>130</v>
      </c>
      <c r="O66" s="86">
        <v>2024</v>
      </c>
      <c r="P66" s="86" t="s">
        <v>129</v>
      </c>
      <c r="Q66" s="87">
        <v>102965.93</v>
      </c>
    </row>
    <row r="67" spans="1:17" x14ac:dyDescent="0.3">
      <c r="A67" s="89" t="s">
        <v>172</v>
      </c>
      <c r="B67" s="89" t="s">
        <v>173</v>
      </c>
      <c r="C67" s="89">
        <v>55</v>
      </c>
      <c r="D67" s="89" t="s">
        <v>76</v>
      </c>
      <c r="E67" s="89" t="s">
        <v>59</v>
      </c>
      <c r="F67" s="89" t="s">
        <v>60</v>
      </c>
      <c r="G67" s="89" t="s">
        <v>56</v>
      </c>
      <c r="H67" s="90">
        <v>13364.29</v>
      </c>
      <c r="I67" s="91">
        <v>45687</v>
      </c>
      <c r="J67" s="89" t="s">
        <v>258</v>
      </c>
      <c r="K67" s="90">
        <v>14462.22</v>
      </c>
      <c r="L67" s="90">
        <v>-14462.22</v>
      </c>
      <c r="M67" s="89" t="s">
        <v>89</v>
      </c>
      <c r="N67" s="89" t="s">
        <v>314</v>
      </c>
      <c r="O67" s="89">
        <v>2025</v>
      </c>
      <c r="P67" s="89" t="s">
        <v>127</v>
      </c>
      <c r="Q67" s="90">
        <v>-1097.93</v>
      </c>
    </row>
    <row r="68" spans="1:17" x14ac:dyDescent="0.3">
      <c r="A68" s="86" t="s">
        <v>326</v>
      </c>
      <c r="B68" s="86" t="s">
        <v>327</v>
      </c>
      <c r="C68" s="86">
        <v>27</v>
      </c>
      <c r="D68" s="86" t="s">
        <v>76</v>
      </c>
      <c r="E68" s="86" t="s">
        <v>57</v>
      </c>
      <c r="F68" s="86" t="s">
        <v>58</v>
      </c>
      <c r="G68" s="86" t="s">
        <v>50</v>
      </c>
      <c r="H68" s="87">
        <v>98549.95</v>
      </c>
      <c r="I68" s="88">
        <v>45317</v>
      </c>
      <c r="J68" s="86" t="s">
        <v>258</v>
      </c>
      <c r="K68" s="87">
        <v>9822.51</v>
      </c>
      <c r="L68" s="87">
        <v>-9822.51</v>
      </c>
      <c r="M68" s="86" t="s">
        <v>77</v>
      </c>
      <c r="N68" s="86" t="s">
        <v>128</v>
      </c>
      <c r="O68" s="86">
        <v>2024</v>
      </c>
      <c r="P68" s="86" t="s">
        <v>129</v>
      </c>
      <c r="Q68" s="87">
        <v>88727.44</v>
      </c>
    </row>
    <row r="69" spans="1:17" x14ac:dyDescent="0.3">
      <c r="A69" s="89" t="s">
        <v>328</v>
      </c>
      <c r="B69" s="89" t="s">
        <v>329</v>
      </c>
      <c r="C69" s="89">
        <v>62</v>
      </c>
      <c r="D69" s="89" t="s">
        <v>76</v>
      </c>
      <c r="E69" s="89" t="s">
        <v>54</v>
      </c>
      <c r="F69" s="89" t="s">
        <v>55</v>
      </c>
      <c r="G69" s="89" t="s">
        <v>56</v>
      </c>
      <c r="H69" s="90">
        <v>65273.7</v>
      </c>
      <c r="I69" s="91">
        <v>45855</v>
      </c>
      <c r="J69" s="89" t="s">
        <v>258</v>
      </c>
      <c r="K69" s="90">
        <v>14163.87</v>
      </c>
      <c r="L69" s="90">
        <v>-14163.87</v>
      </c>
      <c r="M69" s="89" t="s">
        <v>89</v>
      </c>
      <c r="N69" s="89" t="s">
        <v>147</v>
      </c>
      <c r="O69" s="89">
        <v>2025</v>
      </c>
      <c r="P69" s="89" t="s">
        <v>127</v>
      </c>
      <c r="Q69" s="90">
        <v>51109.83</v>
      </c>
    </row>
    <row r="70" spans="1:17" x14ac:dyDescent="0.3">
      <c r="A70" s="86" t="s">
        <v>330</v>
      </c>
      <c r="B70" s="86" t="s">
        <v>207</v>
      </c>
      <c r="C70" s="86">
        <v>35</v>
      </c>
      <c r="D70" s="86" t="s">
        <v>76</v>
      </c>
      <c r="E70" s="86" t="s">
        <v>57</v>
      </c>
      <c r="F70" s="86" t="s">
        <v>58</v>
      </c>
      <c r="G70" s="86" t="s">
        <v>53</v>
      </c>
      <c r="H70" s="87">
        <v>99682.61</v>
      </c>
      <c r="I70" s="88">
        <v>45681</v>
      </c>
      <c r="J70" s="86" t="s">
        <v>258</v>
      </c>
      <c r="K70" s="87">
        <v>7247.61</v>
      </c>
      <c r="L70" s="87">
        <v>-7247.61</v>
      </c>
      <c r="M70" s="86" t="s">
        <v>73</v>
      </c>
      <c r="N70" s="86" t="s">
        <v>314</v>
      </c>
      <c r="O70" s="86">
        <v>2025</v>
      </c>
      <c r="P70" s="86" t="s">
        <v>129</v>
      </c>
      <c r="Q70" s="87">
        <v>92435</v>
      </c>
    </row>
    <row r="71" spans="1:17" x14ac:dyDescent="0.3">
      <c r="A71" s="89" t="s">
        <v>331</v>
      </c>
      <c r="B71" s="89" t="s">
        <v>332</v>
      </c>
      <c r="C71" s="89">
        <v>56</v>
      </c>
      <c r="D71" s="89" t="s">
        <v>76</v>
      </c>
      <c r="E71" s="89" t="s">
        <v>54</v>
      </c>
      <c r="F71" s="89" t="s">
        <v>55</v>
      </c>
      <c r="G71" s="89" t="s">
        <v>56</v>
      </c>
      <c r="H71" s="90">
        <v>15912.62</v>
      </c>
      <c r="I71" s="91">
        <v>45497</v>
      </c>
      <c r="J71" s="89" t="s">
        <v>253</v>
      </c>
      <c r="K71" s="90">
        <v>1889.59</v>
      </c>
      <c r="L71" s="90">
        <v>1889.59</v>
      </c>
      <c r="M71" s="89" t="s">
        <v>89</v>
      </c>
      <c r="N71" s="89" t="s">
        <v>137</v>
      </c>
      <c r="O71" s="89">
        <v>2024</v>
      </c>
      <c r="P71" s="89" t="s">
        <v>125</v>
      </c>
      <c r="Q71" s="90">
        <v>17802.21</v>
      </c>
    </row>
    <row r="72" spans="1:17" x14ac:dyDescent="0.3">
      <c r="A72" s="86" t="s">
        <v>263</v>
      </c>
      <c r="B72" s="86" t="s">
        <v>264</v>
      </c>
      <c r="C72" s="86">
        <v>49</v>
      </c>
      <c r="D72" s="86" t="s">
        <v>76</v>
      </c>
      <c r="E72" s="86" t="s">
        <v>54</v>
      </c>
      <c r="F72" s="86" t="s">
        <v>55</v>
      </c>
      <c r="G72" s="86" t="s">
        <v>53</v>
      </c>
      <c r="H72" s="87">
        <v>97415.06</v>
      </c>
      <c r="I72" s="88">
        <v>45238</v>
      </c>
      <c r="J72" s="86" t="s">
        <v>258</v>
      </c>
      <c r="K72" s="87">
        <v>19452.89</v>
      </c>
      <c r="L72" s="87">
        <v>-19452.89</v>
      </c>
      <c r="M72" s="86" t="s">
        <v>89</v>
      </c>
      <c r="N72" s="86" t="s">
        <v>124</v>
      </c>
      <c r="O72" s="86">
        <v>2023</v>
      </c>
      <c r="P72" s="86" t="s">
        <v>125</v>
      </c>
      <c r="Q72" s="87">
        <v>77962.17</v>
      </c>
    </row>
    <row r="73" spans="1:17" x14ac:dyDescent="0.3">
      <c r="A73" s="89" t="s">
        <v>333</v>
      </c>
      <c r="B73" s="89" t="s">
        <v>334</v>
      </c>
      <c r="C73" s="89">
        <v>46</v>
      </c>
      <c r="D73" s="89" t="s">
        <v>76</v>
      </c>
      <c r="E73" s="89" t="s">
        <v>59</v>
      </c>
      <c r="F73" s="89" t="s">
        <v>60</v>
      </c>
      <c r="G73" s="89" t="s">
        <v>53</v>
      </c>
      <c r="H73" s="90">
        <v>33582.300000000003</v>
      </c>
      <c r="I73" s="91">
        <v>45816</v>
      </c>
      <c r="J73" s="89" t="s">
        <v>253</v>
      </c>
      <c r="K73" s="90">
        <v>11054.64</v>
      </c>
      <c r="L73" s="90">
        <v>11054.64</v>
      </c>
      <c r="M73" s="89" t="s">
        <v>89</v>
      </c>
      <c r="N73" s="89" t="s">
        <v>146</v>
      </c>
      <c r="O73" s="89">
        <v>2025</v>
      </c>
      <c r="P73" s="89" t="s">
        <v>133</v>
      </c>
      <c r="Q73" s="90">
        <v>44636.94</v>
      </c>
    </row>
    <row r="74" spans="1:17" x14ac:dyDescent="0.3">
      <c r="A74" s="86" t="s">
        <v>254</v>
      </c>
      <c r="B74" s="86" t="s">
        <v>255</v>
      </c>
      <c r="C74" s="86">
        <v>22</v>
      </c>
      <c r="D74" s="86" t="s">
        <v>76</v>
      </c>
      <c r="E74" s="86" t="s">
        <v>54</v>
      </c>
      <c r="F74" s="86" t="s">
        <v>55</v>
      </c>
      <c r="G74" s="86" t="s">
        <v>50</v>
      </c>
      <c r="H74" s="87">
        <v>87618.67</v>
      </c>
      <c r="I74" s="88">
        <v>45746</v>
      </c>
      <c r="J74" s="86" t="s">
        <v>258</v>
      </c>
      <c r="K74" s="87">
        <v>16395.400000000001</v>
      </c>
      <c r="L74" s="87">
        <v>-16395.400000000001</v>
      </c>
      <c r="M74" s="86" t="s">
        <v>89</v>
      </c>
      <c r="N74" s="86" t="s">
        <v>297</v>
      </c>
      <c r="O74" s="86">
        <v>2025</v>
      </c>
      <c r="P74" s="86" t="s">
        <v>133</v>
      </c>
      <c r="Q74" s="87">
        <v>71223.27</v>
      </c>
    </row>
    <row r="75" spans="1:17" x14ac:dyDescent="0.3">
      <c r="A75" s="89" t="s">
        <v>335</v>
      </c>
      <c r="B75" s="89" t="s">
        <v>211</v>
      </c>
      <c r="C75" s="89">
        <v>18</v>
      </c>
      <c r="D75" s="89" t="s">
        <v>76</v>
      </c>
      <c r="E75" s="89" t="s">
        <v>54</v>
      </c>
      <c r="F75" s="89" t="s">
        <v>55</v>
      </c>
      <c r="G75" s="89" t="s">
        <v>50</v>
      </c>
      <c r="H75" s="90">
        <v>85604.32</v>
      </c>
      <c r="I75" s="91">
        <v>45589</v>
      </c>
      <c r="J75" s="89" t="s">
        <v>253</v>
      </c>
      <c r="K75" s="90">
        <v>4735.57</v>
      </c>
      <c r="L75" s="90">
        <v>4735.57</v>
      </c>
      <c r="M75" s="89" t="s">
        <v>89</v>
      </c>
      <c r="N75" s="89" t="s">
        <v>140</v>
      </c>
      <c r="O75" s="89">
        <v>2024</v>
      </c>
      <c r="P75" s="89" t="s">
        <v>127</v>
      </c>
      <c r="Q75" s="90">
        <v>90339.89</v>
      </c>
    </row>
    <row r="76" spans="1:17" x14ac:dyDescent="0.3">
      <c r="A76" s="86" t="s">
        <v>283</v>
      </c>
      <c r="B76" s="86" t="s">
        <v>284</v>
      </c>
      <c r="C76" s="86">
        <v>61</v>
      </c>
      <c r="D76" s="86" t="s">
        <v>72</v>
      </c>
      <c r="E76" s="86" t="s">
        <v>54</v>
      </c>
      <c r="F76" s="86" t="s">
        <v>55</v>
      </c>
      <c r="G76" s="86" t="s">
        <v>56</v>
      </c>
      <c r="H76" s="87">
        <v>51595.4</v>
      </c>
      <c r="I76" s="88">
        <v>45778</v>
      </c>
      <c r="J76" s="86" t="s">
        <v>258</v>
      </c>
      <c r="K76" s="87">
        <v>13421.61</v>
      </c>
      <c r="L76" s="87">
        <v>-13421.61</v>
      </c>
      <c r="M76" s="86" t="s">
        <v>89</v>
      </c>
      <c r="N76" s="86" t="s">
        <v>309</v>
      </c>
      <c r="O76" s="86">
        <v>2025</v>
      </c>
      <c r="P76" s="86" t="s">
        <v>127</v>
      </c>
      <c r="Q76" s="87">
        <v>38173.79</v>
      </c>
    </row>
    <row r="77" spans="1:17" x14ac:dyDescent="0.3">
      <c r="A77" s="89" t="s">
        <v>322</v>
      </c>
      <c r="B77" s="89" t="s">
        <v>323</v>
      </c>
      <c r="C77" s="89">
        <v>68</v>
      </c>
      <c r="D77" s="89" t="s">
        <v>76</v>
      </c>
      <c r="E77" s="89" t="s">
        <v>57</v>
      </c>
      <c r="F77" s="89" t="s">
        <v>58</v>
      </c>
      <c r="G77" s="89" t="s">
        <v>56</v>
      </c>
      <c r="H77" s="90">
        <v>21853.35</v>
      </c>
      <c r="I77" s="91">
        <v>45703</v>
      </c>
      <c r="J77" s="89" t="s">
        <v>258</v>
      </c>
      <c r="K77" s="90">
        <v>3222.41</v>
      </c>
      <c r="L77" s="90">
        <v>-3222.41</v>
      </c>
      <c r="M77" s="89" t="s">
        <v>69</v>
      </c>
      <c r="N77" s="89" t="s">
        <v>285</v>
      </c>
      <c r="O77" s="89">
        <v>2025</v>
      </c>
      <c r="P77" s="89" t="s">
        <v>131</v>
      </c>
      <c r="Q77" s="90">
        <v>18630.939999999999</v>
      </c>
    </row>
    <row r="78" spans="1:17" x14ac:dyDescent="0.3">
      <c r="A78" s="86" t="s">
        <v>336</v>
      </c>
      <c r="B78" s="86" t="s">
        <v>337</v>
      </c>
      <c r="C78" s="86">
        <v>22</v>
      </c>
      <c r="D78" s="86" t="s">
        <v>76</v>
      </c>
      <c r="E78" s="86" t="s">
        <v>54</v>
      </c>
      <c r="F78" s="86" t="s">
        <v>55</v>
      </c>
      <c r="G78" s="86" t="s">
        <v>50</v>
      </c>
      <c r="H78" s="87">
        <v>30039.759999999998</v>
      </c>
      <c r="I78" s="88">
        <v>45543</v>
      </c>
      <c r="J78" s="86" t="s">
        <v>258</v>
      </c>
      <c r="K78" s="87">
        <v>7278.96</v>
      </c>
      <c r="L78" s="87">
        <v>-7278.96</v>
      </c>
      <c r="M78" s="86" t="s">
        <v>89</v>
      </c>
      <c r="N78" s="86" t="s">
        <v>139</v>
      </c>
      <c r="O78" s="86">
        <v>2024</v>
      </c>
      <c r="P78" s="86" t="s">
        <v>133</v>
      </c>
      <c r="Q78" s="87">
        <v>22760.799999999999</v>
      </c>
    </row>
    <row r="79" spans="1:17" x14ac:dyDescent="0.3">
      <c r="A79" s="89" t="s">
        <v>328</v>
      </c>
      <c r="B79" s="89" t="s">
        <v>329</v>
      </c>
      <c r="C79" s="89">
        <v>62</v>
      </c>
      <c r="D79" s="89" t="s">
        <v>76</v>
      </c>
      <c r="E79" s="89" t="s">
        <v>57</v>
      </c>
      <c r="F79" s="89" t="s">
        <v>58</v>
      </c>
      <c r="G79" s="89" t="s">
        <v>56</v>
      </c>
      <c r="H79" s="90">
        <v>37188.78</v>
      </c>
      <c r="I79" s="91">
        <v>45270</v>
      </c>
      <c r="J79" s="89" t="s">
        <v>253</v>
      </c>
      <c r="K79" s="90">
        <v>13878.98</v>
      </c>
      <c r="L79" s="90">
        <v>13878.98</v>
      </c>
      <c r="M79" s="89" t="s">
        <v>69</v>
      </c>
      <c r="N79" s="89" t="s">
        <v>126</v>
      </c>
      <c r="O79" s="89">
        <v>2023</v>
      </c>
      <c r="P79" s="89" t="s">
        <v>133</v>
      </c>
      <c r="Q79" s="90">
        <v>51067.76</v>
      </c>
    </row>
    <row r="80" spans="1:17" x14ac:dyDescent="0.3">
      <c r="A80" s="86" t="s">
        <v>271</v>
      </c>
      <c r="B80" s="86" t="s">
        <v>272</v>
      </c>
      <c r="C80" s="86">
        <v>31</v>
      </c>
      <c r="D80" s="86" t="s">
        <v>72</v>
      </c>
      <c r="E80" s="86" t="s">
        <v>57</v>
      </c>
      <c r="F80" s="86" t="s">
        <v>58</v>
      </c>
      <c r="G80" s="86" t="s">
        <v>53</v>
      </c>
      <c r="H80" s="87">
        <v>75368.2</v>
      </c>
      <c r="I80" s="88">
        <v>45727</v>
      </c>
      <c r="J80" s="86" t="s">
        <v>258</v>
      </c>
      <c r="K80" s="87">
        <v>5819.42</v>
      </c>
      <c r="L80" s="87">
        <v>-5819.42</v>
      </c>
      <c r="M80" s="86" t="s">
        <v>69</v>
      </c>
      <c r="N80" s="86" t="s">
        <v>297</v>
      </c>
      <c r="O80" s="86">
        <v>2025</v>
      </c>
      <c r="P80" s="86" t="s">
        <v>123</v>
      </c>
      <c r="Q80" s="87">
        <v>69548.78</v>
      </c>
    </row>
    <row r="81" spans="1:17" x14ac:dyDescent="0.3">
      <c r="A81" s="89" t="s">
        <v>178</v>
      </c>
      <c r="B81" s="89" t="s">
        <v>179</v>
      </c>
      <c r="C81" s="89">
        <v>48</v>
      </c>
      <c r="D81" s="89" t="s">
        <v>72</v>
      </c>
      <c r="E81" s="89" t="s">
        <v>57</v>
      </c>
      <c r="F81" s="89" t="s">
        <v>58</v>
      </c>
      <c r="G81" s="89" t="s">
        <v>53</v>
      </c>
      <c r="H81" s="90">
        <v>11273.84</v>
      </c>
      <c r="I81" s="91">
        <v>45295</v>
      </c>
      <c r="J81" s="89" t="s">
        <v>258</v>
      </c>
      <c r="K81" s="90">
        <v>8609.99</v>
      </c>
      <c r="L81" s="90">
        <v>-8609.99</v>
      </c>
      <c r="M81" s="89" t="s">
        <v>69</v>
      </c>
      <c r="N81" s="89" t="s">
        <v>128</v>
      </c>
      <c r="O81" s="89">
        <v>2024</v>
      </c>
      <c r="P81" s="89" t="s">
        <v>127</v>
      </c>
      <c r="Q81" s="90">
        <v>2663.85</v>
      </c>
    </row>
    <row r="82" spans="1:17" x14ac:dyDescent="0.3">
      <c r="A82" s="86" t="s">
        <v>202</v>
      </c>
      <c r="B82" s="86" t="s">
        <v>203</v>
      </c>
      <c r="C82" s="86">
        <v>19</v>
      </c>
      <c r="D82" s="86" t="s">
        <v>76</v>
      </c>
      <c r="E82" s="86" t="s">
        <v>59</v>
      </c>
      <c r="F82" s="86" t="s">
        <v>60</v>
      </c>
      <c r="G82" s="86" t="s">
        <v>50</v>
      </c>
      <c r="H82" s="87">
        <v>19068.29</v>
      </c>
      <c r="I82" s="88">
        <v>45440</v>
      </c>
      <c r="J82" s="86" t="s">
        <v>258</v>
      </c>
      <c r="K82" s="87">
        <v>9600.7800000000007</v>
      </c>
      <c r="L82" s="87">
        <v>-9600.7800000000007</v>
      </c>
      <c r="M82" s="86" t="s">
        <v>89</v>
      </c>
      <c r="N82" s="86" t="s">
        <v>135</v>
      </c>
      <c r="O82" s="86">
        <v>2024</v>
      </c>
      <c r="P82" s="86" t="s">
        <v>123</v>
      </c>
      <c r="Q82" s="87">
        <v>9467.51</v>
      </c>
    </row>
    <row r="83" spans="1:17" x14ac:dyDescent="0.3">
      <c r="A83" s="89" t="s">
        <v>202</v>
      </c>
      <c r="B83" s="89" t="s">
        <v>203</v>
      </c>
      <c r="C83" s="89">
        <v>19</v>
      </c>
      <c r="D83" s="89" t="s">
        <v>76</v>
      </c>
      <c r="E83" s="89" t="s">
        <v>51</v>
      </c>
      <c r="F83" s="89" t="s">
        <v>52</v>
      </c>
      <c r="G83" s="89" t="s">
        <v>50</v>
      </c>
      <c r="H83" s="90">
        <v>97682.05</v>
      </c>
      <c r="I83" s="91">
        <v>45862</v>
      </c>
      <c r="J83" s="89" t="s">
        <v>253</v>
      </c>
      <c r="K83" s="90">
        <v>13735.08</v>
      </c>
      <c r="L83" s="90">
        <v>13735.08</v>
      </c>
      <c r="M83" s="89" t="s">
        <v>89</v>
      </c>
      <c r="N83" s="89" t="s">
        <v>147</v>
      </c>
      <c r="O83" s="89">
        <v>2025</v>
      </c>
      <c r="P83" s="89" t="s">
        <v>127</v>
      </c>
      <c r="Q83" s="90">
        <v>111417.13</v>
      </c>
    </row>
    <row r="84" spans="1:17" x14ac:dyDescent="0.3">
      <c r="A84" s="86" t="s">
        <v>106</v>
      </c>
      <c r="B84" s="86" t="s">
        <v>107</v>
      </c>
      <c r="C84" s="86">
        <v>35</v>
      </c>
      <c r="D84" s="86" t="s">
        <v>76</v>
      </c>
      <c r="E84" s="86" t="s">
        <v>57</v>
      </c>
      <c r="F84" s="86" t="s">
        <v>58</v>
      </c>
      <c r="G84" s="86" t="s">
        <v>53</v>
      </c>
      <c r="H84" s="87">
        <v>44886.31</v>
      </c>
      <c r="I84" s="88">
        <v>45503</v>
      </c>
      <c r="J84" s="86" t="s">
        <v>253</v>
      </c>
      <c r="K84" s="87">
        <v>17372.580000000002</v>
      </c>
      <c r="L84" s="87">
        <v>17372.580000000002</v>
      </c>
      <c r="M84" s="86" t="s">
        <v>77</v>
      </c>
      <c r="N84" s="86" t="s">
        <v>137</v>
      </c>
      <c r="O84" s="86">
        <v>2024</v>
      </c>
      <c r="P84" s="86" t="s">
        <v>123</v>
      </c>
      <c r="Q84" s="87">
        <v>62258.89</v>
      </c>
    </row>
    <row r="85" spans="1:17" x14ac:dyDescent="0.3">
      <c r="A85" s="89" t="s">
        <v>300</v>
      </c>
      <c r="B85" s="89" t="s">
        <v>301</v>
      </c>
      <c r="C85" s="89">
        <v>22</v>
      </c>
      <c r="D85" s="89" t="s">
        <v>72</v>
      </c>
      <c r="E85" s="89" t="s">
        <v>54</v>
      </c>
      <c r="F85" s="89" t="s">
        <v>55</v>
      </c>
      <c r="G85" s="89" t="s">
        <v>50</v>
      </c>
      <c r="H85" s="90">
        <v>95395.04</v>
      </c>
      <c r="I85" s="91">
        <v>45556</v>
      </c>
      <c r="J85" s="89" t="s">
        <v>258</v>
      </c>
      <c r="K85" s="90">
        <v>10161.68</v>
      </c>
      <c r="L85" s="90">
        <v>-10161.68</v>
      </c>
      <c r="M85" s="89" t="s">
        <v>89</v>
      </c>
      <c r="N85" s="89" t="s">
        <v>139</v>
      </c>
      <c r="O85" s="89">
        <v>2024</v>
      </c>
      <c r="P85" s="89" t="s">
        <v>131</v>
      </c>
      <c r="Q85" s="90">
        <v>85233.36</v>
      </c>
    </row>
    <row r="86" spans="1:17" x14ac:dyDescent="0.3">
      <c r="A86" s="86" t="s">
        <v>269</v>
      </c>
      <c r="B86" s="86" t="s">
        <v>270</v>
      </c>
      <c r="C86" s="86">
        <v>56</v>
      </c>
      <c r="D86" s="86" t="s">
        <v>76</v>
      </c>
      <c r="E86" s="86" t="s">
        <v>59</v>
      </c>
      <c r="F86" s="86" t="s">
        <v>60</v>
      </c>
      <c r="G86" s="86" t="s">
        <v>56</v>
      </c>
      <c r="H86" s="87">
        <v>67429.09</v>
      </c>
      <c r="I86" s="88">
        <v>45399</v>
      </c>
      <c r="J86" s="86" t="s">
        <v>258</v>
      </c>
      <c r="K86" s="87">
        <v>3763.45</v>
      </c>
      <c r="L86" s="87">
        <v>-3763.45</v>
      </c>
      <c r="M86" s="86" t="s">
        <v>89</v>
      </c>
      <c r="N86" s="86" t="s">
        <v>134</v>
      </c>
      <c r="O86" s="86">
        <v>2024</v>
      </c>
      <c r="P86" s="86" t="s">
        <v>125</v>
      </c>
      <c r="Q86" s="87">
        <v>63665.64</v>
      </c>
    </row>
    <row r="87" spans="1:17" x14ac:dyDescent="0.3">
      <c r="A87" s="89" t="s">
        <v>291</v>
      </c>
      <c r="B87" s="89" t="s">
        <v>292</v>
      </c>
      <c r="C87" s="89">
        <v>69</v>
      </c>
      <c r="D87" s="89" t="s">
        <v>76</v>
      </c>
      <c r="E87" s="89" t="s">
        <v>51</v>
      </c>
      <c r="F87" s="89" t="s">
        <v>52</v>
      </c>
      <c r="G87" s="89" t="s">
        <v>56</v>
      </c>
      <c r="H87" s="90">
        <v>39464.99</v>
      </c>
      <c r="I87" s="91">
        <v>45542</v>
      </c>
      <c r="J87" s="89" t="s">
        <v>258</v>
      </c>
      <c r="K87" s="90">
        <v>1721.26</v>
      </c>
      <c r="L87" s="90">
        <v>-1721.26</v>
      </c>
      <c r="M87" s="89" t="s">
        <v>89</v>
      </c>
      <c r="N87" s="89" t="s">
        <v>139</v>
      </c>
      <c r="O87" s="89">
        <v>2024</v>
      </c>
      <c r="P87" s="89" t="s">
        <v>131</v>
      </c>
      <c r="Q87" s="90">
        <v>37743.730000000003</v>
      </c>
    </row>
    <row r="88" spans="1:17" x14ac:dyDescent="0.3">
      <c r="A88" s="86" t="s">
        <v>338</v>
      </c>
      <c r="B88" s="86" t="s">
        <v>339</v>
      </c>
      <c r="C88" s="86">
        <v>40</v>
      </c>
      <c r="D88" s="86" t="s">
        <v>72</v>
      </c>
      <c r="E88" s="86" t="s">
        <v>54</v>
      </c>
      <c r="F88" s="86" t="s">
        <v>55</v>
      </c>
      <c r="G88" s="86" t="s">
        <v>53</v>
      </c>
      <c r="H88" s="87">
        <v>44526.76</v>
      </c>
      <c r="I88" s="88">
        <v>45573</v>
      </c>
      <c r="J88" s="86" t="s">
        <v>253</v>
      </c>
      <c r="K88" s="87">
        <v>6420.78</v>
      </c>
      <c r="L88" s="87">
        <v>6420.78</v>
      </c>
      <c r="M88" s="86" t="s">
        <v>89</v>
      </c>
      <c r="N88" s="86" t="s">
        <v>140</v>
      </c>
      <c r="O88" s="86">
        <v>2024</v>
      </c>
      <c r="P88" s="86" t="s">
        <v>123</v>
      </c>
      <c r="Q88" s="87">
        <v>50947.54</v>
      </c>
    </row>
    <row r="89" spans="1:17" x14ac:dyDescent="0.3">
      <c r="A89" s="89" t="s">
        <v>90</v>
      </c>
      <c r="B89" s="89" t="s">
        <v>91</v>
      </c>
      <c r="C89" s="89">
        <v>41</v>
      </c>
      <c r="D89" s="89" t="s">
        <v>72</v>
      </c>
      <c r="E89" s="89" t="s">
        <v>59</v>
      </c>
      <c r="F89" s="89" t="s">
        <v>60</v>
      </c>
      <c r="G89" s="89" t="s">
        <v>53</v>
      </c>
      <c r="H89" s="90">
        <v>15408</v>
      </c>
      <c r="I89" s="91">
        <v>45646</v>
      </c>
      <c r="J89" s="89" t="s">
        <v>258</v>
      </c>
      <c r="K89" s="90">
        <v>16033.38</v>
      </c>
      <c r="L89" s="90">
        <v>-16033.38</v>
      </c>
      <c r="M89" s="89" t="s">
        <v>89</v>
      </c>
      <c r="N89" s="89" t="s">
        <v>290</v>
      </c>
      <c r="O89" s="89">
        <v>2024</v>
      </c>
      <c r="P89" s="89" t="s">
        <v>129</v>
      </c>
      <c r="Q89" s="90">
        <v>-625.37999999999897</v>
      </c>
    </row>
    <row r="90" spans="1:17" x14ac:dyDescent="0.3">
      <c r="A90" s="86" t="s">
        <v>336</v>
      </c>
      <c r="B90" s="86" t="s">
        <v>337</v>
      </c>
      <c r="C90" s="86">
        <v>22</v>
      </c>
      <c r="D90" s="86" t="s">
        <v>76</v>
      </c>
      <c r="E90" s="86" t="s">
        <v>57</v>
      </c>
      <c r="F90" s="86" t="s">
        <v>58</v>
      </c>
      <c r="G90" s="86" t="s">
        <v>50</v>
      </c>
      <c r="H90" s="87">
        <v>13523.35</v>
      </c>
      <c r="I90" s="88">
        <v>45843</v>
      </c>
      <c r="J90" s="86" t="s">
        <v>258</v>
      </c>
      <c r="K90" s="87">
        <v>19831.88</v>
      </c>
      <c r="L90" s="87">
        <v>-19831.88</v>
      </c>
      <c r="M90" s="86" t="s">
        <v>77</v>
      </c>
      <c r="N90" s="86" t="s">
        <v>147</v>
      </c>
      <c r="O90" s="86">
        <v>2025</v>
      </c>
      <c r="P90" s="86" t="s">
        <v>131</v>
      </c>
      <c r="Q90" s="87">
        <v>-6308.53</v>
      </c>
    </row>
    <row r="91" spans="1:17" x14ac:dyDescent="0.3">
      <c r="A91" s="89" t="s">
        <v>106</v>
      </c>
      <c r="B91" s="89" t="s">
        <v>107</v>
      </c>
      <c r="C91" s="89">
        <v>35</v>
      </c>
      <c r="D91" s="89" t="s">
        <v>76</v>
      </c>
      <c r="E91" s="89" t="s">
        <v>59</v>
      </c>
      <c r="F91" s="89" t="s">
        <v>60</v>
      </c>
      <c r="G91" s="89" t="s">
        <v>53</v>
      </c>
      <c r="H91" s="90">
        <v>7063.36</v>
      </c>
      <c r="I91" s="91">
        <v>45817</v>
      </c>
      <c r="J91" s="89" t="s">
        <v>258</v>
      </c>
      <c r="K91" s="90">
        <v>8819.4699999999993</v>
      </c>
      <c r="L91" s="90">
        <v>-8819.4699999999993</v>
      </c>
      <c r="M91" s="89" t="s">
        <v>89</v>
      </c>
      <c r="N91" s="89" t="s">
        <v>146</v>
      </c>
      <c r="O91" s="89">
        <v>2025</v>
      </c>
      <c r="P91" s="89" t="s">
        <v>121</v>
      </c>
      <c r="Q91" s="90">
        <v>-1756.11</v>
      </c>
    </row>
    <row r="92" spans="1:17" x14ac:dyDescent="0.3">
      <c r="A92" s="86" t="s">
        <v>275</v>
      </c>
      <c r="B92" s="86" t="s">
        <v>276</v>
      </c>
      <c r="C92" s="86">
        <v>36</v>
      </c>
      <c r="D92" s="86" t="s">
        <v>72</v>
      </c>
      <c r="E92" s="86" t="s">
        <v>54</v>
      </c>
      <c r="F92" s="86" t="s">
        <v>55</v>
      </c>
      <c r="G92" s="86" t="s">
        <v>53</v>
      </c>
      <c r="H92" s="87">
        <v>44446.080000000002</v>
      </c>
      <c r="I92" s="88">
        <v>45362</v>
      </c>
      <c r="J92" s="86" t="s">
        <v>258</v>
      </c>
      <c r="K92" s="87">
        <v>8324.82</v>
      </c>
      <c r="L92" s="87">
        <v>-8324.82</v>
      </c>
      <c r="M92" s="86" t="s">
        <v>89</v>
      </c>
      <c r="N92" s="86" t="s">
        <v>132</v>
      </c>
      <c r="O92" s="86">
        <v>2024</v>
      </c>
      <c r="P92" s="86" t="s">
        <v>121</v>
      </c>
      <c r="Q92" s="87">
        <v>36121.26</v>
      </c>
    </row>
    <row r="93" spans="1:17" x14ac:dyDescent="0.3">
      <c r="A93" s="89" t="s">
        <v>175</v>
      </c>
      <c r="B93" s="89" t="s">
        <v>176</v>
      </c>
      <c r="C93" s="89">
        <v>54</v>
      </c>
      <c r="D93" s="89" t="s">
        <v>72</v>
      </c>
      <c r="E93" s="89" t="s">
        <v>59</v>
      </c>
      <c r="F93" s="89" t="s">
        <v>60</v>
      </c>
      <c r="G93" s="89" t="s">
        <v>56</v>
      </c>
      <c r="H93" s="90">
        <v>58716.49</v>
      </c>
      <c r="I93" s="91">
        <v>45439</v>
      </c>
      <c r="J93" s="89" t="s">
        <v>253</v>
      </c>
      <c r="K93" s="90">
        <v>18566.349999999999</v>
      </c>
      <c r="L93" s="90">
        <v>18566.349999999999</v>
      </c>
      <c r="M93" s="89" t="s">
        <v>89</v>
      </c>
      <c r="N93" s="89" t="s">
        <v>135</v>
      </c>
      <c r="O93" s="89">
        <v>2024</v>
      </c>
      <c r="P93" s="89" t="s">
        <v>121</v>
      </c>
      <c r="Q93" s="90">
        <v>77282.84</v>
      </c>
    </row>
    <row r="94" spans="1:17" x14ac:dyDescent="0.3">
      <c r="A94" s="86" t="s">
        <v>269</v>
      </c>
      <c r="B94" s="86" t="s">
        <v>270</v>
      </c>
      <c r="C94" s="86">
        <v>56</v>
      </c>
      <c r="D94" s="86" t="s">
        <v>76</v>
      </c>
      <c r="E94" s="86" t="s">
        <v>57</v>
      </c>
      <c r="F94" s="86" t="s">
        <v>58</v>
      </c>
      <c r="G94" s="86" t="s">
        <v>56</v>
      </c>
      <c r="H94" s="87">
        <v>89211.57</v>
      </c>
      <c r="I94" s="88">
        <v>45763</v>
      </c>
      <c r="J94" s="86" t="s">
        <v>253</v>
      </c>
      <c r="K94" s="87">
        <v>7540.6</v>
      </c>
      <c r="L94" s="87">
        <v>7540.6</v>
      </c>
      <c r="M94" s="86" t="s">
        <v>69</v>
      </c>
      <c r="N94" s="86" t="s">
        <v>306</v>
      </c>
      <c r="O94" s="86">
        <v>2025</v>
      </c>
      <c r="P94" s="86" t="s">
        <v>125</v>
      </c>
      <c r="Q94" s="87">
        <v>96752.17</v>
      </c>
    </row>
    <row r="95" spans="1:17" x14ac:dyDescent="0.3">
      <c r="A95" s="89" t="s">
        <v>104</v>
      </c>
      <c r="B95" s="89" t="s">
        <v>105</v>
      </c>
      <c r="C95" s="89">
        <v>49</v>
      </c>
      <c r="D95" s="89" t="s">
        <v>72</v>
      </c>
      <c r="E95" s="89" t="s">
        <v>59</v>
      </c>
      <c r="F95" s="89" t="s">
        <v>60</v>
      </c>
      <c r="G95" s="89" t="s">
        <v>53</v>
      </c>
      <c r="H95" s="90">
        <v>62586.22</v>
      </c>
      <c r="I95" s="91">
        <v>45844</v>
      </c>
      <c r="J95" s="89" t="s">
        <v>253</v>
      </c>
      <c r="K95" s="90">
        <v>1825.8</v>
      </c>
      <c r="L95" s="90">
        <v>1825.8</v>
      </c>
      <c r="M95" s="89" t="s">
        <v>89</v>
      </c>
      <c r="N95" s="89" t="s">
        <v>147</v>
      </c>
      <c r="O95" s="89">
        <v>2025</v>
      </c>
      <c r="P95" s="89" t="s">
        <v>133</v>
      </c>
      <c r="Q95" s="90">
        <v>64412.02</v>
      </c>
    </row>
    <row r="96" spans="1:17" x14ac:dyDescent="0.3">
      <c r="A96" s="86" t="s">
        <v>104</v>
      </c>
      <c r="B96" s="86" t="s">
        <v>105</v>
      </c>
      <c r="C96" s="86">
        <v>49</v>
      </c>
      <c r="D96" s="86" t="s">
        <v>72</v>
      </c>
      <c r="E96" s="86" t="s">
        <v>57</v>
      </c>
      <c r="F96" s="86" t="s">
        <v>58</v>
      </c>
      <c r="G96" s="86" t="s">
        <v>53</v>
      </c>
      <c r="H96" s="87">
        <v>43886.62</v>
      </c>
      <c r="I96" s="88">
        <v>45554</v>
      </c>
      <c r="J96" s="86" t="s">
        <v>258</v>
      </c>
      <c r="K96" s="87">
        <v>18063.47</v>
      </c>
      <c r="L96" s="87">
        <v>-18063.47</v>
      </c>
      <c r="M96" s="86" t="s">
        <v>77</v>
      </c>
      <c r="N96" s="86" t="s">
        <v>139</v>
      </c>
      <c r="O96" s="86">
        <v>2024</v>
      </c>
      <c r="P96" s="86" t="s">
        <v>127</v>
      </c>
      <c r="Q96" s="87">
        <v>25823.15</v>
      </c>
    </row>
    <row r="97" spans="1:17" x14ac:dyDescent="0.3">
      <c r="A97" s="89" t="s">
        <v>185</v>
      </c>
      <c r="B97" s="89" t="s">
        <v>186</v>
      </c>
      <c r="C97" s="89">
        <v>45</v>
      </c>
      <c r="D97" s="89" t="s">
        <v>76</v>
      </c>
      <c r="E97" s="89" t="s">
        <v>57</v>
      </c>
      <c r="F97" s="89" t="s">
        <v>58</v>
      </c>
      <c r="G97" s="89" t="s">
        <v>53</v>
      </c>
      <c r="H97" s="90">
        <v>74040.259999999995</v>
      </c>
      <c r="I97" s="91">
        <v>45435</v>
      </c>
      <c r="J97" s="89" t="s">
        <v>258</v>
      </c>
      <c r="K97" s="90">
        <v>19071.09</v>
      </c>
      <c r="L97" s="90">
        <v>-19071.09</v>
      </c>
      <c r="M97" s="89" t="s">
        <v>77</v>
      </c>
      <c r="N97" s="89" t="s">
        <v>135</v>
      </c>
      <c r="O97" s="89">
        <v>2024</v>
      </c>
      <c r="P97" s="89" t="s">
        <v>127</v>
      </c>
      <c r="Q97" s="90">
        <v>54969.17</v>
      </c>
    </row>
    <row r="98" spans="1:17" x14ac:dyDescent="0.3">
      <c r="A98" s="86" t="s">
        <v>340</v>
      </c>
      <c r="B98" s="86" t="s">
        <v>341</v>
      </c>
      <c r="C98" s="86">
        <v>18</v>
      </c>
      <c r="D98" s="86" t="s">
        <v>72</v>
      </c>
      <c r="E98" s="86" t="s">
        <v>59</v>
      </c>
      <c r="F98" s="86" t="s">
        <v>60</v>
      </c>
      <c r="G98" s="86" t="s">
        <v>50</v>
      </c>
      <c r="H98" s="87">
        <v>76402.73</v>
      </c>
      <c r="I98" s="88">
        <v>45411</v>
      </c>
      <c r="J98" s="86" t="s">
        <v>258</v>
      </c>
      <c r="K98" s="87">
        <v>2284.56</v>
      </c>
      <c r="L98" s="87">
        <v>-2284.56</v>
      </c>
      <c r="M98" s="86" t="s">
        <v>89</v>
      </c>
      <c r="N98" s="86" t="s">
        <v>134</v>
      </c>
      <c r="O98" s="86">
        <v>2024</v>
      </c>
      <c r="P98" s="86" t="s">
        <v>121</v>
      </c>
      <c r="Q98" s="87">
        <v>74118.17</v>
      </c>
    </row>
    <row r="99" spans="1:17" x14ac:dyDescent="0.3">
      <c r="A99" s="89" t="s">
        <v>188</v>
      </c>
      <c r="B99" s="89" t="s">
        <v>189</v>
      </c>
      <c r="C99" s="89">
        <v>31</v>
      </c>
      <c r="D99" s="89" t="s">
        <v>72</v>
      </c>
      <c r="E99" s="89" t="s">
        <v>51</v>
      </c>
      <c r="F99" s="89" t="s">
        <v>52</v>
      </c>
      <c r="G99" s="89" t="s">
        <v>53</v>
      </c>
      <c r="H99" s="90">
        <v>93628.29</v>
      </c>
      <c r="I99" s="91">
        <v>45730</v>
      </c>
      <c r="J99" s="89" t="s">
        <v>253</v>
      </c>
      <c r="K99" s="90">
        <v>13034.17</v>
      </c>
      <c r="L99" s="90">
        <v>13034.17</v>
      </c>
      <c r="M99" s="89" t="s">
        <v>89</v>
      </c>
      <c r="N99" s="89" t="s">
        <v>297</v>
      </c>
      <c r="O99" s="89">
        <v>2025</v>
      </c>
      <c r="P99" s="89" t="s">
        <v>129</v>
      </c>
      <c r="Q99" s="90">
        <v>106662.46</v>
      </c>
    </row>
    <row r="100" spans="1:17" x14ac:dyDescent="0.3">
      <c r="A100" s="86" t="s">
        <v>342</v>
      </c>
      <c r="B100" s="86" t="s">
        <v>343</v>
      </c>
      <c r="C100" s="86">
        <v>50</v>
      </c>
      <c r="D100" s="86" t="s">
        <v>76</v>
      </c>
      <c r="E100" s="86" t="s">
        <v>57</v>
      </c>
      <c r="F100" s="86" t="s">
        <v>58</v>
      </c>
      <c r="G100" s="86" t="s">
        <v>53</v>
      </c>
      <c r="H100" s="87">
        <v>21333.77</v>
      </c>
      <c r="I100" s="88">
        <v>45594</v>
      </c>
      <c r="J100" s="86" t="s">
        <v>258</v>
      </c>
      <c r="K100" s="87">
        <v>16277.4</v>
      </c>
      <c r="L100" s="87">
        <v>-16277.4</v>
      </c>
      <c r="M100" s="86" t="s">
        <v>69</v>
      </c>
      <c r="N100" s="86" t="s">
        <v>140</v>
      </c>
      <c r="O100" s="86">
        <v>2024</v>
      </c>
      <c r="P100" s="86" t="s">
        <v>123</v>
      </c>
      <c r="Q100" s="87">
        <v>5056.37</v>
      </c>
    </row>
    <row r="101" spans="1:17" x14ac:dyDescent="0.3">
      <c r="A101" s="89" t="s">
        <v>344</v>
      </c>
      <c r="B101" s="89" t="s">
        <v>217</v>
      </c>
      <c r="C101" s="89">
        <v>28</v>
      </c>
      <c r="D101" s="89" t="s">
        <v>72</v>
      </c>
      <c r="E101" s="89" t="s">
        <v>54</v>
      </c>
      <c r="F101" s="89" t="s">
        <v>55</v>
      </c>
      <c r="G101" s="89" t="s">
        <v>50</v>
      </c>
      <c r="H101" s="90">
        <v>82392.5</v>
      </c>
      <c r="I101" s="91">
        <v>45707</v>
      </c>
      <c r="J101" s="89" t="s">
        <v>253</v>
      </c>
      <c r="K101" s="90">
        <v>3434.83</v>
      </c>
      <c r="L101" s="90">
        <v>3434.83</v>
      </c>
      <c r="M101" s="89" t="s">
        <v>89</v>
      </c>
      <c r="N101" s="89" t="s">
        <v>285</v>
      </c>
      <c r="O101" s="89">
        <v>2025</v>
      </c>
      <c r="P101" s="89" t="s">
        <v>125</v>
      </c>
      <c r="Q101" s="90">
        <v>85827.33</v>
      </c>
    </row>
    <row r="102" spans="1:17" x14ac:dyDescent="0.3">
      <c r="A102" s="86" t="s">
        <v>345</v>
      </c>
      <c r="B102" s="86" t="s">
        <v>346</v>
      </c>
      <c r="C102" s="86">
        <v>21</v>
      </c>
      <c r="D102" s="86" t="s">
        <v>76</v>
      </c>
      <c r="E102" s="86" t="s">
        <v>54</v>
      </c>
      <c r="F102" s="86" t="s">
        <v>55</v>
      </c>
      <c r="G102" s="86" t="s">
        <v>50</v>
      </c>
      <c r="H102" s="87">
        <v>21484.37</v>
      </c>
      <c r="I102" s="88">
        <v>45402</v>
      </c>
      <c r="J102" s="86" t="s">
        <v>253</v>
      </c>
      <c r="K102" s="87">
        <v>16006.01</v>
      </c>
      <c r="L102" s="87">
        <v>16006.01</v>
      </c>
      <c r="M102" s="86" t="s">
        <v>89</v>
      </c>
      <c r="N102" s="86" t="s">
        <v>134</v>
      </c>
      <c r="O102" s="86">
        <v>2024</v>
      </c>
      <c r="P102" s="86" t="s">
        <v>131</v>
      </c>
      <c r="Q102" s="87">
        <v>37490.379999999997</v>
      </c>
    </row>
    <row r="103" spans="1:17" x14ac:dyDescent="0.3">
      <c r="A103" s="89" t="s">
        <v>90</v>
      </c>
      <c r="B103" s="89" t="s">
        <v>91</v>
      </c>
      <c r="C103" s="89">
        <v>41</v>
      </c>
      <c r="D103" s="89" t="s">
        <v>72</v>
      </c>
      <c r="E103" s="89" t="s">
        <v>54</v>
      </c>
      <c r="F103" s="89" t="s">
        <v>55</v>
      </c>
      <c r="G103" s="89" t="s">
        <v>53</v>
      </c>
      <c r="H103" s="90">
        <v>1201.4100000000001</v>
      </c>
      <c r="I103" s="91">
        <v>45890</v>
      </c>
      <c r="J103" s="89" t="s">
        <v>253</v>
      </c>
      <c r="K103" s="90">
        <v>18339.669999999998</v>
      </c>
      <c r="L103" s="90">
        <v>18339.669999999998</v>
      </c>
      <c r="M103" s="89" t="s">
        <v>89</v>
      </c>
      <c r="N103" s="89" t="s">
        <v>148</v>
      </c>
      <c r="O103" s="89">
        <v>2025</v>
      </c>
      <c r="P103" s="89" t="s">
        <v>127</v>
      </c>
      <c r="Q103" s="90">
        <v>19541.080000000002</v>
      </c>
    </row>
    <row r="104" spans="1:17" x14ac:dyDescent="0.3">
      <c r="A104" s="86" t="s">
        <v>172</v>
      </c>
      <c r="B104" s="86" t="s">
        <v>173</v>
      </c>
      <c r="C104" s="86">
        <v>55</v>
      </c>
      <c r="D104" s="86" t="s">
        <v>76</v>
      </c>
      <c r="E104" s="86" t="s">
        <v>59</v>
      </c>
      <c r="F104" s="86" t="s">
        <v>60</v>
      </c>
      <c r="G104" s="86" t="s">
        <v>56</v>
      </c>
      <c r="H104" s="87">
        <v>44189.760000000002</v>
      </c>
      <c r="I104" s="88">
        <v>45759</v>
      </c>
      <c r="J104" s="86" t="s">
        <v>258</v>
      </c>
      <c r="K104" s="87">
        <v>17011.810000000001</v>
      </c>
      <c r="L104" s="87">
        <v>-17011.810000000001</v>
      </c>
      <c r="M104" s="86" t="s">
        <v>89</v>
      </c>
      <c r="N104" s="86" t="s">
        <v>306</v>
      </c>
      <c r="O104" s="86">
        <v>2025</v>
      </c>
      <c r="P104" s="86" t="s">
        <v>131</v>
      </c>
      <c r="Q104" s="87">
        <v>27177.95</v>
      </c>
    </row>
    <row r="105" spans="1:17" x14ac:dyDescent="0.3">
      <c r="A105" s="89" t="s">
        <v>347</v>
      </c>
      <c r="B105" s="89" t="s">
        <v>204</v>
      </c>
      <c r="C105" s="89">
        <v>47</v>
      </c>
      <c r="D105" s="89" t="s">
        <v>72</v>
      </c>
      <c r="E105" s="89" t="s">
        <v>51</v>
      </c>
      <c r="F105" s="89" t="s">
        <v>52</v>
      </c>
      <c r="G105" s="89" t="s">
        <v>53</v>
      </c>
      <c r="H105" s="90">
        <v>92216.94</v>
      </c>
      <c r="I105" s="91">
        <v>45544</v>
      </c>
      <c r="J105" s="89" t="s">
        <v>253</v>
      </c>
      <c r="K105" s="90">
        <v>19184.14</v>
      </c>
      <c r="L105" s="90">
        <v>19184.14</v>
      </c>
      <c r="M105" s="89" t="s">
        <v>89</v>
      </c>
      <c r="N105" s="89" t="s">
        <v>139</v>
      </c>
      <c r="O105" s="89">
        <v>2024</v>
      </c>
      <c r="P105" s="89" t="s">
        <v>121</v>
      </c>
      <c r="Q105" s="90">
        <v>111401.08</v>
      </c>
    </row>
    <row r="106" spans="1:17" x14ac:dyDescent="0.3">
      <c r="A106" s="86" t="s">
        <v>348</v>
      </c>
      <c r="B106" s="86" t="s">
        <v>349</v>
      </c>
      <c r="C106" s="86">
        <v>52</v>
      </c>
      <c r="D106" s="86" t="s">
        <v>76</v>
      </c>
      <c r="E106" s="86" t="s">
        <v>54</v>
      </c>
      <c r="F106" s="86" t="s">
        <v>55</v>
      </c>
      <c r="G106" s="86" t="s">
        <v>56</v>
      </c>
      <c r="H106" s="87">
        <v>54515.22</v>
      </c>
      <c r="I106" s="88">
        <v>45321</v>
      </c>
      <c r="J106" s="86" t="s">
        <v>253</v>
      </c>
      <c r="K106" s="87">
        <v>7767.74</v>
      </c>
      <c r="L106" s="87">
        <v>7767.74</v>
      </c>
      <c r="M106" s="86" t="s">
        <v>89</v>
      </c>
      <c r="N106" s="86" t="s">
        <v>128</v>
      </c>
      <c r="O106" s="86">
        <v>2024</v>
      </c>
      <c r="P106" s="86" t="s">
        <v>123</v>
      </c>
      <c r="Q106" s="87">
        <v>62282.96</v>
      </c>
    </row>
    <row r="107" spans="1:17" x14ac:dyDescent="0.3">
      <c r="A107" s="89" t="s">
        <v>100</v>
      </c>
      <c r="B107" s="89" t="s">
        <v>101</v>
      </c>
      <c r="C107" s="89">
        <v>37</v>
      </c>
      <c r="D107" s="89" t="s">
        <v>76</v>
      </c>
      <c r="E107" s="89" t="s">
        <v>57</v>
      </c>
      <c r="F107" s="89" t="s">
        <v>58</v>
      </c>
      <c r="G107" s="89" t="s">
        <v>53</v>
      </c>
      <c r="H107" s="90">
        <v>38281.949999999997</v>
      </c>
      <c r="I107" s="91">
        <v>45840</v>
      </c>
      <c r="J107" s="89" t="s">
        <v>253</v>
      </c>
      <c r="K107" s="90">
        <v>12774.26</v>
      </c>
      <c r="L107" s="90">
        <v>12774.26</v>
      </c>
      <c r="M107" s="89" t="s">
        <v>77</v>
      </c>
      <c r="N107" s="89" t="s">
        <v>147</v>
      </c>
      <c r="O107" s="89">
        <v>2025</v>
      </c>
      <c r="P107" s="89" t="s">
        <v>125</v>
      </c>
      <c r="Q107" s="90">
        <v>51056.21</v>
      </c>
    </row>
    <row r="108" spans="1:17" x14ac:dyDescent="0.3">
      <c r="A108" s="86" t="s">
        <v>350</v>
      </c>
      <c r="B108" s="86" t="s">
        <v>214</v>
      </c>
      <c r="C108" s="86">
        <v>56</v>
      </c>
      <c r="D108" s="86" t="s">
        <v>76</v>
      </c>
      <c r="E108" s="86" t="s">
        <v>57</v>
      </c>
      <c r="F108" s="86" t="s">
        <v>58</v>
      </c>
      <c r="G108" s="86" t="s">
        <v>56</v>
      </c>
      <c r="H108" s="87">
        <v>69832.59</v>
      </c>
      <c r="I108" s="88">
        <v>45720</v>
      </c>
      <c r="J108" s="86" t="s">
        <v>253</v>
      </c>
      <c r="K108" s="87">
        <v>19633.13</v>
      </c>
      <c r="L108" s="87">
        <v>19633.13</v>
      </c>
      <c r="M108" s="86" t="s">
        <v>77</v>
      </c>
      <c r="N108" s="86" t="s">
        <v>297</v>
      </c>
      <c r="O108" s="86">
        <v>2025</v>
      </c>
      <c r="P108" s="86" t="s">
        <v>123</v>
      </c>
      <c r="Q108" s="87">
        <v>89465.72</v>
      </c>
    </row>
    <row r="109" spans="1:17" x14ac:dyDescent="0.3">
      <c r="A109" s="89" t="s">
        <v>172</v>
      </c>
      <c r="B109" s="89" t="s">
        <v>173</v>
      </c>
      <c r="C109" s="89">
        <v>55</v>
      </c>
      <c r="D109" s="89" t="s">
        <v>76</v>
      </c>
      <c r="E109" s="89" t="s">
        <v>59</v>
      </c>
      <c r="F109" s="89" t="s">
        <v>60</v>
      </c>
      <c r="G109" s="89" t="s">
        <v>56</v>
      </c>
      <c r="H109" s="90">
        <v>68486.78</v>
      </c>
      <c r="I109" s="91">
        <v>45794</v>
      </c>
      <c r="J109" s="89" t="s">
        <v>253</v>
      </c>
      <c r="K109" s="90">
        <v>12288.85</v>
      </c>
      <c r="L109" s="90">
        <v>12288.85</v>
      </c>
      <c r="M109" s="89" t="s">
        <v>89</v>
      </c>
      <c r="N109" s="89" t="s">
        <v>309</v>
      </c>
      <c r="O109" s="89">
        <v>2025</v>
      </c>
      <c r="P109" s="89" t="s">
        <v>131</v>
      </c>
      <c r="Q109" s="90">
        <v>80775.63</v>
      </c>
    </row>
    <row r="110" spans="1:17" x14ac:dyDescent="0.3">
      <c r="A110" s="86" t="s">
        <v>318</v>
      </c>
      <c r="B110" s="86" t="s">
        <v>319</v>
      </c>
      <c r="C110" s="86">
        <v>28</v>
      </c>
      <c r="D110" s="86" t="s">
        <v>76</v>
      </c>
      <c r="E110" s="86" t="s">
        <v>51</v>
      </c>
      <c r="F110" s="86" t="s">
        <v>52</v>
      </c>
      <c r="G110" s="86" t="s">
        <v>50</v>
      </c>
      <c r="H110" s="87">
        <v>73442.22</v>
      </c>
      <c r="I110" s="88">
        <v>45813</v>
      </c>
      <c r="J110" s="86" t="s">
        <v>258</v>
      </c>
      <c r="K110" s="87">
        <v>11021.34</v>
      </c>
      <c r="L110" s="87">
        <v>-11021.34</v>
      </c>
      <c r="M110" s="86" t="s">
        <v>89</v>
      </c>
      <c r="N110" s="86" t="s">
        <v>146</v>
      </c>
      <c r="O110" s="86">
        <v>2025</v>
      </c>
      <c r="P110" s="86" t="s">
        <v>127</v>
      </c>
      <c r="Q110" s="87">
        <v>62420.88</v>
      </c>
    </row>
    <row r="111" spans="1:17" x14ac:dyDescent="0.3">
      <c r="A111" s="89" t="s">
        <v>273</v>
      </c>
      <c r="B111" s="89" t="s">
        <v>274</v>
      </c>
      <c r="C111" s="89">
        <v>35</v>
      </c>
      <c r="D111" s="89" t="s">
        <v>76</v>
      </c>
      <c r="E111" s="89" t="s">
        <v>54</v>
      </c>
      <c r="F111" s="89" t="s">
        <v>55</v>
      </c>
      <c r="G111" s="89" t="s">
        <v>53</v>
      </c>
      <c r="H111" s="90">
        <v>60828.34</v>
      </c>
      <c r="I111" s="91">
        <v>45499</v>
      </c>
      <c r="J111" s="89" t="s">
        <v>253</v>
      </c>
      <c r="K111" s="90">
        <v>8403.7199999999993</v>
      </c>
      <c r="L111" s="90">
        <v>8403.7199999999993</v>
      </c>
      <c r="M111" s="89" t="s">
        <v>89</v>
      </c>
      <c r="N111" s="89" t="s">
        <v>137</v>
      </c>
      <c r="O111" s="89">
        <v>2024</v>
      </c>
      <c r="P111" s="89" t="s">
        <v>129</v>
      </c>
      <c r="Q111" s="90">
        <v>69232.06</v>
      </c>
    </row>
    <row r="112" spans="1:17" x14ac:dyDescent="0.3">
      <c r="A112" s="86" t="s">
        <v>273</v>
      </c>
      <c r="B112" s="86" t="s">
        <v>274</v>
      </c>
      <c r="C112" s="86">
        <v>35</v>
      </c>
      <c r="D112" s="86" t="s">
        <v>76</v>
      </c>
      <c r="E112" s="86" t="s">
        <v>54</v>
      </c>
      <c r="F112" s="86" t="s">
        <v>55</v>
      </c>
      <c r="G112" s="86" t="s">
        <v>53</v>
      </c>
      <c r="H112" s="87">
        <v>83580.039999999994</v>
      </c>
      <c r="I112" s="88">
        <v>45624</v>
      </c>
      <c r="J112" s="86" t="s">
        <v>258</v>
      </c>
      <c r="K112" s="87">
        <v>8382.51</v>
      </c>
      <c r="L112" s="87">
        <v>-8382.51</v>
      </c>
      <c r="M112" s="86" t="s">
        <v>89</v>
      </c>
      <c r="N112" s="86" t="s">
        <v>141</v>
      </c>
      <c r="O112" s="86">
        <v>2024</v>
      </c>
      <c r="P112" s="86" t="s">
        <v>127</v>
      </c>
      <c r="Q112" s="87">
        <v>75197.53</v>
      </c>
    </row>
    <row r="113" spans="1:17" x14ac:dyDescent="0.3">
      <c r="A113" s="89" t="s">
        <v>92</v>
      </c>
      <c r="B113" s="89" t="s">
        <v>93</v>
      </c>
      <c r="C113" s="89">
        <v>66</v>
      </c>
      <c r="D113" s="89" t="s">
        <v>72</v>
      </c>
      <c r="E113" s="89" t="s">
        <v>57</v>
      </c>
      <c r="F113" s="89" t="s">
        <v>58</v>
      </c>
      <c r="G113" s="89" t="s">
        <v>56</v>
      </c>
      <c r="H113" s="90">
        <v>32701.040000000001</v>
      </c>
      <c r="I113" s="91">
        <v>45422</v>
      </c>
      <c r="J113" s="89" t="s">
        <v>253</v>
      </c>
      <c r="K113" s="90">
        <v>18214.849999999999</v>
      </c>
      <c r="L113" s="90">
        <v>18214.849999999999</v>
      </c>
      <c r="M113" s="89" t="s">
        <v>77</v>
      </c>
      <c r="N113" s="89" t="s">
        <v>135</v>
      </c>
      <c r="O113" s="89">
        <v>2024</v>
      </c>
      <c r="P113" s="89" t="s">
        <v>129</v>
      </c>
      <c r="Q113" s="90">
        <v>50915.89</v>
      </c>
    </row>
    <row r="114" spans="1:17" x14ac:dyDescent="0.3">
      <c r="A114" s="86" t="s">
        <v>351</v>
      </c>
      <c r="B114" s="86" t="s">
        <v>352</v>
      </c>
      <c r="C114" s="86">
        <v>63</v>
      </c>
      <c r="D114" s="86" t="s">
        <v>72</v>
      </c>
      <c r="E114" s="86" t="s">
        <v>59</v>
      </c>
      <c r="F114" s="86" t="s">
        <v>60</v>
      </c>
      <c r="G114" s="86" t="s">
        <v>56</v>
      </c>
      <c r="H114" s="87">
        <v>28167.57</v>
      </c>
      <c r="I114" s="88">
        <v>45740</v>
      </c>
      <c r="J114" s="86" t="s">
        <v>253</v>
      </c>
      <c r="K114" s="87">
        <v>16538.66</v>
      </c>
      <c r="L114" s="87">
        <v>16538.66</v>
      </c>
      <c r="M114" s="86" t="s">
        <v>89</v>
      </c>
      <c r="N114" s="86" t="s">
        <v>297</v>
      </c>
      <c r="O114" s="86">
        <v>2025</v>
      </c>
      <c r="P114" s="86" t="s">
        <v>121</v>
      </c>
      <c r="Q114" s="87">
        <v>44706.23</v>
      </c>
    </row>
    <row r="115" spans="1:17" x14ac:dyDescent="0.3">
      <c r="A115" s="89" t="s">
        <v>94</v>
      </c>
      <c r="B115" s="89" t="s">
        <v>95</v>
      </c>
      <c r="C115" s="89">
        <v>56</v>
      </c>
      <c r="D115" s="89" t="s">
        <v>72</v>
      </c>
      <c r="E115" s="89" t="s">
        <v>57</v>
      </c>
      <c r="F115" s="89" t="s">
        <v>58</v>
      </c>
      <c r="G115" s="89" t="s">
        <v>56</v>
      </c>
      <c r="H115" s="90">
        <v>32275.26</v>
      </c>
      <c r="I115" s="91">
        <v>45496</v>
      </c>
      <c r="J115" s="89" t="s">
        <v>258</v>
      </c>
      <c r="K115" s="90">
        <v>1620.16</v>
      </c>
      <c r="L115" s="90">
        <v>-1620.16</v>
      </c>
      <c r="M115" s="89" t="s">
        <v>73</v>
      </c>
      <c r="N115" s="89" t="s">
        <v>137</v>
      </c>
      <c r="O115" s="89">
        <v>2024</v>
      </c>
      <c r="P115" s="89" t="s">
        <v>123</v>
      </c>
      <c r="Q115" s="90">
        <v>30655.1</v>
      </c>
    </row>
    <row r="116" spans="1:17" x14ac:dyDescent="0.3">
      <c r="A116" s="86" t="s">
        <v>326</v>
      </c>
      <c r="B116" s="86" t="s">
        <v>327</v>
      </c>
      <c r="C116" s="86">
        <v>27</v>
      </c>
      <c r="D116" s="86" t="s">
        <v>76</v>
      </c>
      <c r="E116" s="86" t="s">
        <v>54</v>
      </c>
      <c r="F116" s="86" t="s">
        <v>55</v>
      </c>
      <c r="G116" s="86" t="s">
        <v>50</v>
      </c>
      <c r="H116" s="87">
        <v>14880.17</v>
      </c>
      <c r="I116" s="88">
        <v>45312</v>
      </c>
      <c r="J116" s="86" t="s">
        <v>253</v>
      </c>
      <c r="K116" s="87">
        <v>2400.0500000000002</v>
      </c>
      <c r="L116" s="87">
        <v>2400.0500000000002</v>
      </c>
      <c r="M116" s="86" t="s">
        <v>89</v>
      </c>
      <c r="N116" s="86" t="s">
        <v>128</v>
      </c>
      <c r="O116" s="86">
        <v>2024</v>
      </c>
      <c r="P116" s="86" t="s">
        <v>133</v>
      </c>
      <c r="Q116" s="87">
        <v>17280.22</v>
      </c>
    </row>
    <row r="117" spans="1:17" x14ac:dyDescent="0.3">
      <c r="A117" s="89" t="s">
        <v>353</v>
      </c>
      <c r="B117" s="89" t="s">
        <v>354</v>
      </c>
      <c r="C117" s="89">
        <v>48</v>
      </c>
      <c r="D117" s="89" t="s">
        <v>76</v>
      </c>
      <c r="E117" s="89" t="s">
        <v>54</v>
      </c>
      <c r="F117" s="89" t="s">
        <v>55</v>
      </c>
      <c r="G117" s="89" t="s">
        <v>53</v>
      </c>
      <c r="H117" s="90">
        <v>17746.439999999999</v>
      </c>
      <c r="I117" s="91">
        <v>45286</v>
      </c>
      <c r="J117" s="89" t="s">
        <v>253</v>
      </c>
      <c r="K117" s="90">
        <v>1355.11</v>
      </c>
      <c r="L117" s="90">
        <v>1355.11</v>
      </c>
      <c r="M117" s="89" t="s">
        <v>89</v>
      </c>
      <c r="N117" s="89" t="s">
        <v>126</v>
      </c>
      <c r="O117" s="89">
        <v>2023</v>
      </c>
      <c r="P117" s="89" t="s">
        <v>123</v>
      </c>
      <c r="Q117" s="90">
        <v>19101.55</v>
      </c>
    </row>
    <row r="118" spans="1:17" x14ac:dyDescent="0.3">
      <c r="A118" s="86" t="s">
        <v>197</v>
      </c>
      <c r="B118" s="86" t="s">
        <v>198</v>
      </c>
      <c r="C118" s="86">
        <v>20</v>
      </c>
      <c r="D118" s="86" t="s">
        <v>76</v>
      </c>
      <c r="E118" s="86" t="s">
        <v>59</v>
      </c>
      <c r="F118" s="86" t="s">
        <v>60</v>
      </c>
      <c r="G118" s="86" t="s">
        <v>50</v>
      </c>
      <c r="H118" s="87">
        <v>33750.11</v>
      </c>
      <c r="I118" s="88">
        <v>45797</v>
      </c>
      <c r="J118" s="86" t="s">
        <v>258</v>
      </c>
      <c r="K118" s="87">
        <v>6164.11</v>
      </c>
      <c r="L118" s="87">
        <v>-6164.11</v>
      </c>
      <c r="M118" s="86" t="s">
        <v>89</v>
      </c>
      <c r="N118" s="86" t="s">
        <v>309</v>
      </c>
      <c r="O118" s="86">
        <v>2025</v>
      </c>
      <c r="P118" s="86" t="s">
        <v>123</v>
      </c>
      <c r="Q118" s="87">
        <v>27586</v>
      </c>
    </row>
    <row r="119" spans="1:17" x14ac:dyDescent="0.3">
      <c r="A119" s="89" t="s">
        <v>92</v>
      </c>
      <c r="B119" s="89" t="s">
        <v>93</v>
      </c>
      <c r="C119" s="89">
        <v>66</v>
      </c>
      <c r="D119" s="89" t="s">
        <v>72</v>
      </c>
      <c r="E119" s="89" t="s">
        <v>54</v>
      </c>
      <c r="F119" s="89" t="s">
        <v>55</v>
      </c>
      <c r="G119" s="89" t="s">
        <v>56</v>
      </c>
      <c r="H119" s="90">
        <v>1861.65</v>
      </c>
      <c r="I119" s="91">
        <v>45397</v>
      </c>
      <c r="J119" s="89" t="s">
        <v>253</v>
      </c>
      <c r="K119" s="90">
        <v>8295.35</v>
      </c>
      <c r="L119" s="90">
        <v>8295.35</v>
      </c>
      <c r="M119" s="89" t="s">
        <v>89</v>
      </c>
      <c r="N119" s="89" t="s">
        <v>134</v>
      </c>
      <c r="O119" s="89">
        <v>2024</v>
      </c>
      <c r="P119" s="89" t="s">
        <v>121</v>
      </c>
      <c r="Q119" s="90">
        <v>10157</v>
      </c>
    </row>
    <row r="120" spans="1:17" x14ac:dyDescent="0.3">
      <c r="A120" s="86" t="s">
        <v>94</v>
      </c>
      <c r="B120" s="86" t="s">
        <v>95</v>
      </c>
      <c r="C120" s="86">
        <v>56</v>
      </c>
      <c r="D120" s="86" t="s">
        <v>72</v>
      </c>
      <c r="E120" s="86" t="s">
        <v>57</v>
      </c>
      <c r="F120" s="86" t="s">
        <v>58</v>
      </c>
      <c r="G120" s="86" t="s">
        <v>56</v>
      </c>
      <c r="H120" s="87">
        <v>2769.54</v>
      </c>
      <c r="I120" s="88">
        <v>45895</v>
      </c>
      <c r="J120" s="86" t="s">
        <v>258</v>
      </c>
      <c r="K120" s="87">
        <v>19193.09</v>
      </c>
      <c r="L120" s="87">
        <v>-19193.09</v>
      </c>
      <c r="M120" s="86" t="s">
        <v>73</v>
      </c>
      <c r="N120" s="86" t="s">
        <v>148</v>
      </c>
      <c r="O120" s="86">
        <v>2025</v>
      </c>
      <c r="P120" s="86" t="s">
        <v>123</v>
      </c>
      <c r="Q120" s="87">
        <v>-16423.55</v>
      </c>
    </row>
    <row r="121" spans="1:17" x14ac:dyDescent="0.3">
      <c r="A121" s="89" t="s">
        <v>188</v>
      </c>
      <c r="B121" s="89" t="s">
        <v>189</v>
      </c>
      <c r="C121" s="89">
        <v>31</v>
      </c>
      <c r="D121" s="89" t="s">
        <v>72</v>
      </c>
      <c r="E121" s="89" t="s">
        <v>59</v>
      </c>
      <c r="F121" s="89" t="s">
        <v>60</v>
      </c>
      <c r="G121" s="89" t="s">
        <v>53</v>
      </c>
      <c r="H121" s="90">
        <v>53306.31</v>
      </c>
      <c r="I121" s="91">
        <v>45315</v>
      </c>
      <c r="J121" s="89" t="s">
        <v>258</v>
      </c>
      <c r="K121" s="90">
        <v>15708.93</v>
      </c>
      <c r="L121" s="90">
        <v>-15708.93</v>
      </c>
      <c r="M121" s="89" t="s">
        <v>89</v>
      </c>
      <c r="N121" s="89" t="s">
        <v>128</v>
      </c>
      <c r="O121" s="89">
        <v>2024</v>
      </c>
      <c r="P121" s="89" t="s">
        <v>125</v>
      </c>
      <c r="Q121" s="90">
        <v>37597.379999999997</v>
      </c>
    </row>
    <row r="122" spans="1:17" x14ac:dyDescent="0.3">
      <c r="A122" s="86" t="s">
        <v>324</v>
      </c>
      <c r="B122" s="86" t="s">
        <v>325</v>
      </c>
      <c r="C122" s="86">
        <v>59</v>
      </c>
      <c r="D122" s="86" t="s">
        <v>72</v>
      </c>
      <c r="E122" s="86" t="s">
        <v>51</v>
      </c>
      <c r="F122" s="86" t="s">
        <v>52</v>
      </c>
      <c r="G122" s="86" t="s">
        <v>56</v>
      </c>
      <c r="H122" s="87">
        <v>16247.1</v>
      </c>
      <c r="I122" s="88">
        <v>45515</v>
      </c>
      <c r="J122" s="86" t="s">
        <v>253</v>
      </c>
      <c r="K122" s="87">
        <v>1745.55</v>
      </c>
      <c r="L122" s="87">
        <v>1745.55</v>
      </c>
      <c r="M122" s="86" t="s">
        <v>89</v>
      </c>
      <c r="N122" s="86" t="s">
        <v>138</v>
      </c>
      <c r="O122" s="86">
        <v>2024</v>
      </c>
      <c r="P122" s="86" t="s">
        <v>133</v>
      </c>
      <c r="Q122" s="87">
        <v>17992.650000000001</v>
      </c>
    </row>
    <row r="123" spans="1:17" x14ac:dyDescent="0.3">
      <c r="A123" s="89" t="s">
        <v>254</v>
      </c>
      <c r="B123" s="89" t="s">
        <v>255</v>
      </c>
      <c r="C123" s="89">
        <v>22</v>
      </c>
      <c r="D123" s="89" t="s">
        <v>76</v>
      </c>
      <c r="E123" s="89" t="s">
        <v>59</v>
      </c>
      <c r="F123" s="89" t="s">
        <v>60</v>
      </c>
      <c r="G123" s="89" t="s">
        <v>50</v>
      </c>
      <c r="H123" s="90">
        <v>49758.49</v>
      </c>
      <c r="I123" s="91">
        <v>45890</v>
      </c>
      <c r="J123" s="89" t="s">
        <v>253</v>
      </c>
      <c r="K123" s="90">
        <v>12983.42</v>
      </c>
      <c r="L123" s="90">
        <v>12983.42</v>
      </c>
      <c r="M123" s="89" t="s">
        <v>89</v>
      </c>
      <c r="N123" s="89" t="s">
        <v>148</v>
      </c>
      <c r="O123" s="89">
        <v>2025</v>
      </c>
      <c r="P123" s="89" t="s">
        <v>127</v>
      </c>
      <c r="Q123" s="90">
        <v>62741.91</v>
      </c>
    </row>
    <row r="124" spans="1:17" x14ac:dyDescent="0.3">
      <c r="A124" s="86" t="s">
        <v>87</v>
      </c>
      <c r="B124" s="86" t="s">
        <v>88</v>
      </c>
      <c r="C124" s="86">
        <v>49</v>
      </c>
      <c r="D124" s="86" t="s">
        <v>76</v>
      </c>
      <c r="E124" s="86" t="s">
        <v>54</v>
      </c>
      <c r="F124" s="86" t="s">
        <v>55</v>
      </c>
      <c r="G124" s="86" t="s">
        <v>53</v>
      </c>
      <c r="H124" s="87">
        <v>76150.009999999995</v>
      </c>
      <c r="I124" s="88">
        <v>45231</v>
      </c>
      <c r="J124" s="86" t="s">
        <v>258</v>
      </c>
      <c r="K124" s="87">
        <v>13344.83</v>
      </c>
      <c r="L124" s="87">
        <v>-13344.83</v>
      </c>
      <c r="M124" s="86" t="s">
        <v>89</v>
      </c>
      <c r="N124" s="86" t="s">
        <v>124</v>
      </c>
      <c r="O124" s="86">
        <v>2023</v>
      </c>
      <c r="P124" s="86" t="s">
        <v>125</v>
      </c>
      <c r="Q124" s="87">
        <v>62805.18</v>
      </c>
    </row>
    <row r="125" spans="1:17" x14ac:dyDescent="0.3">
      <c r="A125" s="89" t="s">
        <v>320</v>
      </c>
      <c r="B125" s="89" t="s">
        <v>321</v>
      </c>
      <c r="C125" s="89">
        <v>59</v>
      </c>
      <c r="D125" s="89" t="s">
        <v>76</v>
      </c>
      <c r="E125" s="89" t="s">
        <v>54</v>
      </c>
      <c r="F125" s="89" t="s">
        <v>55</v>
      </c>
      <c r="G125" s="89" t="s">
        <v>56</v>
      </c>
      <c r="H125" s="90">
        <v>22294.82</v>
      </c>
      <c r="I125" s="91">
        <v>45242</v>
      </c>
      <c r="J125" s="89" t="s">
        <v>253</v>
      </c>
      <c r="K125" s="90">
        <v>18532.73</v>
      </c>
      <c r="L125" s="90">
        <v>18532.73</v>
      </c>
      <c r="M125" s="89" t="s">
        <v>89</v>
      </c>
      <c r="N125" s="89" t="s">
        <v>124</v>
      </c>
      <c r="O125" s="89">
        <v>2023</v>
      </c>
      <c r="P125" s="89" t="s">
        <v>133</v>
      </c>
      <c r="Q125" s="90">
        <v>40827.550000000003</v>
      </c>
    </row>
    <row r="126" spans="1:17" x14ac:dyDescent="0.3">
      <c r="A126" s="86" t="s">
        <v>295</v>
      </c>
      <c r="B126" s="86" t="s">
        <v>296</v>
      </c>
      <c r="C126" s="86">
        <v>54</v>
      </c>
      <c r="D126" s="86" t="s">
        <v>72</v>
      </c>
      <c r="E126" s="86" t="s">
        <v>51</v>
      </c>
      <c r="F126" s="86" t="s">
        <v>52</v>
      </c>
      <c r="G126" s="86" t="s">
        <v>56</v>
      </c>
      <c r="H126" s="87">
        <v>64642.99</v>
      </c>
      <c r="I126" s="88">
        <v>45219</v>
      </c>
      <c r="J126" s="86" t="s">
        <v>253</v>
      </c>
      <c r="K126" s="87">
        <v>6277.95</v>
      </c>
      <c r="L126" s="87">
        <v>6277.95</v>
      </c>
      <c r="M126" s="86" t="s">
        <v>89</v>
      </c>
      <c r="N126" s="86" t="s">
        <v>122</v>
      </c>
      <c r="O126" s="86">
        <v>2023</v>
      </c>
      <c r="P126" s="86" t="s">
        <v>129</v>
      </c>
      <c r="Q126" s="87">
        <v>70920.94</v>
      </c>
    </row>
    <row r="127" spans="1:17" x14ac:dyDescent="0.3">
      <c r="A127" s="89" t="s">
        <v>191</v>
      </c>
      <c r="B127" s="89" t="s">
        <v>192</v>
      </c>
      <c r="C127" s="89">
        <v>18</v>
      </c>
      <c r="D127" s="89" t="s">
        <v>76</v>
      </c>
      <c r="E127" s="89" t="s">
        <v>51</v>
      </c>
      <c r="F127" s="89" t="s">
        <v>52</v>
      </c>
      <c r="G127" s="89" t="s">
        <v>50</v>
      </c>
      <c r="H127" s="90">
        <v>40397.620000000003</v>
      </c>
      <c r="I127" s="91">
        <v>45403</v>
      </c>
      <c r="J127" s="89" t="s">
        <v>258</v>
      </c>
      <c r="K127" s="90">
        <v>15701.47</v>
      </c>
      <c r="L127" s="90">
        <v>-15701.47</v>
      </c>
      <c r="M127" s="89" t="s">
        <v>89</v>
      </c>
      <c r="N127" s="89" t="s">
        <v>134</v>
      </c>
      <c r="O127" s="89">
        <v>2024</v>
      </c>
      <c r="P127" s="89" t="s">
        <v>133</v>
      </c>
      <c r="Q127" s="90">
        <v>24696.15</v>
      </c>
    </row>
    <row r="128" spans="1:17" x14ac:dyDescent="0.3">
      <c r="A128" s="86" t="s">
        <v>355</v>
      </c>
      <c r="B128" s="86" t="s">
        <v>356</v>
      </c>
      <c r="C128" s="86">
        <v>38</v>
      </c>
      <c r="D128" s="86" t="s">
        <v>76</v>
      </c>
      <c r="E128" s="86" t="s">
        <v>54</v>
      </c>
      <c r="F128" s="86" t="s">
        <v>55</v>
      </c>
      <c r="G128" s="86" t="s">
        <v>53</v>
      </c>
      <c r="H128" s="87">
        <v>44779.61</v>
      </c>
      <c r="I128" s="88">
        <v>45433</v>
      </c>
      <c r="J128" s="86" t="s">
        <v>253</v>
      </c>
      <c r="K128" s="87">
        <v>19237.189999999999</v>
      </c>
      <c r="L128" s="87">
        <v>19237.189999999999</v>
      </c>
      <c r="M128" s="86" t="s">
        <v>89</v>
      </c>
      <c r="N128" s="86" t="s">
        <v>135</v>
      </c>
      <c r="O128" s="86">
        <v>2024</v>
      </c>
      <c r="P128" s="86" t="s">
        <v>123</v>
      </c>
      <c r="Q128" s="87">
        <v>64016.800000000003</v>
      </c>
    </row>
    <row r="129" spans="1:17" x14ac:dyDescent="0.3">
      <c r="A129" s="89" t="s">
        <v>98</v>
      </c>
      <c r="B129" s="89" t="s">
        <v>99</v>
      </c>
      <c r="C129" s="89">
        <v>65</v>
      </c>
      <c r="D129" s="89" t="s">
        <v>76</v>
      </c>
      <c r="E129" s="89" t="s">
        <v>57</v>
      </c>
      <c r="F129" s="89" t="s">
        <v>58</v>
      </c>
      <c r="G129" s="89" t="s">
        <v>56</v>
      </c>
      <c r="H129" s="90">
        <v>3579.55</v>
      </c>
      <c r="I129" s="91">
        <v>45304</v>
      </c>
      <c r="J129" s="89" t="s">
        <v>258</v>
      </c>
      <c r="K129" s="90">
        <v>3030.43</v>
      </c>
      <c r="L129" s="90">
        <v>-3030.43</v>
      </c>
      <c r="M129" s="89" t="s">
        <v>77</v>
      </c>
      <c r="N129" s="89" t="s">
        <v>128</v>
      </c>
      <c r="O129" s="89">
        <v>2024</v>
      </c>
      <c r="P129" s="89" t="s">
        <v>131</v>
      </c>
      <c r="Q129" s="90">
        <v>549.12</v>
      </c>
    </row>
    <row r="130" spans="1:17" x14ac:dyDescent="0.3">
      <c r="A130" s="86" t="s">
        <v>291</v>
      </c>
      <c r="B130" s="86" t="s">
        <v>292</v>
      </c>
      <c r="C130" s="86">
        <v>69</v>
      </c>
      <c r="D130" s="86" t="s">
        <v>76</v>
      </c>
      <c r="E130" s="86" t="s">
        <v>57</v>
      </c>
      <c r="F130" s="86" t="s">
        <v>58</v>
      </c>
      <c r="G130" s="86" t="s">
        <v>56</v>
      </c>
      <c r="H130" s="87">
        <v>16091.79</v>
      </c>
      <c r="I130" s="88">
        <v>45462</v>
      </c>
      <c r="J130" s="86" t="s">
        <v>258</v>
      </c>
      <c r="K130" s="87">
        <v>2828.68</v>
      </c>
      <c r="L130" s="87">
        <v>-2828.68</v>
      </c>
      <c r="M130" s="86" t="s">
        <v>77</v>
      </c>
      <c r="N130" s="86" t="s">
        <v>136</v>
      </c>
      <c r="O130" s="86">
        <v>2024</v>
      </c>
      <c r="P130" s="86" t="s">
        <v>125</v>
      </c>
      <c r="Q130" s="87">
        <v>13263.11</v>
      </c>
    </row>
    <row r="131" spans="1:17" x14ac:dyDescent="0.3">
      <c r="A131" s="89" t="s">
        <v>357</v>
      </c>
      <c r="B131" s="89" t="s">
        <v>219</v>
      </c>
      <c r="C131" s="89">
        <v>51</v>
      </c>
      <c r="D131" s="89" t="s">
        <v>76</v>
      </c>
      <c r="E131" s="89" t="s">
        <v>51</v>
      </c>
      <c r="F131" s="89" t="s">
        <v>52</v>
      </c>
      <c r="G131" s="89" t="s">
        <v>56</v>
      </c>
      <c r="H131" s="90">
        <v>84692.3</v>
      </c>
      <c r="I131" s="91">
        <v>45863</v>
      </c>
      <c r="J131" s="89" t="s">
        <v>253</v>
      </c>
      <c r="K131" s="90">
        <v>1742.63</v>
      </c>
      <c r="L131" s="90">
        <v>1742.63</v>
      </c>
      <c r="M131" s="89" t="s">
        <v>89</v>
      </c>
      <c r="N131" s="89" t="s">
        <v>147</v>
      </c>
      <c r="O131" s="89">
        <v>2025</v>
      </c>
      <c r="P131" s="89" t="s">
        <v>129</v>
      </c>
      <c r="Q131" s="90">
        <v>86434.93</v>
      </c>
    </row>
    <row r="132" spans="1:17" x14ac:dyDescent="0.3">
      <c r="A132" s="86" t="s">
        <v>358</v>
      </c>
      <c r="B132" s="86" t="s">
        <v>359</v>
      </c>
      <c r="C132" s="86">
        <v>36</v>
      </c>
      <c r="D132" s="86" t="s">
        <v>72</v>
      </c>
      <c r="E132" s="86" t="s">
        <v>51</v>
      </c>
      <c r="F132" s="86" t="s">
        <v>52</v>
      </c>
      <c r="G132" s="86" t="s">
        <v>53</v>
      </c>
      <c r="H132" s="87">
        <v>31754.87</v>
      </c>
      <c r="I132" s="88">
        <v>45639</v>
      </c>
      <c r="J132" s="86" t="s">
        <v>258</v>
      </c>
      <c r="K132" s="87">
        <v>5026.79</v>
      </c>
      <c r="L132" s="87">
        <v>-5026.79</v>
      </c>
      <c r="M132" s="86" t="s">
        <v>89</v>
      </c>
      <c r="N132" s="86" t="s">
        <v>290</v>
      </c>
      <c r="O132" s="86">
        <v>2024</v>
      </c>
      <c r="P132" s="86" t="s">
        <v>129</v>
      </c>
      <c r="Q132" s="87">
        <v>26728.080000000002</v>
      </c>
    </row>
    <row r="133" spans="1:17" x14ac:dyDescent="0.3">
      <c r="A133" s="89" t="s">
        <v>87</v>
      </c>
      <c r="B133" s="89" t="s">
        <v>88</v>
      </c>
      <c r="C133" s="89">
        <v>49</v>
      </c>
      <c r="D133" s="89" t="s">
        <v>76</v>
      </c>
      <c r="E133" s="89" t="s">
        <v>57</v>
      </c>
      <c r="F133" s="89" t="s">
        <v>58</v>
      </c>
      <c r="G133" s="89" t="s">
        <v>53</v>
      </c>
      <c r="H133" s="90">
        <v>34251.919999999998</v>
      </c>
      <c r="I133" s="91">
        <v>45219</v>
      </c>
      <c r="J133" s="89" t="s">
        <v>258</v>
      </c>
      <c r="K133" s="90">
        <v>8603.7900000000009</v>
      </c>
      <c r="L133" s="90">
        <v>-8603.7900000000009</v>
      </c>
      <c r="M133" s="89" t="s">
        <v>77</v>
      </c>
      <c r="N133" s="89" t="s">
        <v>122</v>
      </c>
      <c r="O133" s="89">
        <v>2023</v>
      </c>
      <c r="P133" s="89" t="s">
        <v>129</v>
      </c>
      <c r="Q133" s="90">
        <v>25648.13</v>
      </c>
    </row>
    <row r="134" spans="1:17" x14ac:dyDescent="0.3">
      <c r="A134" s="86" t="s">
        <v>360</v>
      </c>
      <c r="B134" s="86" t="s">
        <v>361</v>
      </c>
      <c r="C134" s="86">
        <v>36</v>
      </c>
      <c r="D134" s="86" t="s">
        <v>72</v>
      </c>
      <c r="E134" s="86" t="s">
        <v>59</v>
      </c>
      <c r="F134" s="86" t="s">
        <v>60</v>
      </c>
      <c r="G134" s="86" t="s">
        <v>53</v>
      </c>
      <c r="H134" s="87">
        <v>50708.49</v>
      </c>
      <c r="I134" s="88">
        <v>45486</v>
      </c>
      <c r="J134" s="86" t="s">
        <v>258</v>
      </c>
      <c r="K134" s="87">
        <v>6465.67</v>
      </c>
      <c r="L134" s="87">
        <v>-6465.67</v>
      </c>
      <c r="M134" s="86" t="s">
        <v>89</v>
      </c>
      <c r="N134" s="86" t="s">
        <v>137</v>
      </c>
      <c r="O134" s="86">
        <v>2024</v>
      </c>
      <c r="P134" s="86" t="s">
        <v>131</v>
      </c>
      <c r="Q134" s="87">
        <v>44242.82</v>
      </c>
    </row>
    <row r="135" spans="1:17" x14ac:dyDescent="0.3">
      <c r="A135" s="89" t="s">
        <v>197</v>
      </c>
      <c r="B135" s="89" t="s">
        <v>198</v>
      </c>
      <c r="C135" s="89">
        <v>20</v>
      </c>
      <c r="D135" s="89" t="s">
        <v>76</v>
      </c>
      <c r="E135" s="89" t="s">
        <v>59</v>
      </c>
      <c r="F135" s="89" t="s">
        <v>60</v>
      </c>
      <c r="G135" s="89" t="s">
        <v>50</v>
      </c>
      <c r="H135" s="90">
        <v>64561</v>
      </c>
      <c r="I135" s="91">
        <v>45871</v>
      </c>
      <c r="J135" s="89" t="s">
        <v>258</v>
      </c>
      <c r="K135" s="90">
        <v>1322.68</v>
      </c>
      <c r="L135" s="90">
        <v>-1322.68</v>
      </c>
      <c r="M135" s="89" t="s">
        <v>89</v>
      </c>
      <c r="N135" s="89" t="s">
        <v>148</v>
      </c>
      <c r="O135" s="89">
        <v>2025</v>
      </c>
      <c r="P135" s="89" t="s">
        <v>131</v>
      </c>
      <c r="Q135" s="90">
        <v>63238.32</v>
      </c>
    </row>
    <row r="136" spans="1:17" x14ac:dyDescent="0.3">
      <c r="A136" s="86" t="s">
        <v>175</v>
      </c>
      <c r="B136" s="86" t="s">
        <v>176</v>
      </c>
      <c r="C136" s="86">
        <v>54</v>
      </c>
      <c r="D136" s="86" t="s">
        <v>72</v>
      </c>
      <c r="E136" s="86" t="s">
        <v>59</v>
      </c>
      <c r="F136" s="86" t="s">
        <v>60</v>
      </c>
      <c r="G136" s="86" t="s">
        <v>56</v>
      </c>
      <c r="H136" s="87">
        <v>38831.379999999997</v>
      </c>
      <c r="I136" s="88">
        <v>45728</v>
      </c>
      <c r="J136" s="86" t="s">
        <v>253</v>
      </c>
      <c r="K136" s="87">
        <v>17475.580000000002</v>
      </c>
      <c r="L136" s="87">
        <v>17475.580000000002</v>
      </c>
      <c r="M136" s="86" t="s">
        <v>89</v>
      </c>
      <c r="N136" s="86" t="s">
        <v>297</v>
      </c>
      <c r="O136" s="86">
        <v>2025</v>
      </c>
      <c r="P136" s="86" t="s">
        <v>125</v>
      </c>
      <c r="Q136" s="87">
        <v>56306.96</v>
      </c>
    </row>
    <row r="137" spans="1:17" x14ac:dyDescent="0.3">
      <c r="A137" s="89" t="s">
        <v>188</v>
      </c>
      <c r="B137" s="89" t="s">
        <v>189</v>
      </c>
      <c r="C137" s="89">
        <v>31</v>
      </c>
      <c r="D137" s="89" t="s">
        <v>72</v>
      </c>
      <c r="E137" s="89" t="s">
        <v>59</v>
      </c>
      <c r="F137" s="89" t="s">
        <v>60</v>
      </c>
      <c r="G137" s="89" t="s">
        <v>53</v>
      </c>
      <c r="H137" s="90">
        <v>55922.75</v>
      </c>
      <c r="I137" s="91">
        <v>45881</v>
      </c>
      <c r="J137" s="89" t="s">
        <v>258</v>
      </c>
      <c r="K137" s="90">
        <v>18399.86</v>
      </c>
      <c r="L137" s="90">
        <v>-18399.86</v>
      </c>
      <c r="M137" s="89" t="s">
        <v>89</v>
      </c>
      <c r="N137" s="89" t="s">
        <v>148</v>
      </c>
      <c r="O137" s="89">
        <v>2025</v>
      </c>
      <c r="P137" s="89" t="s">
        <v>123</v>
      </c>
      <c r="Q137" s="90">
        <v>37522.89</v>
      </c>
    </row>
    <row r="138" spans="1:17" x14ac:dyDescent="0.3">
      <c r="A138" s="86" t="s">
        <v>202</v>
      </c>
      <c r="B138" s="86" t="s">
        <v>203</v>
      </c>
      <c r="C138" s="86">
        <v>19</v>
      </c>
      <c r="D138" s="86" t="s">
        <v>76</v>
      </c>
      <c r="E138" s="86" t="s">
        <v>51</v>
      </c>
      <c r="F138" s="86" t="s">
        <v>52</v>
      </c>
      <c r="G138" s="86" t="s">
        <v>50</v>
      </c>
      <c r="H138" s="87">
        <v>28390.91</v>
      </c>
      <c r="I138" s="88">
        <v>45467</v>
      </c>
      <c r="J138" s="86" t="s">
        <v>253</v>
      </c>
      <c r="K138" s="87">
        <v>5765.15</v>
      </c>
      <c r="L138" s="87">
        <v>5765.15</v>
      </c>
      <c r="M138" s="86" t="s">
        <v>89</v>
      </c>
      <c r="N138" s="86" t="s">
        <v>136</v>
      </c>
      <c r="O138" s="86">
        <v>2024</v>
      </c>
      <c r="P138" s="86" t="s">
        <v>121</v>
      </c>
      <c r="Q138" s="87">
        <v>34156.06</v>
      </c>
    </row>
    <row r="139" spans="1:17" x14ac:dyDescent="0.3">
      <c r="A139" s="89" t="s">
        <v>336</v>
      </c>
      <c r="B139" s="89" t="s">
        <v>337</v>
      </c>
      <c r="C139" s="89">
        <v>22</v>
      </c>
      <c r="D139" s="89" t="s">
        <v>76</v>
      </c>
      <c r="E139" s="89" t="s">
        <v>54</v>
      </c>
      <c r="F139" s="89" t="s">
        <v>55</v>
      </c>
      <c r="G139" s="89" t="s">
        <v>50</v>
      </c>
      <c r="H139" s="90">
        <v>12843.91</v>
      </c>
      <c r="I139" s="91">
        <v>45858</v>
      </c>
      <c r="J139" s="89" t="s">
        <v>253</v>
      </c>
      <c r="K139" s="90">
        <v>8207.2099999999991</v>
      </c>
      <c r="L139" s="90">
        <v>8207.2099999999991</v>
      </c>
      <c r="M139" s="89" t="s">
        <v>89</v>
      </c>
      <c r="N139" s="89" t="s">
        <v>147</v>
      </c>
      <c r="O139" s="89">
        <v>2025</v>
      </c>
      <c r="P139" s="89" t="s">
        <v>133</v>
      </c>
      <c r="Q139" s="90">
        <v>21051.119999999999</v>
      </c>
    </row>
    <row r="140" spans="1:17" x14ac:dyDescent="0.3">
      <c r="A140" s="86" t="s">
        <v>342</v>
      </c>
      <c r="B140" s="86" t="s">
        <v>343</v>
      </c>
      <c r="C140" s="86">
        <v>50</v>
      </c>
      <c r="D140" s="86" t="s">
        <v>76</v>
      </c>
      <c r="E140" s="86" t="s">
        <v>51</v>
      </c>
      <c r="F140" s="86" t="s">
        <v>52</v>
      </c>
      <c r="G140" s="86" t="s">
        <v>53</v>
      </c>
      <c r="H140" s="87">
        <v>66010.83</v>
      </c>
      <c r="I140" s="88">
        <v>45673</v>
      </c>
      <c r="J140" s="86" t="s">
        <v>258</v>
      </c>
      <c r="K140" s="87">
        <v>12966.29</v>
      </c>
      <c r="L140" s="87">
        <v>-12966.29</v>
      </c>
      <c r="M140" s="86" t="s">
        <v>89</v>
      </c>
      <c r="N140" s="86" t="s">
        <v>314</v>
      </c>
      <c r="O140" s="86">
        <v>2025</v>
      </c>
      <c r="P140" s="86" t="s">
        <v>127</v>
      </c>
      <c r="Q140" s="87">
        <v>53044.54</v>
      </c>
    </row>
    <row r="141" spans="1:17" x14ac:dyDescent="0.3">
      <c r="A141" s="89" t="s">
        <v>320</v>
      </c>
      <c r="B141" s="89" t="s">
        <v>321</v>
      </c>
      <c r="C141" s="89">
        <v>59</v>
      </c>
      <c r="D141" s="89" t="s">
        <v>76</v>
      </c>
      <c r="E141" s="89" t="s">
        <v>51</v>
      </c>
      <c r="F141" s="89" t="s">
        <v>52</v>
      </c>
      <c r="G141" s="89" t="s">
        <v>56</v>
      </c>
      <c r="H141" s="90">
        <v>65345.08</v>
      </c>
      <c r="I141" s="91">
        <v>45396</v>
      </c>
      <c r="J141" s="89" t="s">
        <v>258</v>
      </c>
      <c r="K141" s="90">
        <v>2049.87</v>
      </c>
      <c r="L141" s="90">
        <v>-2049.87</v>
      </c>
      <c r="M141" s="89" t="s">
        <v>89</v>
      </c>
      <c r="N141" s="89" t="s">
        <v>134</v>
      </c>
      <c r="O141" s="89">
        <v>2024</v>
      </c>
      <c r="P141" s="89" t="s">
        <v>133</v>
      </c>
      <c r="Q141" s="90">
        <v>63295.21</v>
      </c>
    </row>
    <row r="142" spans="1:17" x14ac:dyDescent="0.3">
      <c r="A142" s="86" t="s">
        <v>259</v>
      </c>
      <c r="B142" s="86" t="s">
        <v>260</v>
      </c>
      <c r="C142" s="86">
        <v>18</v>
      </c>
      <c r="D142" s="86" t="s">
        <v>76</v>
      </c>
      <c r="E142" s="86" t="s">
        <v>51</v>
      </c>
      <c r="F142" s="86" t="s">
        <v>52</v>
      </c>
      <c r="G142" s="86" t="s">
        <v>50</v>
      </c>
      <c r="H142" s="87">
        <v>6404.55</v>
      </c>
      <c r="I142" s="88">
        <v>45233</v>
      </c>
      <c r="J142" s="86" t="s">
        <v>253</v>
      </c>
      <c r="K142" s="87">
        <v>12957.45</v>
      </c>
      <c r="L142" s="87">
        <v>12957.45</v>
      </c>
      <c r="M142" s="86" t="s">
        <v>89</v>
      </c>
      <c r="N142" s="86" t="s">
        <v>124</v>
      </c>
      <c r="O142" s="86">
        <v>2023</v>
      </c>
      <c r="P142" s="86" t="s">
        <v>129</v>
      </c>
      <c r="Q142" s="87">
        <v>19362</v>
      </c>
    </row>
    <row r="143" spans="1:17" x14ac:dyDescent="0.3">
      <c r="A143" s="89" t="s">
        <v>362</v>
      </c>
      <c r="B143" s="89" t="s">
        <v>363</v>
      </c>
      <c r="C143" s="89">
        <v>54</v>
      </c>
      <c r="D143" s="89" t="s">
        <v>72</v>
      </c>
      <c r="E143" s="89" t="s">
        <v>51</v>
      </c>
      <c r="F143" s="89" t="s">
        <v>52</v>
      </c>
      <c r="G143" s="89" t="s">
        <v>56</v>
      </c>
      <c r="H143" s="90">
        <v>49957.440000000002</v>
      </c>
      <c r="I143" s="91">
        <v>45260</v>
      </c>
      <c r="J143" s="89" t="s">
        <v>258</v>
      </c>
      <c r="K143" s="90">
        <v>9665.19</v>
      </c>
      <c r="L143" s="90">
        <v>-9665.19</v>
      </c>
      <c r="M143" s="89" t="s">
        <v>89</v>
      </c>
      <c r="N143" s="89" t="s">
        <v>124</v>
      </c>
      <c r="O143" s="89">
        <v>2023</v>
      </c>
      <c r="P143" s="89" t="s">
        <v>127</v>
      </c>
      <c r="Q143" s="90">
        <v>40292.25</v>
      </c>
    </row>
    <row r="144" spans="1:17" x14ac:dyDescent="0.3">
      <c r="A144" s="86" t="s">
        <v>351</v>
      </c>
      <c r="B144" s="86" t="s">
        <v>352</v>
      </c>
      <c r="C144" s="86">
        <v>63</v>
      </c>
      <c r="D144" s="86" t="s">
        <v>72</v>
      </c>
      <c r="E144" s="86" t="s">
        <v>54</v>
      </c>
      <c r="F144" s="86" t="s">
        <v>55</v>
      </c>
      <c r="G144" s="86" t="s">
        <v>56</v>
      </c>
      <c r="H144" s="87">
        <v>79412.960000000006</v>
      </c>
      <c r="I144" s="88">
        <v>45201</v>
      </c>
      <c r="J144" s="86" t="s">
        <v>258</v>
      </c>
      <c r="K144" s="87">
        <v>10726.29</v>
      </c>
      <c r="L144" s="87">
        <v>-10726.29</v>
      </c>
      <c r="M144" s="86" t="s">
        <v>89</v>
      </c>
      <c r="N144" s="86" t="s">
        <v>122</v>
      </c>
      <c r="O144" s="86">
        <v>2023</v>
      </c>
      <c r="P144" s="86" t="s">
        <v>121</v>
      </c>
      <c r="Q144" s="87">
        <v>68686.67</v>
      </c>
    </row>
    <row r="145" spans="1:17" x14ac:dyDescent="0.3">
      <c r="A145" s="89" t="s">
        <v>364</v>
      </c>
      <c r="B145" s="89" t="s">
        <v>365</v>
      </c>
      <c r="C145" s="89">
        <v>35</v>
      </c>
      <c r="D145" s="89" t="s">
        <v>72</v>
      </c>
      <c r="E145" s="89" t="s">
        <v>59</v>
      </c>
      <c r="F145" s="89" t="s">
        <v>60</v>
      </c>
      <c r="G145" s="89" t="s">
        <v>53</v>
      </c>
      <c r="H145" s="90">
        <v>74149.14</v>
      </c>
      <c r="I145" s="91">
        <v>45194</v>
      </c>
      <c r="J145" s="89" t="s">
        <v>258</v>
      </c>
      <c r="K145" s="90">
        <v>9137.99</v>
      </c>
      <c r="L145" s="90">
        <v>-9137.99</v>
      </c>
      <c r="M145" s="89" t="s">
        <v>89</v>
      </c>
      <c r="N145" s="89" t="s">
        <v>120</v>
      </c>
      <c r="O145" s="89">
        <v>2023</v>
      </c>
      <c r="P145" s="89" t="s">
        <v>121</v>
      </c>
      <c r="Q145" s="90">
        <v>65011.15</v>
      </c>
    </row>
    <row r="146" spans="1:17" x14ac:dyDescent="0.3">
      <c r="A146" s="86" t="s">
        <v>94</v>
      </c>
      <c r="B146" s="86" t="s">
        <v>95</v>
      </c>
      <c r="C146" s="86">
        <v>56</v>
      </c>
      <c r="D146" s="86" t="s">
        <v>72</v>
      </c>
      <c r="E146" s="86" t="s">
        <v>54</v>
      </c>
      <c r="F146" s="86" t="s">
        <v>55</v>
      </c>
      <c r="G146" s="86" t="s">
        <v>56</v>
      </c>
      <c r="H146" s="87">
        <v>19637.54</v>
      </c>
      <c r="I146" s="88">
        <v>45723</v>
      </c>
      <c r="J146" s="86" t="s">
        <v>253</v>
      </c>
      <c r="K146" s="87">
        <v>14137.67</v>
      </c>
      <c r="L146" s="87">
        <v>14137.67</v>
      </c>
      <c r="M146" s="86" t="s">
        <v>89</v>
      </c>
      <c r="N146" s="86" t="s">
        <v>297</v>
      </c>
      <c r="O146" s="86">
        <v>2025</v>
      </c>
      <c r="P146" s="86" t="s">
        <v>129</v>
      </c>
      <c r="Q146" s="87">
        <v>33775.21</v>
      </c>
    </row>
    <row r="147" spans="1:17" x14ac:dyDescent="0.3">
      <c r="A147" s="89" t="s">
        <v>259</v>
      </c>
      <c r="B147" s="89" t="s">
        <v>260</v>
      </c>
      <c r="C147" s="89">
        <v>18</v>
      </c>
      <c r="D147" s="89" t="s">
        <v>76</v>
      </c>
      <c r="E147" s="89" t="s">
        <v>54</v>
      </c>
      <c r="F147" s="89" t="s">
        <v>55</v>
      </c>
      <c r="G147" s="89" t="s">
        <v>50</v>
      </c>
      <c r="H147" s="90">
        <v>97612.52</v>
      </c>
      <c r="I147" s="91">
        <v>45833</v>
      </c>
      <c r="J147" s="89" t="s">
        <v>258</v>
      </c>
      <c r="K147" s="90">
        <v>6215.84</v>
      </c>
      <c r="L147" s="90">
        <v>-6215.84</v>
      </c>
      <c r="M147" s="89" t="s">
        <v>89</v>
      </c>
      <c r="N147" s="89" t="s">
        <v>146</v>
      </c>
      <c r="O147" s="89">
        <v>2025</v>
      </c>
      <c r="P147" s="89" t="s">
        <v>125</v>
      </c>
      <c r="Q147" s="90">
        <v>91396.68</v>
      </c>
    </row>
    <row r="148" spans="1:17" x14ac:dyDescent="0.3">
      <c r="A148" s="86" t="s">
        <v>366</v>
      </c>
      <c r="B148" s="86" t="s">
        <v>367</v>
      </c>
      <c r="C148" s="86">
        <v>50</v>
      </c>
      <c r="D148" s="86" t="s">
        <v>72</v>
      </c>
      <c r="E148" s="86" t="s">
        <v>59</v>
      </c>
      <c r="F148" s="86" t="s">
        <v>60</v>
      </c>
      <c r="G148" s="86" t="s">
        <v>53</v>
      </c>
      <c r="H148" s="87">
        <v>42333.9</v>
      </c>
      <c r="I148" s="88">
        <v>45451</v>
      </c>
      <c r="J148" s="86" t="s">
        <v>258</v>
      </c>
      <c r="K148" s="87">
        <v>8106.83</v>
      </c>
      <c r="L148" s="87">
        <v>-8106.83</v>
      </c>
      <c r="M148" s="86" t="s">
        <v>89</v>
      </c>
      <c r="N148" s="86" t="s">
        <v>136</v>
      </c>
      <c r="O148" s="86">
        <v>2024</v>
      </c>
      <c r="P148" s="86" t="s">
        <v>131</v>
      </c>
      <c r="Q148" s="87">
        <v>34227.07</v>
      </c>
    </row>
    <row r="149" spans="1:17" x14ac:dyDescent="0.3">
      <c r="A149" s="89" t="s">
        <v>368</v>
      </c>
      <c r="B149" s="89" t="s">
        <v>369</v>
      </c>
      <c r="C149" s="89">
        <v>52</v>
      </c>
      <c r="D149" s="89" t="s">
        <v>72</v>
      </c>
      <c r="E149" s="89" t="s">
        <v>59</v>
      </c>
      <c r="F149" s="89" t="s">
        <v>60</v>
      </c>
      <c r="G149" s="89" t="s">
        <v>56</v>
      </c>
      <c r="H149" s="90">
        <v>80413.72</v>
      </c>
      <c r="I149" s="91">
        <v>45397</v>
      </c>
      <c r="J149" s="89" t="s">
        <v>258</v>
      </c>
      <c r="K149" s="90">
        <v>15480.94</v>
      </c>
      <c r="L149" s="90">
        <v>-15480.94</v>
      </c>
      <c r="M149" s="89" t="s">
        <v>89</v>
      </c>
      <c r="N149" s="89" t="s">
        <v>134</v>
      </c>
      <c r="O149" s="89">
        <v>2024</v>
      </c>
      <c r="P149" s="89" t="s">
        <v>121</v>
      </c>
      <c r="Q149" s="90">
        <v>64932.78</v>
      </c>
    </row>
    <row r="150" spans="1:17" x14ac:dyDescent="0.3">
      <c r="A150" s="86" t="s">
        <v>370</v>
      </c>
      <c r="B150" s="86" t="s">
        <v>371</v>
      </c>
      <c r="C150" s="86">
        <v>49</v>
      </c>
      <c r="D150" s="86" t="s">
        <v>76</v>
      </c>
      <c r="E150" s="86" t="s">
        <v>59</v>
      </c>
      <c r="F150" s="86" t="s">
        <v>60</v>
      </c>
      <c r="G150" s="86" t="s">
        <v>53</v>
      </c>
      <c r="H150" s="87">
        <v>94028.46</v>
      </c>
      <c r="I150" s="88">
        <v>45329</v>
      </c>
      <c r="J150" s="86" t="s">
        <v>258</v>
      </c>
      <c r="K150" s="87">
        <v>4941.46</v>
      </c>
      <c r="L150" s="87">
        <v>-4941.46</v>
      </c>
      <c r="M150" s="86" t="s">
        <v>89</v>
      </c>
      <c r="N150" s="86" t="s">
        <v>130</v>
      </c>
      <c r="O150" s="86">
        <v>2024</v>
      </c>
      <c r="P150" s="86" t="s">
        <v>125</v>
      </c>
      <c r="Q150" s="87">
        <v>89087</v>
      </c>
    </row>
    <row r="151" spans="1:17" x14ac:dyDescent="0.3">
      <c r="A151" s="89" t="s">
        <v>358</v>
      </c>
      <c r="B151" s="89" t="s">
        <v>359</v>
      </c>
      <c r="C151" s="89">
        <v>36</v>
      </c>
      <c r="D151" s="89" t="s">
        <v>72</v>
      </c>
      <c r="E151" s="89" t="s">
        <v>51</v>
      </c>
      <c r="F151" s="89" t="s">
        <v>52</v>
      </c>
      <c r="G151" s="89" t="s">
        <v>53</v>
      </c>
      <c r="H151" s="90">
        <v>36493.75</v>
      </c>
      <c r="I151" s="91">
        <v>45633</v>
      </c>
      <c r="J151" s="89" t="s">
        <v>258</v>
      </c>
      <c r="K151" s="90">
        <v>3629.4</v>
      </c>
      <c r="L151" s="90">
        <v>-3629.4</v>
      </c>
      <c r="M151" s="89" t="s">
        <v>89</v>
      </c>
      <c r="N151" s="89" t="s">
        <v>290</v>
      </c>
      <c r="O151" s="89">
        <v>2024</v>
      </c>
      <c r="P151" s="89" t="s">
        <v>131</v>
      </c>
      <c r="Q151" s="90">
        <v>32864.35</v>
      </c>
    </row>
    <row r="152" spans="1:17" x14ac:dyDescent="0.3">
      <c r="A152" s="86" t="s">
        <v>372</v>
      </c>
      <c r="B152" s="86" t="s">
        <v>205</v>
      </c>
      <c r="C152" s="86">
        <v>42</v>
      </c>
      <c r="D152" s="86" t="s">
        <v>72</v>
      </c>
      <c r="E152" s="86" t="s">
        <v>57</v>
      </c>
      <c r="F152" s="86" t="s">
        <v>58</v>
      </c>
      <c r="G152" s="86" t="s">
        <v>53</v>
      </c>
      <c r="H152" s="87">
        <v>87194.08</v>
      </c>
      <c r="I152" s="88">
        <v>45785</v>
      </c>
      <c r="J152" s="86" t="s">
        <v>253</v>
      </c>
      <c r="K152" s="87">
        <v>12238.04</v>
      </c>
      <c r="L152" s="87">
        <v>12238.04</v>
      </c>
      <c r="M152" s="86" t="s">
        <v>73</v>
      </c>
      <c r="N152" s="86" t="s">
        <v>309</v>
      </c>
      <c r="O152" s="86">
        <v>2025</v>
      </c>
      <c r="P152" s="86" t="s">
        <v>127</v>
      </c>
      <c r="Q152" s="87">
        <v>99432.12</v>
      </c>
    </row>
    <row r="153" spans="1:17" x14ac:dyDescent="0.3">
      <c r="A153" s="89" t="s">
        <v>317</v>
      </c>
      <c r="B153" s="89" t="s">
        <v>218</v>
      </c>
      <c r="C153" s="89">
        <v>25</v>
      </c>
      <c r="D153" s="89" t="s">
        <v>76</v>
      </c>
      <c r="E153" s="89" t="s">
        <v>51</v>
      </c>
      <c r="F153" s="89" t="s">
        <v>52</v>
      </c>
      <c r="G153" s="89" t="s">
        <v>50</v>
      </c>
      <c r="H153" s="90">
        <v>83105.679999999993</v>
      </c>
      <c r="I153" s="91">
        <v>45566</v>
      </c>
      <c r="J153" s="89" t="s">
        <v>253</v>
      </c>
      <c r="K153" s="90">
        <v>15086.13</v>
      </c>
      <c r="L153" s="90">
        <v>15086.13</v>
      </c>
      <c r="M153" s="89" t="s">
        <v>89</v>
      </c>
      <c r="N153" s="89" t="s">
        <v>140</v>
      </c>
      <c r="O153" s="89">
        <v>2024</v>
      </c>
      <c r="P153" s="89" t="s">
        <v>123</v>
      </c>
      <c r="Q153" s="90">
        <v>98191.81</v>
      </c>
    </row>
    <row r="154" spans="1:17" x14ac:dyDescent="0.3">
      <c r="A154" s="86" t="s">
        <v>373</v>
      </c>
      <c r="B154" s="86" t="s">
        <v>210</v>
      </c>
      <c r="C154" s="86">
        <v>54</v>
      </c>
      <c r="D154" s="86" t="s">
        <v>76</v>
      </c>
      <c r="E154" s="86" t="s">
        <v>57</v>
      </c>
      <c r="F154" s="86" t="s">
        <v>58</v>
      </c>
      <c r="G154" s="86" t="s">
        <v>56</v>
      </c>
      <c r="H154" s="87">
        <v>83455.070000000007</v>
      </c>
      <c r="I154" s="88">
        <v>45317</v>
      </c>
      <c r="J154" s="86" t="s">
        <v>253</v>
      </c>
      <c r="K154" s="87">
        <v>13528.37</v>
      </c>
      <c r="L154" s="87">
        <v>13528.37</v>
      </c>
      <c r="M154" s="86" t="s">
        <v>69</v>
      </c>
      <c r="N154" s="86" t="s">
        <v>128</v>
      </c>
      <c r="O154" s="86">
        <v>2024</v>
      </c>
      <c r="P154" s="86" t="s">
        <v>129</v>
      </c>
      <c r="Q154" s="87">
        <v>96983.44</v>
      </c>
    </row>
    <row r="155" spans="1:17" x14ac:dyDescent="0.3">
      <c r="A155" s="89" t="s">
        <v>197</v>
      </c>
      <c r="B155" s="89" t="s">
        <v>198</v>
      </c>
      <c r="C155" s="89">
        <v>20</v>
      </c>
      <c r="D155" s="89" t="s">
        <v>76</v>
      </c>
      <c r="E155" s="89" t="s">
        <v>59</v>
      </c>
      <c r="F155" s="89" t="s">
        <v>60</v>
      </c>
      <c r="G155" s="89" t="s">
        <v>50</v>
      </c>
      <c r="H155" s="90">
        <v>85120.62</v>
      </c>
      <c r="I155" s="91">
        <v>45484</v>
      </c>
      <c r="J155" s="89" t="s">
        <v>258</v>
      </c>
      <c r="K155" s="90">
        <v>10773.99</v>
      </c>
      <c r="L155" s="90">
        <v>-10773.99</v>
      </c>
      <c r="M155" s="89" t="s">
        <v>89</v>
      </c>
      <c r="N155" s="89" t="s">
        <v>137</v>
      </c>
      <c r="O155" s="89">
        <v>2024</v>
      </c>
      <c r="P155" s="89" t="s">
        <v>127</v>
      </c>
      <c r="Q155" s="90">
        <v>74346.63</v>
      </c>
    </row>
    <row r="156" spans="1:17" x14ac:dyDescent="0.3">
      <c r="A156" s="86" t="s">
        <v>366</v>
      </c>
      <c r="B156" s="86" t="s">
        <v>367</v>
      </c>
      <c r="C156" s="86">
        <v>50</v>
      </c>
      <c r="D156" s="86" t="s">
        <v>72</v>
      </c>
      <c r="E156" s="86" t="s">
        <v>57</v>
      </c>
      <c r="F156" s="86" t="s">
        <v>58</v>
      </c>
      <c r="G156" s="86" t="s">
        <v>53</v>
      </c>
      <c r="H156" s="87">
        <v>19800.82</v>
      </c>
      <c r="I156" s="88">
        <v>45415</v>
      </c>
      <c r="J156" s="86" t="s">
        <v>253</v>
      </c>
      <c r="K156" s="87">
        <v>9744.1299999999992</v>
      </c>
      <c r="L156" s="87">
        <v>9744.1299999999992</v>
      </c>
      <c r="M156" s="86" t="s">
        <v>69</v>
      </c>
      <c r="N156" s="86" t="s">
        <v>135</v>
      </c>
      <c r="O156" s="86">
        <v>2024</v>
      </c>
      <c r="P156" s="86" t="s">
        <v>129</v>
      </c>
      <c r="Q156" s="87">
        <v>29544.95</v>
      </c>
    </row>
    <row r="157" spans="1:17" x14ac:dyDescent="0.3">
      <c r="A157" s="89" t="s">
        <v>307</v>
      </c>
      <c r="B157" s="89" t="s">
        <v>308</v>
      </c>
      <c r="C157" s="89">
        <v>53</v>
      </c>
      <c r="D157" s="89" t="s">
        <v>76</v>
      </c>
      <c r="E157" s="89" t="s">
        <v>54</v>
      </c>
      <c r="F157" s="89" t="s">
        <v>55</v>
      </c>
      <c r="G157" s="89" t="s">
        <v>56</v>
      </c>
      <c r="H157" s="90">
        <v>14781.45</v>
      </c>
      <c r="I157" s="91">
        <v>45907</v>
      </c>
      <c r="J157" s="89" t="s">
        <v>253</v>
      </c>
      <c r="K157" s="90">
        <v>570.27</v>
      </c>
      <c r="L157" s="90">
        <v>570.27</v>
      </c>
      <c r="M157" s="89" t="s">
        <v>89</v>
      </c>
      <c r="N157" s="89" t="s">
        <v>149</v>
      </c>
      <c r="O157" s="89">
        <v>2025</v>
      </c>
      <c r="P157" s="89" t="s">
        <v>133</v>
      </c>
      <c r="Q157" s="90">
        <v>15351.72</v>
      </c>
    </row>
    <row r="158" spans="1:17" x14ac:dyDescent="0.3">
      <c r="A158" s="86" t="s">
        <v>197</v>
      </c>
      <c r="B158" s="86" t="s">
        <v>198</v>
      </c>
      <c r="C158" s="86">
        <v>20</v>
      </c>
      <c r="D158" s="86" t="s">
        <v>76</v>
      </c>
      <c r="E158" s="86" t="s">
        <v>54</v>
      </c>
      <c r="F158" s="86" t="s">
        <v>55</v>
      </c>
      <c r="G158" s="86" t="s">
        <v>50</v>
      </c>
      <c r="H158" s="87">
        <v>65939.62</v>
      </c>
      <c r="I158" s="88">
        <v>45750</v>
      </c>
      <c r="J158" s="86" t="s">
        <v>253</v>
      </c>
      <c r="K158" s="87">
        <v>8652.59</v>
      </c>
      <c r="L158" s="87">
        <v>8652.59</v>
      </c>
      <c r="M158" s="86" t="s">
        <v>89</v>
      </c>
      <c r="N158" s="86" t="s">
        <v>306</v>
      </c>
      <c r="O158" s="86">
        <v>2025</v>
      </c>
      <c r="P158" s="86" t="s">
        <v>127</v>
      </c>
      <c r="Q158" s="87">
        <v>74592.210000000006</v>
      </c>
    </row>
    <row r="159" spans="1:17" x14ac:dyDescent="0.3">
      <c r="A159" s="89" t="s">
        <v>275</v>
      </c>
      <c r="B159" s="89" t="s">
        <v>276</v>
      </c>
      <c r="C159" s="89">
        <v>36</v>
      </c>
      <c r="D159" s="89" t="s">
        <v>72</v>
      </c>
      <c r="E159" s="89" t="s">
        <v>51</v>
      </c>
      <c r="F159" s="89" t="s">
        <v>52</v>
      </c>
      <c r="G159" s="89" t="s">
        <v>53</v>
      </c>
      <c r="H159" s="90">
        <v>99252.65</v>
      </c>
      <c r="I159" s="91">
        <v>45473</v>
      </c>
      <c r="J159" s="89" t="s">
        <v>253</v>
      </c>
      <c r="K159" s="90">
        <v>1092.78</v>
      </c>
      <c r="L159" s="90">
        <v>1092.78</v>
      </c>
      <c r="M159" s="89" t="s">
        <v>89</v>
      </c>
      <c r="N159" s="89" t="s">
        <v>136</v>
      </c>
      <c r="O159" s="89">
        <v>2024</v>
      </c>
      <c r="P159" s="89" t="s">
        <v>133</v>
      </c>
      <c r="Q159" s="90">
        <v>100345.43</v>
      </c>
    </row>
    <row r="160" spans="1:17" x14ac:dyDescent="0.3">
      <c r="A160" s="86" t="s">
        <v>106</v>
      </c>
      <c r="B160" s="86" t="s">
        <v>107</v>
      </c>
      <c r="C160" s="86">
        <v>35</v>
      </c>
      <c r="D160" s="86" t="s">
        <v>76</v>
      </c>
      <c r="E160" s="86" t="s">
        <v>54</v>
      </c>
      <c r="F160" s="86" t="s">
        <v>55</v>
      </c>
      <c r="G160" s="86" t="s">
        <v>53</v>
      </c>
      <c r="H160" s="87">
        <v>92999.3</v>
      </c>
      <c r="I160" s="88">
        <v>45468</v>
      </c>
      <c r="J160" s="86" t="s">
        <v>258</v>
      </c>
      <c r="K160" s="87">
        <v>14543.1</v>
      </c>
      <c r="L160" s="87">
        <v>-14543.1</v>
      </c>
      <c r="M160" s="86" t="s">
        <v>89</v>
      </c>
      <c r="N160" s="86" t="s">
        <v>136</v>
      </c>
      <c r="O160" s="86">
        <v>2024</v>
      </c>
      <c r="P160" s="86" t="s">
        <v>123</v>
      </c>
      <c r="Q160" s="87">
        <v>78456.2</v>
      </c>
    </row>
    <row r="161" spans="1:17" x14ac:dyDescent="0.3">
      <c r="A161" s="89" t="s">
        <v>353</v>
      </c>
      <c r="B161" s="89" t="s">
        <v>354</v>
      </c>
      <c r="C161" s="89">
        <v>48</v>
      </c>
      <c r="D161" s="89" t="s">
        <v>76</v>
      </c>
      <c r="E161" s="89" t="s">
        <v>59</v>
      </c>
      <c r="F161" s="89" t="s">
        <v>60</v>
      </c>
      <c r="G161" s="89" t="s">
        <v>53</v>
      </c>
      <c r="H161" s="90">
        <v>36337.89</v>
      </c>
      <c r="I161" s="91">
        <v>45476</v>
      </c>
      <c r="J161" s="89" t="s">
        <v>258</v>
      </c>
      <c r="K161" s="90">
        <v>11625.1</v>
      </c>
      <c r="L161" s="90">
        <v>-11625.1</v>
      </c>
      <c r="M161" s="89" t="s">
        <v>89</v>
      </c>
      <c r="N161" s="89" t="s">
        <v>137</v>
      </c>
      <c r="O161" s="89">
        <v>2024</v>
      </c>
      <c r="P161" s="89" t="s">
        <v>125</v>
      </c>
      <c r="Q161" s="90">
        <v>24712.79</v>
      </c>
    </row>
    <row r="162" spans="1:17" x14ac:dyDescent="0.3">
      <c r="A162" s="86" t="s">
        <v>212</v>
      </c>
      <c r="B162" s="86" t="s">
        <v>213</v>
      </c>
      <c r="C162" s="86">
        <v>55</v>
      </c>
      <c r="D162" s="86" t="s">
        <v>72</v>
      </c>
      <c r="E162" s="86" t="s">
        <v>54</v>
      </c>
      <c r="F162" s="86" t="s">
        <v>55</v>
      </c>
      <c r="G162" s="86" t="s">
        <v>56</v>
      </c>
      <c r="H162" s="87">
        <v>47860.89</v>
      </c>
      <c r="I162" s="88">
        <v>45537</v>
      </c>
      <c r="J162" s="86" t="s">
        <v>253</v>
      </c>
      <c r="K162" s="87">
        <v>4955.8500000000004</v>
      </c>
      <c r="L162" s="87">
        <v>4955.8500000000004</v>
      </c>
      <c r="M162" s="86" t="s">
        <v>89</v>
      </c>
      <c r="N162" s="86" t="s">
        <v>139</v>
      </c>
      <c r="O162" s="86">
        <v>2024</v>
      </c>
      <c r="P162" s="86" t="s">
        <v>121</v>
      </c>
      <c r="Q162" s="87">
        <v>52816.74</v>
      </c>
    </row>
    <row r="163" spans="1:17" x14ac:dyDescent="0.3">
      <c r="A163" s="89" t="s">
        <v>351</v>
      </c>
      <c r="B163" s="89" t="s">
        <v>352</v>
      </c>
      <c r="C163" s="89">
        <v>63</v>
      </c>
      <c r="D163" s="89" t="s">
        <v>72</v>
      </c>
      <c r="E163" s="89" t="s">
        <v>59</v>
      </c>
      <c r="F163" s="89" t="s">
        <v>60</v>
      </c>
      <c r="G163" s="89" t="s">
        <v>56</v>
      </c>
      <c r="H163" s="90">
        <v>45480.28</v>
      </c>
      <c r="I163" s="91">
        <v>45595</v>
      </c>
      <c r="J163" s="89" t="s">
        <v>258</v>
      </c>
      <c r="K163" s="90">
        <v>8815.16</v>
      </c>
      <c r="L163" s="90">
        <v>-8815.16</v>
      </c>
      <c r="M163" s="89" t="s">
        <v>89</v>
      </c>
      <c r="N163" s="89" t="s">
        <v>140</v>
      </c>
      <c r="O163" s="89">
        <v>2024</v>
      </c>
      <c r="P163" s="89" t="s">
        <v>125</v>
      </c>
      <c r="Q163" s="90">
        <v>36665.120000000003</v>
      </c>
    </row>
    <row r="164" spans="1:17" x14ac:dyDescent="0.3">
      <c r="A164" s="86" t="s">
        <v>374</v>
      </c>
      <c r="B164" s="86" t="s">
        <v>375</v>
      </c>
      <c r="C164" s="86">
        <v>20</v>
      </c>
      <c r="D164" s="86" t="s">
        <v>76</v>
      </c>
      <c r="E164" s="86" t="s">
        <v>57</v>
      </c>
      <c r="F164" s="86" t="s">
        <v>58</v>
      </c>
      <c r="G164" s="86" t="s">
        <v>50</v>
      </c>
      <c r="H164" s="87">
        <v>55468.480000000003</v>
      </c>
      <c r="I164" s="88">
        <v>45843</v>
      </c>
      <c r="J164" s="86" t="s">
        <v>253</v>
      </c>
      <c r="K164" s="87">
        <v>4622.76</v>
      </c>
      <c r="L164" s="87">
        <v>4622.76</v>
      </c>
      <c r="M164" s="86" t="s">
        <v>69</v>
      </c>
      <c r="N164" s="86" t="s">
        <v>147</v>
      </c>
      <c r="O164" s="86">
        <v>2025</v>
      </c>
      <c r="P164" s="86" t="s">
        <v>131</v>
      </c>
      <c r="Q164" s="87">
        <v>60091.24</v>
      </c>
    </row>
    <row r="165" spans="1:17" x14ac:dyDescent="0.3">
      <c r="A165" s="89" t="s">
        <v>307</v>
      </c>
      <c r="B165" s="89" t="s">
        <v>308</v>
      </c>
      <c r="C165" s="89">
        <v>53</v>
      </c>
      <c r="D165" s="89" t="s">
        <v>76</v>
      </c>
      <c r="E165" s="89" t="s">
        <v>54</v>
      </c>
      <c r="F165" s="89" t="s">
        <v>55</v>
      </c>
      <c r="G165" s="89" t="s">
        <v>56</v>
      </c>
      <c r="H165" s="90">
        <v>35286.42</v>
      </c>
      <c r="I165" s="91">
        <v>45511</v>
      </c>
      <c r="J165" s="89" t="s">
        <v>258</v>
      </c>
      <c r="K165" s="90">
        <v>9036.2199999999993</v>
      </c>
      <c r="L165" s="90">
        <v>-9036.2199999999993</v>
      </c>
      <c r="M165" s="89" t="s">
        <v>89</v>
      </c>
      <c r="N165" s="89" t="s">
        <v>138</v>
      </c>
      <c r="O165" s="89">
        <v>2024</v>
      </c>
      <c r="P165" s="89" t="s">
        <v>125</v>
      </c>
      <c r="Q165" s="90">
        <v>26250.2</v>
      </c>
    </row>
    <row r="166" spans="1:17" x14ac:dyDescent="0.3">
      <c r="A166" s="86" t="s">
        <v>185</v>
      </c>
      <c r="B166" s="86" t="s">
        <v>186</v>
      </c>
      <c r="C166" s="86">
        <v>45</v>
      </c>
      <c r="D166" s="86" t="s">
        <v>76</v>
      </c>
      <c r="E166" s="86" t="s">
        <v>59</v>
      </c>
      <c r="F166" s="86" t="s">
        <v>60</v>
      </c>
      <c r="G166" s="86" t="s">
        <v>53</v>
      </c>
      <c r="H166" s="87">
        <v>14276.58</v>
      </c>
      <c r="I166" s="88">
        <v>45466</v>
      </c>
      <c r="J166" s="86" t="s">
        <v>258</v>
      </c>
      <c r="K166" s="87">
        <v>1398.03</v>
      </c>
      <c r="L166" s="87">
        <v>-1398.03</v>
      </c>
      <c r="M166" s="86" t="s">
        <v>89</v>
      </c>
      <c r="N166" s="86" t="s">
        <v>136</v>
      </c>
      <c r="O166" s="86">
        <v>2024</v>
      </c>
      <c r="P166" s="86" t="s">
        <v>133</v>
      </c>
      <c r="Q166" s="87">
        <v>12878.55</v>
      </c>
    </row>
    <row r="167" spans="1:17" x14ac:dyDescent="0.3">
      <c r="A167" s="89" t="s">
        <v>370</v>
      </c>
      <c r="B167" s="89" t="s">
        <v>371</v>
      </c>
      <c r="C167" s="89">
        <v>49</v>
      </c>
      <c r="D167" s="89" t="s">
        <v>76</v>
      </c>
      <c r="E167" s="89" t="s">
        <v>54</v>
      </c>
      <c r="F167" s="89" t="s">
        <v>55</v>
      </c>
      <c r="G167" s="89" t="s">
        <v>53</v>
      </c>
      <c r="H167" s="90">
        <v>26308.59</v>
      </c>
      <c r="I167" s="91">
        <v>45850</v>
      </c>
      <c r="J167" s="89" t="s">
        <v>253</v>
      </c>
      <c r="K167" s="90">
        <v>9317.81</v>
      </c>
      <c r="L167" s="90">
        <v>9317.81</v>
      </c>
      <c r="M167" s="89" t="s">
        <v>89</v>
      </c>
      <c r="N167" s="89" t="s">
        <v>147</v>
      </c>
      <c r="O167" s="89">
        <v>2025</v>
      </c>
      <c r="P167" s="89" t="s">
        <v>131</v>
      </c>
      <c r="Q167" s="90">
        <v>35626.400000000001</v>
      </c>
    </row>
    <row r="168" spans="1:17" x14ac:dyDescent="0.3">
      <c r="A168" s="86" t="s">
        <v>181</v>
      </c>
      <c r="B168" s="86" t="s">
        <v>182</v>
      </c>
      <c r="C168" s="86">
        <v>28</v>
      </c>
      <c r="D168" s="86" t="s">
        <v>72</v>
      </c>
      <c r="E168" s="86" t="s">
        <v>57</v>
      </c>
      <c r="F168" s="86" t="s">
        <v>58</v>
      </c>
      <c r="G168" s="86" t="s">
        <v>50</v>
      </c>
      <c r="H168" s="87">
        <v>37359.53</v>
      </c>
      <c r="I168" s="88">
        <v>45463</v>
      </c>
      <c r="J168" s="86" t="s">
        <v>253</v>
      </c>
      <c r="K168" s="87">
        <v>12988.11</v>
      </c>
      <c r="L168" s="87">
        <v>12988.11</v>
      </c>
      <c r="M168" s="86" t="s">
        <v>77</v>
      </c>
      <c r="N168" s="86" t="s">
        <v>136</v>
      </c>
      <c r="O168" s="86">
        <v>2024</v>
      </c>
      <c r="P168" s="86" t="s">
        <v>127</v>
      </c>
      <c r="Q168" s="87">
        <v>50347.64</v>
      </c>
    </row>
    <row r="169" spans="1:17" x14ac:dyDescent="0.3">
      <c r="A169" s="89" t="s">
        <v>215</v>
      </c>
      <c r="B169" s="89" t="s">
        <v>216</v>
      </c>
      <c r="C169" s="89">
        <v>51</v>
      </c>
      <c r="D169" s="89" t="s">
        <v>72</v>
      </c>
      <c r="E169" s="89" t="s">
        <v>59</v>
      </c>
      <c r="F169" s="89" t="s">
        <v>60</v>
      </c>
      <c r="G169" s="89" t="s">
        <v>56</v>
      </c>
      <c r="H169" s="90">
        <v>41694.620000000003</v>
      </c>
      <c r="I169" s="91">
        <v>45576</v>
      </c>
      <c r="J169" s="89" t="s">
        <v>258</v>
      </c>
      <c r="K169" s="90">
        <v>6196.92</v>
      </c>
      <c r="L169" s="90">
        <v>-6196.92</v>
      </c>
      <c r="M169" s="89" t="s">
        <v>89</v>
      </c>
      <c r="N169" s="89" t="s">
        <v>140</v>
      </c>
      <c r="O169" s="89">
        <v>2024</v>
      </c>
      <c r="P169" s="89" t="s">
        <v>129</v>
      </c>
      <c r="Q169" s="90">
        <v>35497.699999999997</v>
      </c>
    </row>
    <row r="170" spans="1:17" x14ac:dyDescent="0.3">
      <c r="A170" s="86" t="s">
        <v>100</v>
      </c>
      <c r="B170" s="86" t="s">
        <v>101</v>
      </c>
      <c r="C170" s="86">
        <v>37</v>
      </c>
      <c r="D170" s="86" t="s">
        <v>76</v>
      </c>
      <c r="E170" s="86" t="s">
        <v>57</v>
      </c>
      <c r="F170" s="86" t="s">
        <v>58</v>
      </c>
      <c r="G170" s="86" t="s">
        <v>53</v>
      </c>
      <c r="H170" s="87">
        <v>3876.88</v>
      </c>
      <c r="I170" s="88">
        <v>45260</v>
      </c>
      <c r="J170" s="86" t="s">
        <v>253</v>
      </c>
      <c r="K170" s="87">
        <v>6988.94</v>
      </c>
      <c r="L170" s="87">
        <v>6988.94</v>
      </c>
      <c r="M170" s="86" t="s">
        <v>77</v>
      </c>
      <c r="N170" s="86" t="s">
        <v>124</v>
      </c>
      <c r="O170" s="86">
        <v>2023</v>
      </c>
      <c r="P170" s="86" t="s">
        <v>127</v>
      </c>
      <c r="Q170" s="87">
        <v>10865.82</v>
      </c>
    </row>
    <row r="171" spans="1:17" x14ac:dyDescent="0.3">
      <c r="A171" s="89" t="s">
        <v>212</v>
      </c>
      <c r="B171" s="89" t="s">
        <v>213</v>
      </c>
      <c r="C171" s="89">
        <v>55</v>
      </c>
      <c r="D171" s="89" t="s">
        <v>72</v>
      </c>
      <c r="E171" s="89" t="s">
        <v>59</v>
      </c>
      <c r="F171" s="89" t="s">
        <v>60</v>
      </c>
      <c r="G171" s="89" t="s">
        <v>56</v>
      </c>
      <c r="H171" s="90">
        <v>63293.120000000003</v>
      </c>
      <c r="I171" s="91">
        <v>45517</v>
      </c>
      <c r="J171" s="89" t="s">
        <v>258</v>
      </c>
      <c r="K171" s="90">
        <v>2790.17</v>
      </c>
      <c r="L171" s="90">
        <v>-2790.17</v>
      </c>
      <c r="M171" s="89" t="s">
        <v>89</v>
      </c>
      <c r="N171" s="89" t="s">
        <v>138</v>
      </c>
      <c r="O171" s="89">
        <v>2024</v>
      </c>
      <c r="P171" s="89" t="s">
        <v>123</v>
      </c>
      <c r="Q171" s="90">
        <v>60502.95</v>
      </c>
    </row>
    <row r="172" spans="1:17" x14ac:dyDescent="0.3">
      <c r="A172" s="86" t="s">
        <v>102</v>
      </c>
      <c r="B172" s="86" t="s">
        <v>103</v>
      </c>
      <c r="C172" s="86">
        <v>69</v>
      </c>
      <c r="D172" s="86" t="s">
        <v>72</v>
      </c>
      <c r="E172" s="86" t="s">
        <v>54</v>
      </c>
      <c r="F172" s="86" t="s">
        <v>55</v>
      </c>
      <c r="G172" s="86" t="s">
        <v>56</v>
      </c>
      <c r="H172" s="87">
        <v>1498.2</v>
      </c>
      <c r="I172" s="88">
        <v>45866</v>
      </c>
      <c r="J172" s="86" t="s">
        <v>258</v>
      </c>
      <c r="K172" s="87">
        <v>16709.560000000001</v>
      </c>
      <c r="L172" s="87">
        <v>-16709.560000000001</v>
      </c>
      <c r="M172" s="86" t="s">
        <v>89</v>
      </c>
      <c r="N172" s="86" t="s">
        <v>147</v>
      </c>
      <c r="O172" s="86">
        <v>2025</v>
      </c>
      <c r="P172" s="86" t="s">
        <v>121</v>
      </c>
      <c r="Q172" s="87">
        <v>-15211.36</v>
      </c>
    </row>
    <row r="173" spans="1:17" x14ac:dyDescent="0.3">
      <c r="A173" s="89" t="s">
        <v>317</v>
      </c>
      <c r="B173" s="89" t="s">
        <v>218</v>
      </c>
      <c r="C173" s="89">
        <v>25</v>
      </c>
      <c r="D173" s="89" t="s">
        <v>76</v>
      </c>
      <c r="E173" s="89" t="s">
        <v>59</v>
      </c>
      <c r="F173" s="89" t="s">
        <v>60</v>
      </c>
      <c r="G173" s="89" t="s">
        <v>50</v>
      </c>
      <c r="H173" s="90">
        <v>80093.399999999994</v>
      </c>
      <c r="I173" s="91">
        <v>45683</v>
      </c>
      <c r="J173" s="89" t="s">
        <v>258</v>
      </c>
      <c r="K173" s="90">
        <v>5172</v>
      </c>
      <c r="L173" s="90">
        <v>-5172</v>
      </c>
      <c r="M173" s="89" t="s">
        <v>89</v>
      </c>
      <c r="N173" s="89" t="s">
        <v>314</v>
      </c>
      <c r="O173" s="89">
        <v>2025</v>
      </c>
      <c r="P173" s="89" t="s">
        <v>133</v>
      </c>
      <c r="Q173" s="90">
        <v>74921.399999999994</v>
      </c>
    </row>
    <row r="174" spans="1:17" x14ac:dyDescent="0.3">
      <c r="A174" s="86" t="s">
        <v>215</v>
      </c>
      <c r="B174" s="86" t="s">
        <v>216</v>
      </c>
      <c r="C174" s="86">
        <v>51</v>
      </c>
      <c r="D174" s="86" t="s">
        <v>72</v>
      </c>
      <c r="E174" s="86" t="s">
        <v>57</v>
      </c>
      <c r="F174" s="86" t="s">
        <v>58</v>
      </c>
      <c r="G174" s="86" t="s">
        <v>56</v>
      </c>
      <c r="H174" s="87">
        <v>17935.82</v>
      </c>
      <c r="I174" s="88">
        <v>45208</v>
      </c>
      <c r="J174" s="86" t="s">
        <v>253</v>
      </c>
      <c r="K174" s="87">
        <v>9783.1299999999992</v>
      </c>
      <c r="L174" s="87">
        <v>9783.1299999999992</v>
      </c>
      <c r="M174" s="86" t="s">
        <v>69</v>
      </c>
      <c r="N174" s="86" t="s">
        <v>122</v>
      </c>
      <c r="O174" s="86">
        <v>2023</v>
      </c>
      <c r="P174" s="86" t="s">
        <v>121</v>
      </c>
      <c r="Q174" s="87">
        <v>27718.95</v>
      </c>
    </row>
    <row r="175" spans="1:17" x14ac:dyDescent="0.3">
      <c r="A175" s="89" t="s">
        <v>212</v>
      </c>
      <c r="B175" s="89" t="s">
        <v>213</v>
      </c>
      <c r="C175" s="89">
        <v>55</v>
      </c>
      <c r="D175" s="89" t="s">
        <v>72</v>
      </c>
      <c r="E175" s="89" t="s">
        <v>54</v>
      </c>
      <c r="F175" s="89" t="s">
        <v>55</v>
      </c>
      <c r="G175" s="89" t="s">
        <v>56</v>
      </c>
      <c r="H175" s="90">
        <v>39907.82</v>
      </c>
      <c r="I175" s="91">
        <v>45538</v>
      </c>
      <c r="J175" s="89" t="s">
        <v>253</v>
      </c>
      <c r="K175" s="90">
        <v>14913.65</v>
      </c>
      <c r="L175" s="90">
        <v>14913.65</v>
      </c>
      <c r="M175" s="89" t="s">
        <v>89</v>
      </c>
      <c r="N175" s="89" t="s">
        <v>139</v>
      </c>
      <c r="O175" s="89">
        <v>2024</v>
      </c>
      <c r="P175" s="89" t="s">
        <v>123</v>
      </c>
      <c r="Q175" s="90">
        <v>54821.47</v>
      </c>
    </row>
    <row r="176" spans="1:17" x14ac:dyDescent="0.3">
      <c r="A176" s="86" t="s">
        <v>366</v>
      </c>
      <c r="B176" s="86" t="s">
        <v>367</v>
      </c>
      <c r="C176" s="86">
        <v>50</v>
      </c>
      <c r="D176" s="86" t="s">
        <v>72</v>
      </c>
      <c r="E176" s="86" t="s">
        <v>59</v>
      </c>
      <c r="F176" s="86" t="s">
        <v>60</v>
      </c>
      <c r="G176" s="86" t="s">
        <v>53</v>
      </c>
      <c r="H176" s="87">
        <v>97841.05</v>
      </c>
      <c r="I176" s="88">
        <v>45587</v>
      </c>
      <c r="J176" s="86" t="s">
        <v>253</v>
      </c>
      <c r="K176" s="87">
        <v>13380.15</v>
      </c>
      <c r="L176" s="87">
        <v>13380.15</v>
      </c>
      <c r="M176" s="86" t="s">
        <v>89</v>
      </c>
      <c r="N176" s="86" t="s">
        <v>140</v>
      </c>
      <c r="O176" s="86">
        <v>2024</v>
      </c>
      <c r="P176" s="86" t="s">
        <v>123</v>
      </c>
      <c r="Q176" s="87">
        <v>111221.2</v>
      </c>
    </row>
    <row r="177" spans="1:17" x14ac:dyDescent="0.3">
      <c r="A177" s="89" t="s">
        <v>100</v>
      </c>
      <c r="B177" s="89" t="s">
        <v>101</v>
      </c>
      <c r="C177" s="89">
        <v>37</v>
      </c>
      <c r="D177" s="89" t="s">
        <v>76</v>
      </c>
      <c r="E177" s="89" t="s">
        <v>59</v>
      </c>
      <c r="F177" s="89" t="s">
        <v>60</v>
      </c>
      <c r="G177" s="89" t="s">
        <v>53</v>
      </c>
      <c r="H177" s="90">
        <v>82099.179999999993</v>
      </c>
      <c r="I177" s="91">
        <v>45256</v>
      </c>
      <c r="J177" s="89" t="s">
        <v>258</v>
      </c>
      <c r="K177" s="90">
        <v>6765.84</v>
      </c>
      <c r="L177" s="90">
        <v>-6765.84</v>
      </c>
      <c r="M177" s="89" t="s">
        <v>89</v>
      </c>
      <c r="N177" s="89" t="s">
        <v>124</v>
      </c>
      <c r="O177" s="89">
        <v>2023</v>
      </c>
      <c r="P177" s="89" t="s">
        <v>133</v>
      </c>
      <c r="Q177" s="90">
        <v>75333.34</v>
      </c>
    </row>
    <row r="178" spans="1:17" x14ac:dyDescent="0.3">
      <c r="A178" s="86" t="s">
        <v>181</v>
      </c>
      <c r="B178" s="86" t="s">
        <v>182</v>
      </c>
      <c r="C178" s="86">
        <v>28</v>
      </c>
      <c r="D178" s="86" t="s">
        <v>72</v>
      </c>
      <c r="E178" s="86" t="s">
        <v>57</v>
      </c>
      <c r="F178" s="86" t="s">
        <v>58</v>
      </c>
      <c r="G178" s="86" t="s">
        <v>50</v>
      </c>
      <c r="H178" s="87">
        <v>86661.53</v>
      </c>
      <c r="I178" s="88">
        <v>45711</v>
      </c>
      <c r="J178" s="86" t="s">
        <v>258</v>
      </c>
      <c r="K178" s="87">
        <v>12739.47</v>
      </c>
      <c r="L178" s="87">
        <v>-12739.47</v>
      </c>
      <c r="M178" s="86" t="s">
        <v>69</v>
      </c>
      <c r="N178" s="86" t="s">
        <v>285</v>
      </c>
      <c r="O178" s="86">
        <v>2025</v>
      </c>
      <c r="P178" s="86" t="s">
        <v>133</v>
      </c>
      <c r="Q178" s="87">
        <v>73922.06</v>
      </c>
    </row>
    <row r="179" spans="1:17" x14ac:dyDescent="0.3">
      <c r="A179" s="89" t="s">
        <v>178</v>
      </c>
      <c r="B179" s="89" t="s">
        <v>179</v>
      </c>
      <c r="C179" s="89">
        <v>48</v>
      </c>
      <c r="D179" s="89" t="s">
        <v>72</v>
      </c>
      <c r="E179" s="89" t="s">
        <v>57</v>
      </c>
      <c r="F179" s="89" t="s">
        <v>58</v>
      </c>
      <c r="G179" s="89" t="s">
        <v>53</v>
      </c>
      <c r="H179" s="90">
        <v>90393.36</v>
      </c>
      <c r="I179" s="91">
        <v>45193</v>
      </c>
      <c r="J179" s="89" t="s">
        <v>253</v>
      </c>
      <c r="K179" s="90">
        <v>19739</v>
      </c>
      <c r="L179" s="90">
        <v>19739</v>
      </c>
      <c r="M179" s="89" t="s">
        <v>77</v>
      </c>
      <c r="N179" s="89" t="s">
        <v>120</v>
      </c>
      <c r="O179" s="89">
        <v>2023</v>
      </c>
      <c r="P179" s="89" t="s">
        <v>133</v>
      </c>
      <c r="Q179" s="90">
        <v>110132.36</v>
      </c>
    </row>
    <row r="180" spans="1:17" x14ac:dyDescent="0.3">
      <c r="A180" s="86" t="s">
        <v>185</v>
      </c>
      <c r="B180" s="86" t="s">
        <v>186</v>
      </c>
      <c r="C180" s="86">
        <v>45</v>
      </c>
      <c r="D180" s="86" t="s">
        <v>76</v>
      </c>
      <c r="E180" s="86" t="s">
        <v>57</v>
      </c>
      <c r="F180" s="86" t="s">
        <v>58</v>
      </c>
      <c r="G180" s="86" t="s">
        <v>53</v>
      </c>
      <c r="H180" s="87">
        <v>65847.429999999993</v>
      </c>
      <c r="I180" s="88">
        <v>45361</v>
      </c>
      <c r="J180" s="86" t="s">
        <v>253</v>
      </c>
      <c r="K180" s="87">
        <v>16974.419999999998</v>
      </c>
      <c r="L180" s="87">
        <v>16974.419999999998</v>
      </c>
      <c r="M180" s="86" t="s">
        <v>77</v>
      </c>
      <c r="N180" s="86" t="s">
        <v>132</v>
      </c>
      <c r="O180" s="86">
        <v>2024</v>
      </c>
      <c r="P180" s="86" t="s">
        <v>133</v>
      </c>
      <c r="Q180" s="87">
        <v>82821.850000000006</v>
      </c>
    </row>
    <row r="181" spans="1:17" x14ac:dyDescent="0.3">
      <c r="A181" s="89" t="s">
        <v>370</v>
      </c>
      <c r="B181" s="89" t="s">
        <v>371</v>
      </c>
      <c r="C181" s="89">
        <v>49</v>
      </c>
      <c r="D181" s="89" t="s">
        <v>76</v>
      </c>
      <c r="E181" s="89" t="s">
        <v>57</v>
      </c>
      <c r="F181" s="89" t="s">
        <v>58</v>
      </c>
      <c r="G181" s="89" t="s">
        <v>53</v>
      </c>
      <c r="H181" s="90">
        <v>24104.61</v>
      </c>
      <c r="I181" s="91">
        <v>45215</v>
      </c>
      <c r="J181" s="89" t="s">
        <v>253</v>
      </c>
      <c r="K181" s="90">
        <v>15494.84</v>
      </c>
      <c r="L181" s="90">
        <v>15494.84</v>
      </c>
      <c r="M181" s="89" t="s">
        <v>69</v>
      </c>
      <c r="N181" s="89" t="s">
        <v>122</v>
      </c>
      <c r="O181" s="89">
        <v>2023</v>
      </c>
      <c r="P181" s="89" t="s">
        <v>121</v>
      </c>
      <c r="Q181" s="90">
        <v>39599.449999999997</v>
      </c>
    </row>
    <row r="182" spans="1:17" x14ac:dyDescent="0.3">
      <c r="A182" s="86" t="s">
        <v>178</v>
      </c>
      <c r="B182" s="86" t="s">
        <v>179</v>
      </c>
      <c r="C182" s="86">
        <v>48</v>
      </c>
      <c r="D182" s="86" t="s">
        <v>72</v>
      </c>
      <c r="E182" s="86" t="s">
        <v>51</v>
      </c>
      <c r="F182" s="86" t="s">
        <v>52</v>
      </c>
      <c r="G182" s="86" t="s">
        <v>53</v>
      </c>
      <c r="H182" s="87">
        <v>63627.21</v>
      </c>
      <c r="I182" s="88">
        <v>45261</v>
      </c>
      <c r="J182" s="86" t="s">
        <v>253</v>
      </c>
      <c r="K182" s="87">
        <v>11831.67</v>
      </c>
      <c r="L182" s="87">
        <v>11831.67</v>
      </c>
      <c r="M182" s="86" t="s">
        <v>89</v>
      </c>
      <c r="N182" s="86" t="s">
        <v>126</v>
      </c>
      <c r="O182" s="86">
        <v>2023</v>
      </c>
      <c r="P182" s="86" t="s">
        <v>129</v>
      </c>
      <c r="Q182" s="87">
        <v>75458.880000000005</v>
      </c>
    </row>
    <row r="183" spans="1:17" x14ac:dyDescent="0.3">
      <c r="A183" s="89" t="s">
        <v>295</v>
      </c>
      <c r="B183" s="89" t="s">
        <v>296</v>
      </c>
      <c r="C183" s="89">
        <v>54</v>
      </c>
      <c r="D183" s="89" t="s">
        <v>72</v>
      </c>
      <c r="E183" s="89" t="s">
        <v>51</v>
      </c>
      <c r="F183" s="89" t="s">
        <v>52</v>
      </c>
      <c r="G183" s="89" t="s">
        <v>56</v>
      </c>
      <c r="H183" s="90">
        <v>24620.86</v>
      </c>
      <c r="I183" s="91">
        <v>45807</v>
      </c>
      <c r="J183" s="89" t="s">
        <v>253</v>
      </c>
      <c r="K183" s="90">
        <v>7256.29</v>
      </c>
      <c r="L183" s="90">
        <v>7256.29</v>
      </c>
      <c r="M183" s="89" t="s">
        <v>89</v>
      </c>
      <c r="N183" s="89" t="s">
        <v>309</v>
      </c>
      <c r="O183" s="89">
        <v>2025</v>
      </c>
      <c r="P183" s="89" t="s">
        <v>129</v>
      </c>
      <c r="Q183" s="90">
        <v>31877.15</v>
      </c>
    </row>
    <row r="184" spans="1:17" x14ac:dyDescent="0.3">
      <c r="A184" s="86" t="s">
        <v>333</v>
      </c>
      <c r="B184" s="86" t="s">
        <v>334</v>
      </c>
      <c r="C184" s="86">
        <v>46</v>
      </c>
      <c r="D184" s="86" t="s">
        <v>76</v>
      </c>
      <c r="E184" s="86" t="s">
        <v>51</v>
      </c>
      <c r="F184" s="86" t="s">
        <v>52</v>
      </c>
      <c r="G184" s="86" t="s">
        <v>53</v>
      </c>
      <c r="H184" s="87">
        <v>23845.82</v>
      </c>
      <c r="I184" s="88">
        <v>45598</v>
      </c>
      <c r="J184" s="86" t="s">
        <v>258</v>
      </c>
      <c r="K184" s="87">
        <v>14823.37</v>
      </c>
      <c r="L184" s="87">
        <v>-14823.37</v>
      </c>
      <c r="M184" s="86" t="s">
        <v>89</v>
      </c>
      <c r="N184" s="86" t="s">
        <v>141</v>
      </c>
      <c r="O184" s="86">
        <v>2024</v>
      </c>
      <c r="P184" s="86" t="s">
        <v>131</v>
      </c>
      <c r="Q184" s="87">
        <v>9022.4500000000007</v>
      </c>
    </row>
    <row r="185" spans="1:17" x14ac:dyDescent="0.3">
      <c r="A185" s="89" t="s">
        <v>202</v>
      </c>
      <c r="B185" s="89" t="s">
        <v>203</v>
      </c>
      <c r="C185" s="89">
        <v>19</v>
      </c>
      <c r="D185" s="89" t="s">
        <v>76</v>
      </c>
      <c r="E185" s="89" t="s">
        <v>59</v>
      </c>
      <c r="F185" s="89" t="s">
        <v>60</v>
      </c>
      <c r="G185" s="89" t="s">
        <v>50</v>
      </c>
      <c r="H185" s="90">
        <v>59796.11</v>
      </c>
      <c r="I185" s="91">
        <v>45280</v>
      </c>
      <c r="J185" s="89" t="s">
        <v>253</v>
      </c>
      <c r="K185" s="90">
        <v>6324.9</v>
      </c>
      <c r="L185" s="90">
        <v>6324.9</v>
      </c>
      <c r="M185" s="89" t="s">
        <v>89</v>
      </c>
      <c r="N185" s="89" t="s">
        <v>126</v>
      </c>
      <c r="O185" s="89">
        <v>2023</v>
      </c>
      <c r="P185" s="89" t="s">
        <v>125</v>
      </c>
      <c r="Q185" s="90">
        <v>66121.009999999995</v>
      </c>
    </row>
    <row r="186" spans="1:17" x14ac:dyDescent="0.3">
      <c r="A186" s="86" t="s">
        <v>208</v>
      </c>
      <c r="B186" s="86" t="s">
        <v>209</v>
      </c>
      <c r="C186" s="86">
        <v>41</v>
      </c>
      <c r="D186" s="86" t="s">
        <v>72</v>
      </c>
      <c r="E186" s="86" t="s">
        <v>54</v>
      </c>
      <c r="F186" s="86" t="s">
        <v>55</v>
      </c>
      <c r="G186" s="86" t="s">
        <v>53</v>
      </c>
      <c r="H186" s="87">
        <v>58692.24</v>
      </c>
      <c r="I186" s="88">
        <v>45471</v>
      </c>
      <c r="J186" s="86" t="s">
        <v>258</v>
      </c>
      <c r="K186" s="87">
        <v>941.47</v>
      </c>
      <c r="L186" s="87">
        <v>-941.47</v>
      </c>
      <c r="M186" s="86" t="s">
        <v>89</v>
      </c>
      <c r="N186" s="86" t="s">
        <v>136</v>
      </c>
      <c r="O186" s="86">
        <v>2024</v>
      </c>
      <c r="P186" s="86" t="s">
        <v>129</v>
      </c>
      <c r="Q186" s="87">
        <v>57750.77</v>
      </c>
    </row>
    <row r="187" spans="1:17" x14ac:dyDescent="0.3">
      <c r="A187" s="89" t="s">
        <v>102</v>
      </c>
      <c r="B187" s="89" t="s">
        <v>103</v>
      </c>
      <c r="C187" s="89">
        <v>69</v>
      </c>
      <c r="D187" s="89" t="s">
        <v>72</v>
      </c>
      <c r="E187" s="89" t="s">
        <v>51</v>
      </c>
      <c r="F187" s="89" t="s">
        <v>52</v>
      </c>
      <c r="G187" s="89" t="s">
        <v>56</v>
      </c>
      <c r="H187" s="90">
        <v>66669.58</v>
      </c>
      <c r="I187" s="91">
        <v>45671</v>
      </c>
      <c r="J187" s="89" t="s">
        <v>258</v>
      </c>
      <c r="K187" s="90">
        <v>5576.2</v>
      </c>
      <c r="L187" s="90">
        <v>-5576.2</v>
      </c>
      <c r="M187" s="89" t="s">
        <v>89</v>
      </c>
      <c r="N187" s="89" t="s">
        <v>314</v>
      </c>
      <c r="O187" s="89">
        <v>2025</v>
      </c>
      <c r="P187" s="89" t="s">
        <v>123</v>
      </c>
      <c r="Q187" s="90">
        <v>61093.38</v>
      </c>
    </row>
    <row r="188" spans="1:17" x14ac:dyDescent="0.3">
      <c r="A188" s="86" t="s">
        <v>185</v>
      </c>
      <c r="B188" s="86" t="s">
        <v>186</v>
      </c>
      <c r="C188" s="86">
        <v>45</v>
      </c>
      <c r="D188" s="86" t="s">
        <v>76</v>
      </c>
      <c r="E188" s="86" t="s">
        <v>51</v>
      </c>
      <c r="F188" s="86" t="s">
        <v>52</v>
      </c>
      <c r="G188" s="86" t="s">
        <v>53</v>
      </c>
      <c r="H188" s="87">
        <v>86816.17</v>
      </c>
      <c r="I188" s="88">
        <v>45627</v>
      </c>
      <c r="J188" s="86" t="s">
        <v>258</v>
      </c>
      <c r="K188" s="87">
        <v>19424.23</v>
      </c>
      <c r="L188" s="87">
        <v>-19424.23</v>
      </c>
      <c r="M188" s="86" t="s">
        <v>89</v>
      </c>
      <c r="N188" s="86" t="s">
        <v>290</v>
      </c>
      <c r="O188" s="86">
        <v>2024</v>
      </c>
      <c r="P188" s="86" t="s">
        <v>133</v>
      </c>
      <c r="Q188" s="87">
        <v>67391.94</v>
      </c>
    </row>
    <row r="189" spans="1:17" x14ac:dyDescent="0.3">
      <c r="A189" s="89" t="s">
        <v>368</v>
      </c>
      <c r="B189" s="89" t="s">
        <v>369</v>
      </c>
      <c r="C189" s="89">
        <v>52</v>
      </c>
      <c r="D189" s="89" t="s">
        <v>72</v>
      </c>
      <c r="E189" s="89" t="s">
        <v>51</v>
      </c>
      <c r="F189" s="89" t="s">
        <v>52</v>
      </c>
      <c r="G189" s="89" t="s">
        <v>56</v>
      </c>
      <c r="H189" s="90">
        <v>17884.89</v>
      </c>
      <c r="I189" s="91">
        <v>45800</v>
      </c>
      <c r="J189" s="89" t="s">
        <v>258</v>
      </c>
      <c r="K189" s="90">
        <v>1794.85</v>
      </c>
      <c r="L189" s="90">
        <v>-1794.85</v>
      </c>
      <c r="M189" s="89" t="s">
        <v>89</v>
      </c>
      <c r="N189" s="89" t="s">
        <v>309</v>
      </c>
      <c r="O189" s="89">
        <v>2025</v>
      </c>
      <c r="P189" s="89" t="s">
        <v>129</v>
      </c>
      <c r="Q189" s="90">
        <v>16090.04</v>
      </c>
    </row>
    <row r="190" spans="1:17" x14ac:dyDescent="0.3">
      <c r="A190" s="86" t="s">
        <v>331</v>
      </c>
      <c r="B190" s="86" t="s">
        <v>332</v>
      </c>
      <c r="C190" s="86">
        <v>56</v>
      </c>
      <c r="D190" s="86" t="s">
        <v>76</v>
      </c>
      <c r="E190" s="86" t="s">
        <v>57</v>
      </c>
      <c r="F190" s="86" t="s">
        <v>58</v>
      </c>
      <c r="G190" s="86" t="s">
        <v>56</v>
      </c>
      <c r="H190" s="87">
        <v>87434.37</v>
      </c>
      <c r="I190" s="88">
        <v>45287</v>
      </c>
      <c r="J190" s="86" t="s">
        <v>253</v>
      </c>
      <c r="K190" s="87">
        <v>6961.58</v>
      </c>
      <c r="L190" s="87">
        <v>6961.58</v>
      </c>
      <c r="M190" s="86" t="s">
        <v>69</v>
      </c>
      <c r="N190" s="86" t="s">
        <v>126</v>
      </c>
      <c r="O190" s="86">
        <v>2023</v>
      </c>
      <c r="P190" s="86" t="s">
        <v>125</v>
      </c>
      <c r="Q190" s="87">
        <v>94395.95</v>
      </c>
    </row>
    <row r="191" spans="1:17" x14ac:dyDescent="0.3">
      <c r="A191" s="89" t="s">
        <v>376</v>
      </c>
      <c r="B191" s="89" t="s">
        <v>377</v>
      </c>
      <c r="C191" s="89">
        <v>62</v>
      </c>
      <c r="D191" s="89" t="s">
        <v>76</v>
      </c>
      <c r="E191" s="89" t="s">
        <v>57</v>
      </c>
      <c r="F191" s="89" t="s">
        <v>58</v>
      </c>
      <c r="G191" s="89" t="s">
        <v>56</v>
      </c>
      <c r="H191" s="90">
        <v>44399.72</v>
      </c>
      <c r="I191" s="91">
        <v>45402</v>
      </c>
      <c r="J191" s="89" t="s">
        <v>258</v>
      </c>
      <c r="K191" s="90">
        <v>18390.61</v>
      </c>
      <c r="L191" s="90">
        <v>-18390.61</v>
      </c>
      <c r="M191" s="89" t="s">
        <v>77</v>
      </c>
      <c r="N191" s="89" t="s">
        <v>134</v>
      </c>
      <c r="O191" s="89">
        <v>2024</v>
      </c>
      <c r="P191" s="89" t="s">
        <v>131</v>
      </c>
      <c r="Q191" s="90">
        <v>26009.11</v>
      </c>
    </row>
    <row r="192" spans="1:17" x14ac:dyDescent="0.3">
      <c r="A192" s="86" t="s">
        <v>302</v>
      </c>
      <c r="B192" s="86" t="s">
        <v>303</v>
      </c>
      <c r="C192" s="86">
        <v>55</v>
      </c>
      <c r="D192" s="86" t="s">
        <v>72</v>
      </c>
      <c r="E192" s="86" t="s">
        <v>59</v>
      </c>
      <c r="F192" s="86" t="s">
        <v>60</v>
      </c>
      <c r="G192" s="86" t="s">
        <v>56</v>
      </c>
      <c r="H192" s="87">
        <v>46872.04</v>
      </c>
      <c r="I192" s="88">
        <v>45541</v>
      </c>
      <c r="J192" s="86" t="s">
        <v>253</v>
      </c>
      <c r="K192" s="87">
        <v>7835.91</v>
      </c>
      <c r="L192" s="87">
        <v>7835.91</v>
      </c>
      <c r="M192" s="86" t="s">
        <v>89</v>
      </c>
      <c r="N192" s="86" t="s">
        <v>139</v>
      </c>
      <c r="O192" s="86">
        <v>2024</v>
      </c>
      <c r="P192" s="86" t="s">
        <v>129</v>
      </c>
      <c r="Q192" s="87">
        <v>54707.95</v>
      </c>
    </row>
    <row r="193" spans="1:17" x14ac:dyDescent="0.3">
      <c r="A193" s="89" t="s">
        <v>181</v>
      </c>
      <c r="B193" s="89" t="s">
        <v>182</v>
      </c>
      <c r="C193" s="89">
        <v>28</v>
      </c>
      <c r="D193" s="89" t="s">
        <v>72</v>
      </c>
      <c r="E193" s="89" t="s">
        <v>57</v>
      </c>
      <c r="F193" s="89" t="s">
        <v>58</v>
      </c>
      <c r="G193" s="89" t="s">
        <v>50</v>
      </c>
      <c r="H193" s="90">
        <v>91867.06</v>
      </c>
      <c r="I193" s="91">
        <v>45629</v>
      </c>
      <c r="J193" s="89" t="s">
        <v>258</v>
      </c>
      <c r="K193" s="90">
        <v>12481.7</v>
      </c>
      <c r="L193" s="90">
        <v>-12481.7</v>
      </c>
      <c r="M193" s="89" t="s">
        <v>69</v>
      </c>
      <c r="N193" s="89" t="s">
        <v>290</v>
      </c>
      <c r="O193" s="89">
        <v>2024</v>
      </c>
      <c r="P193" s="89" t="s">
        <v>123</v>
      </c>
      <c r="Q193" s="90">
        <v>79385.36</v>
      </c>
    </row>
    <row r="194" spans="1:17" x14ac:dyDescent="0.3">
      <c r="A194" s="86" t="s">
        <v>102</v>
      </c>
      <c r="B194" s="86" t="s">
        <v>103</v>
      </c>
      <c r="C194" s="86">
        <v>69</v>
      </c>
      <c r="D194" s="86" t="s">
        <v>72</v>
      </c>
      <c r="E194" s="86" t="s">
        <v>51</v>
      </c>
      <c r="F194" s="86" t="s">
        <v>52</v>
      </c>
      <c r="G194" s="86" t="s">
        <v>56</v>
      </c>
      <c r="H194" s="87">
        <v>20317.82</v>
      </c>
      <c r="I194" s="88">
        <v>45779</v>
      </c>
      <c r="J194" s="86" t="s">
        <v>253</v>
      </c>
      <c r="K194" s="87">
        <v>19768.68</v>
      </c>
      <c r="L194" s="87">
        <v>19768.68</v>
      </c>
      <c r="M194" s="86" t="s">
        <v>89</v>
      </c>
      <c r="N194" s="86" t="s">
        <v>309</v>
      </c>
      <c r="O194" s="86">
        <v>2025</v>
      </c>
      <c r="P194" s="86" t="s">
        <v>129</v>
      </c>
      <c r="Q194" s="87">
        <v>40086.5</v>
      </c>
    </row>
    <row r="195" spans="1:17" x14ac:dyDescent="0.3">
      <c r="A195" s="89" t="s">
        <v>277</v>
      </c>
      <c r="B195" s="89" t="s">
        <v>278</v>
      </c>
      <c r="C195" s="89">
        <v>46</v>
      </c>
      <c r="D195" s="89" t="s">
        <v>72</v>
      </c>
      <c r="E195" s="89" t="s">
        <v>54</v>
      </c>
      <c r="F195" s="89" t="s">
        <v>55</v>
      </c>
      <c r="G195" s="89" t="s">
        <v>53</v>
      </c>
      <c r="H195" s="90">
        <v>91257.15</v>
      </c>
      <c r="I195" s="91">
        <v>45539</v>
      </c>
      <c r="J195" s="89" t="s">
        <v>258</v>
      </c>
      <c r="K195" s="90">
        <v>9545.2199999999993</v>
      </c>
      <c r="L195" s="90">
        <v>-9545.2199999999993</v>
      </c>
      <c r="M195" s="89" t="s">
        <v>89</v>
      </c>
      <c r="N195" s="89" t="s">
        <v>139</v>
      </c>
      <c r="O195" s="89">
        <v>2024</v>
      </c>
      <c r="P195" s="89" t="s">
        <v>125</v>
      </c>
      <c r="Q195" s="90">
        <v>81711.929999999993</v>
      </c>
    </row>
    <row r="196" spans="1:17" x14ac:dyDescent="0.3">
      <c r="A196" s="86" t="s">
        <v>269</v>
      </c>
      <c r="B196" s="86" t="s">
        <v>270</v>
      </c>
      <c r="C196" s="86">
        <v>56</v>
      </c>
      <c r="D196" s="86" t="s">
        <v>76</v>
      </c>
      <c r="E196" s="86" t="s">
        <v>57</v>
      </c>
      <c r="F196" s="86" t="s">
        <v>58</v>
      </c>
      <c r="G196" s="86" t="s">
        <v>56</v>
      </c>
      <c r="H196" s="87">
        <v>98263.19</v>
      </c>
      <c r="I196" s="88">
        <v>45489</v>
      </c>
      <c r="J196" s="86" t="s">
        <v>253</v>
      </c>
      <c r="K196" s="87">
        <v>1997.14</v>
      </c>
      <c r="L196" s="87">
        <v>1997.14</v>
      </c>
      <c r="M196" s="86" t="s">
        <v>69</v>
      </c>
      <c r="N196" s="86" t="s">
        <v>137</v>
      </c>
      <c r="O196" s="86">
        <v>2024</v>
      </c>
      <c r="P196" s="86" t="s">
        <v>123</v>
      </c>
      <c r="Q196" s="87">
        <v>100260.33</v>
      </c>
    </row>
    <row r="197" spans="1:17" x14ac:dyDescent="0.3">
      <c r="A197" s="89" t="s">
        <v>286</v>
      </c>
      <c r="B197" s="89" t="s">
        <v>287</v>
      </c>
      <c r="C197" s="89">
        <v>66</v>
      </c>
      <c r="D197" s="89" t="s">
        <v>72</v>
      </c>
      <c r="E197" s="89" t="s">
        <v>59</v>
      </c>
      <c r="F197" s="89" t="s">
        <v>60</v>
      </c>
      <c r="G197" s="89" t="s">
        <v>56</v>
      </c>
      <c r="H197" s="90">
        <v>65351.25</v>
      </c>
      <c r="I197" s="91">
        <v>45307</v>
      </c>
      <c r="J197" s="89" t="s">
        <v>258</v>
      </c>
      <c r="K197" s="90">
        <v>4943.41</v>
      </c>
      <c r="L197" s="90">
        <v>-4943.41</v>
      </c>
      <c r="M197" s="89" t="s">
        <v>89</v>
      </c>
      <c r="N197" s="89" t="s">
        <v>128</v>
      </c>
      <c r="O197" s="89">
        <v>2024</v>
      </c>
      <c r="P197" s="89" t="s">
        <v>123</v>
      </c>
      <c r="Q197" s="90">
        <v>60407.839999999997</v>
      </c>
    </row>
    <row r="198" spans="1:17" x14ac:dyDescent="0.3">
      <c r="A198" s="86" t="s">
        <v>194</v>
      </c>
      <c r="B198" s="86" t="s">
        <v>195</v>
      </c>
      <c r="C198" s="86">
        <v>50</v>
      </c>
      <c r="D198" s="86" t="s">
        <v>76</v>
      </c>
      <c r="E198" s="86" t="s">
        <v>51</v>
      </c>
      <c r="F198" s="86" t="s">
        <v>52</v>
      </c>
      <c r="G198" s="86" t="s">
        <v>53</v>
      </c>
      <c r="H198" s="87">
        <v>14518.76</v>
      </c>
      <c r="I198" s="88">
        <v>45348</v>
      </c>
      <c r="J198" s="86" t="s">
        <v>253</v>
      </c>
      <c r="K198" s="87">
        <v>2391.71</v>
      </c>
      <c r="L198" s="87">
        <v>2391.71</v>
      </c>
      <c r="M198" s="86" t="s">
        <v>89</v>
      </c>
      <c r="N198" s="86" t="s">
        <v>130</v>
      </c>
      <c r="O198" s="86">
        <v>2024</v>
      </c>
      <c r="P198" s="86" t="s">
        <v>121</v>
      </c>
      <c r="Q198" s="87">
        <v>16910.47</v>
      </c>
    </row>
    <row r="199" spans="1:17" x14ac:dyDescent="0.3">
      <c r="A199" s="89" t="s">
        <v>378</v>
      </c>
      <c r="B199" s="89" t="s">
        <v>379</v>
      </c>
      <c r="C199" s="89">
        <v>45</v>
      </c>
      <c r="D199" s="89" t="s">
        <v>72</v>
      </c>
      <c r="E199" s="89" t="s">
        <v>57</v>
      </c>
      <c r="F199" s="89" t="s">
        <v>58</v>
      </c>
      <c r="G199" s="89" t="s">
        <v>53</v>
      </c>
      <c r="H199" s="90">
        <v>70318.64</v>
      </c>
      <c r="I199" s="91">
        <v>45760</v>
      </c>
      <c r="J199" s="89" t="s">
        <v>258</v>
      </c>
      <c r="K199" s="90">
        <v>9060.24</v>
      </c>
      <c r="L199" s="90">
        <v>-9060.24</v>
      </c>
      <c r="M199" s="89" t="s">
        <v>73</v>
      </c>
      <c r="N199" s="89" t="s">
        <v>306</v>
      </c>
      <c r="O199" s="89">
        <v>2025</v>
      </c>
      <c r="P199" s="89" t="s">
        <v>133</v>
      </c>
      <c r="Q199" s="90">
        <v>61258.400000000001</v>
      </c>
    </row>
    <row r="200" spans="1:17" x14ac:dyDescent="0.3">
      <c r="A200" s="86" t="s">
        <v>178</v>
      </c>
      <c r="B200" s="86" t="s">
        <v>179</v>
      </c>
      <c r="C200" s="86">
        <v>48</v>
      </c>
      <c r="D200" s="86" t="s">
        <v>72</v>
      </c>
      <c r="E200" s="86" t="s">
        <v>51</v>
      </c>
      <c r="F200" s="86" t="s">
        <v>52</v>
      </c>
      <c r="G200" s="86" t="s">
        <v>53</v>
      </c>
      <c r="H200" s="87">
        <v>94526.11</v>
      </c>
      <c r="I200" s="88">
        <v>45226</v>
      </c>
      <c r="J200" s="86" t="s">
        <v>253</v>
      </c>
      <c r="K200" s="87">
        <v>15538.42</v>
      </c>
      <c r="L200" s="87">
        <v>15538.42</v>
      </c>
      <c r="M200" s="86" t="s">
        <v>89</v>
      </c>
      <c r="N200" s="86" t="s">
        <v>122</v>
      </c>
      <c r="O200" s="86">
        <v>2023</v>
      </c>
      <c r="P200" s="86" t="s">
        <v>129</v>
      </c>
      <c r="Q200" s="87">
        <v>110064.53</v>
      </c>
    </row>
    <row r="201" spans="1:17" x14ac:dyDescent="0.3">
      <c r="A201" s="89" t="s">
        <v>348</v>
      </c>
      <c r="B201" s="89" t="s">
        <v>349</v>
      </c>
      <c r="C201" s="89">
        <v>52</v>
      </c>
      <c r="D201" s="89" t="s">
        <v>76</v>
      </c>
      <c r="E201" s="89" t="s">
        <v>57</v>
      </c>
      <c r="F201" s="89" t="s">
        <v>58</v>
      </c>
      <c r="G201" s="89" t="s">
        <v>56</v>
      </c>
      <c r="H201" s="90">
        <v>13147.57</v>
      </c>
      <c r="I201" s="91">
        <v>45298</v>
      </c>
      <c r="J201" s="89" t="s">
        <v>258</v>
      </c>
      <c r="K201" s="90">
        <v>1959.46</v>
      </c>
      <c r="L201" s="90">
        <v>-1959.46</v>
      </c>
      <c r="M201" s="89" t="s">
        <v>73</v>
      </c>
      <c r="N201" s="89" t="s">
        <v>128</v>
      </c>
      <c r="O201" s="89">
        <v>2024</v>
      </c>
      <c r="P201" s="89" t="s">
        <v>133</v>
      </c>
      <c r="Q201" s="90">
        <v>11188.11</v>
      </c>
    </row>
    <row r="202" spans="1:17" x14ac:dyDescent="0.3">
      <c r="A202" s="86" t="s">
        <v>380</v>
      </c>
      <c r="B202" s="86" t="s">
        <v>381</v>
      </c>
      <c r="C202" s="86">
        <v>55</v>
      </c>
      <c r="D202" s="86" t="s">
        <v>76</v>
      </c>
      <c r="E202" s="86" t="s">
        <v>51</v>
      </c>
      <c r="F202" s="86" t="s">
        <v>52</v>
      </c>
      <c r="G202" s="86" t="s">
        <v>56</v>
      </c>
      <c r="H202" s="87">
        <v>56425.440000000002</v>
      </c>
      <c r="I202" s="88">
        <v>45909</v>
      </c>
      <c r="J202" s="86" t="s">
        <v>258</v>
      </c>
      <c r="K202" s="87">
        <v>1623.48</v>
      </c>
      <c r="L202" s="87">
        <v>-1623.48</v>
      </c>
      <c r="M202" s="86" t="s">
        <v>89</v>
      </c>
      <c r="N202" s="86" t="s">
        <v>149</v>
      </c>
      <c r="O202" s="86">
        <v>2025</v>
      </c>
      <c r="P202" s="86" t="s">
        <v>123</v>
      </c>
      <c r="Q202" s="87">
        <v>54801.96</v>
      </c>
    </row>
    <row r="203" spans="1:17" x14ac:dyDescent="0.3">
      <c r="A203" s="89" t="s">
        <v>333</v>
      </c>
      <c r="B203" s="89" t="s">
        <v>334</v>
      </c>
      <c r="C203" s="89">
        <v>46</v>
      </c>
      <c r="D203" s="89" t="s">
        <v>76</v>
      </c>
      <c r="E203" s="89" t="s">
        <v>57</v>
      </c>
      <c r="F203" s="89" t="s">
        <v>58</v>
      </c>
      <c r="G203" s="89" t="s">
        <v>53</v>
      </c>
      <c r="H203" s="90">
        <v>8016.06</v>
      </c>
      <c r="I203" s="91">
        <v>45839</v>
      </c>
      <c r="J203" s="89" t="s">
        <v>258</v>
      </c>
      <c r="K203" s="90">
        <v>4090.8</v>
      </c>
      <c r="L203" s="90">
        <v>-4090.8</v>
      </c>
      <c r="M203" s="89" t="s">
        <v>73</v>
      </c>
      <c r="N203" s="89" t="s">
        <v>147</v>
      </c>
      <c r="O203" s="89">
        <v>2025</v>
      </c>
      <c r="P203" s="89" t="s">
        <v>123</v>
      </c>
      <c r="Q203" s="90">
        <v>3925.26</v>
      </c>
    </row>
    <row r="204" spans="1:17" x14ac:dyDescent="0.3">
      <c r="A204" s="86" t="s">
        <v>212</v>
      </c>
      <c r="B204" s="86" t="s">
        <v>213</v>
      </c>
      <c r="C204" s="86">
        <v>55</v>
      </c>
      <c r="D204" s="86" t="s">
        <v>72</v>
      </c>
      <c r="E204" s="86" t="s">
        <v>51</v>
      </c>
      <c r="F204" s="86" t="s">
        <v>52</v>
      </c>
      <c r="G204" s="86" t="s">
        <v>56</v>
      </c>
      <c r="H204" s="87">
        <v>7666.88</v>
      </c>
      <c r="I204" s="88">
        <v>45810</v>
      </c>
      <c r="J204" s="86" t="s">
        <v>253</v>
      </c>
      <c r="K204" s="87">
        <v>1871.03</v>
      </c>
      <c r="L204" s="87">
        <v>1871.03</v>
      </c>
      <c r="M204" s="86" t="s">
        <v>89</v>
      </c>
      <c r="N204" s="86" t="s">
        <v>146</v>
      </c>
      <c r="O204" s="86">
        <v>2025</v>
      </c>
      <c r="P204" s="86" t="s">
        <v>121</v>
      </c>
      <c r="Q204" s="87">
        <v>9537.91</v>
      </c>
    </row>
    <row r="205" spans="1:17" x14ac:dyDescent="0.3">
      <c r="A205" s="89" t="s">
        <v>288</v>
      </c>
      <c r="B205" s="89" t="s">
        <v>289</v>
      </c>
      <c r="C205" s="89">
        <v>24</v>
      </c>
      <c r="D205" s="89" t="s">
        <v>76</v>
      </c>
      <c r="E205" s="89" t="s">
        <v>59</v>
      </c>
      <c r="F205" s="89" t="s">
        <v>60</v>
      </c>
      <c r="G205" s="89" t="s">
        <v>50</v>
      </c>
      <c r="H205" s="90">
        <v>19379.21</v>
      </c>
      <c r="I205" s="91">
        <v>45513</v>
      </c>
      <c r="J205" s="89" t="s">
        <v>258</v>
      </c>
      <c r="K205" s="90">
        <v>8513.52</v>
      </c>
      <c r="L205" s="90">
        <v>-8513.52</v>
      </c>
      <c r="M205" s="89" t="s">
        <v>89</v>
      </c>
      <c r="N205" s="89" t="s">
        <v>138</v>
      </c>
      <c r="O205" s="89">
        <v>2024</v>
      </c>
      <c r="P205" s="89" t="s">
        <v>129</v>
      </c>
      <c r="Q205" s="90">
        <v>10865.69</v>
      </c>
    </row>
    <row r="206" spans="1:17" x14ac:dyDescent="0.3">
      <c r="A206" s="86" t="s">
        <v>175</v>
      </c>
      <c r="B206" s="86" t="s">
        <v>176</v>
      </c>
      <c r="C206" s="86">
        <v>54</v>
      </c>
      <c r="D206" s="86" t="s">
        <v>72</v>
      </c>
      <c r="E206" s="86" t="s">
        <v>51</v>
      </c>
      <c r="F206" s="86" t="s">
        <v>52</v>
      </c>
      <c r="G206" s="86" t="s">
        <v>56</v>
      </c>
      <c r="H206" s="87">
        <v>41878.94</v>
      </c>
      <c r="I206" s="88">
        <v>45494</v>
      </c>
      <c r="J206" s="86" t="s">
        <v>253</v>
      </c>
      <c r="K206" s="87">
        <v>11943.97</v>
      </c>
      <c r="L206" s="87">
        <v>11943.97</v>
      </c>
      <c r="M206" s="86" t="s">
        <v>89</v>
      </c>
      <c r="N206" s="86" t="s">
        <v>137</v>
      </c>
      <c r="O206" s="86">
        <v>2024</v>
      </c>
      <c r="P206" s="86" t="s">
        <v>133</v>
      </c>
      <c r="Q206" s="87">
        <v>53822.91</v>
      </c>
    </row>
    <row r="207" spans="1:17" x14ac:dyDescent="0.3">
      <c r="A207" s="89" t="s">
        <v>194</v>
      </c>
      <c r="B207" s="89" t="s">
        <v>195</v>
      </c>
      <c r="C207" s="89">
        <v>50</v>
      </c>
      <c r="D207" s="89" t="s">
        <v>76</v>
      </c>
      <c r="E207" s="89" t="s">
        <v>57</v>
      </c>
      <c r="F207" s="89" t="s">
        <v>58</v>
      </c>
      <c r="G207" s="89" t="s">
        <v>53</v>
      </c>
      <c r="H207" s="90">
        <v>13504.99</v>
      </c>
      <c r="I207" s="91">
        <v>45411</v>
      </c>
      <c r="J207" s="89" t="s">
        <v>258</v>
      </c>
      <c r="K207" s="90">
        <v>10230.719999999999</v>
      </c>
      <c r="L207" s="90">
        <v>-10230.719999999999</v>
      </c>
      <c r="M207" s="89" t="s">
        <v>73</v>
      </c>
      <c r="N207" s="89" t="s">
        <v>134</v>
      </c>
      <c r="O207" s="89">
        <v>2024</v>
      </c>
      <c r="P207" s="89" t="s">
        <v>121</v>
      </c>
      <c r="Q207" s="90">
        <v>3274.27</v>
      </c>
    </row>
    <row r="208" spans="1:17" x14ac:dyDescent="0.3">
      <c r="A208" s="86" t="s">
        <v>373</v>
      </c>
      <c r="B208" s="86" t="s">
        <v>210</v>
      </c>
      <c r="C208" s="86">
        <v>54</v>
      </c>
      <c r="D208" s="86" t="s">
        <v>76</v>
      </c>
      <c r="E208" s="86" t="s">
        <v>54</v>
      </c>
      <c r="F208" s="86" t="s">
        <v>55</v>
      </c>
      <c r="G208" s="86" t="s">
        <v>56</v>
      </c>
      <c r="H208" s="87">
        <v>78961.11</v>
      </c>
      <c r="I208" s="88">
        <v>45391</v>
      </c>
      <c r="J208" s="86" t="s">
        <v>253</v>
      </c>
      <c r="K208" s="87">
        <v>8594.85</v>
      </c>
      <c r="L208" s="87">
        <v>8594.85</v>
      </c>
      <c r="M208" s="86" t="s">
        <v>89</v>
      </c>
      <c r="N208" s="86" t="s">
        <v>134</v>
      </c>
      <c r="O208" s="86">
        <v>2024</v>
      </c>
      <c r="P208" s="86" t="s">
        <v>123</v>
      </c>
      <c r="Q208" s="87">
        <v>87555.96</v>
      </c>
    </row>
    <row r="209" spans="1:17" x14ac:dyDescent="0.3">
      <c r="A209" s="89" t="s">
        <v>194</v>
      </c>
      <c r="B209" s="89" t="s">
        <v>195</v>
      </c>
      <c r="C209" s="89">
        <v>50</v>
      </c>
      <c r="D209" s="89" t="s">
        <v>76</v>
      </c>
      <c r="E209" s="89" t="s">
        <v>59</v>
      </c>
      <c r="F209" s="89" t="s">
        <v>60</v>
      </c>
      <c r="G209" s="89" t="s">
        <v>53</v>
      </c>
      <c r="H209" s="90">
        <v>57058.89</v>
      </c>
      <c r="I209" s="91">
        <v>45193</v>
      </c>
      <c r="J209" s="89" t="s">
        <v>258</v>
      </c>
      <c r="K209" s="90">
        <v>13724.33</v>
      </c>
      <c r="L209" s="90">
        <v>-13724.33</v>
      </c>
      <c r="M209" s="89" t="s">
        <v>89</v>
      </c>
      <c r="N209" s="89" t="s">
        <v>120</v>
      </c>
      <c r="O209" s="89">
        <v>2023</v>
      </c>
      <c r="P209" s="89" t="s">
        <v>133</v>
      </c>
      <c r="Q209" s="90">
        <v>43334.559999999998</v>
      </c>
    </row>
    <row r="210" spans="1:17" x14ac:dyDescent="0.3">
      <c r="A210" s="86" t="s">
        <v>322</v>
      </c>
      <c r="B210" s="86" t="s">
        <v>323</v>
      </c>
      <c r="C210" s="86">
        <v>68</v>
      </c>
      <c r="D210" s="86" t="s">
        <v>76</v>
      </c>
      <c r="E210" s="86" t="s">
        <v>57</v>
      </c>
      <c r="F210" s="86" t="s">
        <v>58</v>
      </c>
      <c r="G210" s="86" t="s">
        <v>56</v>
      </c>
      <c r="H210" s="87">
        <v>16904.23</v>
      </c>
      <c r="I210" s="88">
        <v>45518</v>
      </c>
      <c r="J210" s="86" t="s">
        <v>253</v>
      </c>
      <c r="K210" s="87">
        <v>7195.99</v>
      </c>
      <c r="L210" s="87">
        <v>7195.99</v>
      </c>
      <c r="M210" s="86" t="s">
        <v>73</v>
      </c>
      <c r="N210" s="86" t="s">
        <v>138</v>
      </c>
      <c r="O210" s="86">
        <v>2024</v>
      </c>
      <c r="P210" s="86" t="s">
        <v>125</v>
      </c>
      <c r="Q210" s="87">
        <v>24100.22</v>
      </c>
    </row>
    <row r="211" spans="1:17" x14ac:dyDescent="0.3">
      <c r="A211" s="89" t="s">
        <v>279</v>
      </c>
      <c r="B211" s="89" t="s">
        <v>280</v>
      </c>
      <c r="C211" s="89">
        <v>64</v>
      </c>
      <c r="D211" s="89" t="s">
        <v>72</v>
      </c>
      <c r="E211" s="89" t="s">
        <v>54</v>
      </c>
      <c r="F211" s="89" t="s">
        <v>55</v>
      </c>
      <c r="G211" s="89" t="s">
        <v>56</v>
      </c>
      <c r="H211" s="90">
        <v>14518.15</v>
      </c>
      <c r="I211" s="91">
        <v>45220</v>
      </c>
      <c r="J211" s="89" t="s">
        <v>253</v>
      </c>
      <c r="K211" s="90">
        <v>15194.06</v>
      </c>
      <c r="L211" s="90">
        <v>15194.06</v>
      </c>
      <c r="M211" s="89" t="s">
        <v>89</v>
      </c>
      <c r="N211" s="89" t="s">
        <v>122</v>
      </c>
      <c r="O211" s="89">
        <v>2023</v>
      </c>
      <c r="P211" s="89" t="s">
        <v>131</v>
      </c>
      <c r="Q211" s="90">
        <v>29712.21</v>
      </c>
    </row>
    <row r="212" spans="1:17" x14ac:dyDescent="0.3">
      <c r="A212" s="86" t="s">
        <v>281</v>
      </c>
      <c r="B212" s="86" t="s">
        <v>282</v>
      </c>
      <c r="C212" s="86">
        <v>21</v>
      </c>
      <c r="D212" s="86" t="s">
        <v>72</v>
      </c>
      <c r="E212" s="86" t="s">
        <v>59</v>
      </c>
      <c r="F212" s="86" t="s">
        <v>60</v>
      </c>
      <c r="G212" s="86" t="s">
        <v>50</v>
      </c>
      <c r="H212" s="87">
        <v>23314.53</v>
      </c>
      <c r="I212" s="88">
        <v>45769</v>
      </c>
      <c r="J212" s="86" t="s">
        <v>253</v>
      </c>
      <c r="K212" s="87">
        <v>5471.26</v>
      </c>
      <c r="L212" s="87">
        <v>5471.26</v>
      </c>
      <c r="M212" s="86" t="s">
        <v>89</v>
      </c>
      <c r="N212" s="86" t="s">
        <v>306</v>
      </c>
      <c r="O212" s="86">
        <v>2025</v>
      </c>
      <c r="P212" s="86" t="s">
        <v>123</v>
      </c>
      <c r="Q212" s="87">
        <v>28785.79</v>
      </c>
    </row>
    <row r="213" spans="1:17" x14ac:dyDescent="0.3">
      <c r="A213" s="89" t="s">
        <v>208</v>
      </c>
      <c r="B213" s="89" t="s">
        <v>209</v>
      </c>
      <c r="C213" s="89">
        <v>41</v>
      </c>
      <c r="D213" s="89" t="s">
        <v>72</v>
      </c>
      <c r="E213" s="89" t="s">
        <v>57</v>
      </c>
      <c r="F213" s="89" t="s">
        <v>58</v>
      </c>
      <c r="G213" s="89" t="s">
        <v>53</v>
      </c>
      <c r="H213" s="90">
        <v>79853.37</v>
      </c>
      <c r="I213" s="91">
        <v>45745</v>
      </c>
      <c r="J213" s="89" t="s">
        <v>253</v>
      </c>
      <c r="K213" s="90">
        <v>1875.83</v>
      </c>
      <c r="L213" s="90">
        <v>1875.83</v>
      </c>
      <c r="M213" s="89" t="s">
        <v>73</v>
      </c>
      <c r="N213" s="89" t="s">
        <v>297</v>
      </c>
      <c r="O213" s="89">
        <v>2025</v>
      </c>
      <c r="P213" s="89" t="s">
        <v>131</v>
      </c>
      <c r="Q213" s="90">
        <v>81729.2</v>
      </c>
    </row>
    <row r="214" spans="1:17" x14ac:dyDescent="0.3">
      <c r="A214" s="86" t="s">
        <v>202</v>
      </c>
      <c r="B214" s="86" t="s">
        <v>203</v>
      </c>
      <c r="C214" s="86">
        <v>19</v>
      </c>
      <c r="D214" s="86" t="s">
        <v>76</v>
      </c>
      <c r="E214" s="86" t="s">
        <v>57</v>
      </c>
      <c r="F214" s="86" t="s">
        <v>58</v>
      </c>
      <c r="G214" s="86" t="s">
        <v>50</v>
      </c>
      <c r="H214" s="87">
        <v>53591.16</v>
      </c>
      <c r="I214" s="88">
        <v>45767</v>
      </c>
      <c r="J214" s="86" t="s">
        <v>253</v>
      </c>
      <c r="K214" s="87">
        <v>10720.38</v>
      </c>
      <c r="L214" s="87">
        <v>10720.38</v>
      </c>
      <c r="M214" s="86" t="s">
        <v>73</v>
      </c>
      <c r="N214" s="86" t="s">
        <v>306</v>
      </c>
      <c r="O214" s="86">
        <v>2025</v>
      </c>
      <c r="P214" s="86" t="s">
        <v>133</v>
      </c>
      <c r="Q214" s="87">
        <v>64311.54</v>
      </c>
    </row>
    <row r="215" spans="1:17" x14ac:dyDescent="0.3">
      <c r="A215" s="89" t="s">
        <v>288</v>
      </c>
      <c r="B215" s="89" t="s">
        <v>289</v>
      </c>
      <c r="C215" s="89">
        <v>24</v>
      </c>
      <c r="D215" s="89" t="s">
        <v>76</v>
      </c>
      <c r="E215" s="89" t="s">
        <v>54</v>
      </c>
      <c r="F215" s="89" t="s">
        <v>55</v>
      </c>
      <c r="G215" s="89" t="s">
        <v>50</v>
      </c>
      <c r="H215" s="90">
        <v>85374.89</v>
      </c>
      <c r="I215" s="91">
        <v>45820</v>
      </c>
      <c r="J215" s="89" t="s">
        <v>253</v>
      </c>
      <c r="K215" s="90">
        <v>2426.9899999999998</v>
      </c>
      <c r="L215" s="90">
        <v>2426.9899999999998</v>
      </c>
      <c r="M215" s="89" t="s">
        <v>89</v>
      </c>
      <c r="N215" s="89" t="s">
        <v>146</v>
      </c>
      <c r="O215" s="89">
        <v>2025</v>
      </c>
      <c r="P215" s="89" t="s">
        <v>127</v>
      </c>
      <c r="Q215" s="90">
        <v>87801.88</v>
      </c>
    </row>
    <row r="216" spans="1:17" x14ac:dyDescent="0.3">
      <c r="A216" s="86" t="s">
        <v>342</v>
      </c>
      <c r="B216" s="86" t="s">
        <v>343</v>
      </c>
      <c r="C216" s="86">
        <v>50</v>
      </c>
      <c r="D216" s="86" t="s">
        <v>76</v>
      </c>
      <c r="E216" s="86" t="s">
        <v>51</v>
      </c>
      <c r="F216" s="86" t="s">
        <v>52</v>
      </c>
      <c r="G216" s="86" t="s">
        <v>53</v>
      </c>
      <c r="H216" s="87">
        <v>61520.02</v>
      </c>
      <c r="I216" s="88">
        <v>45658</v>
      </c>
      <c r="J216" s="86" t="s">
        <v>258</v>
      </c>
      <c r="K216" s="87">
        <v>13401.77</v>
      </c>
      <c r="L216" s="87">
        <v>-13401.77</v>
      </c>
      <c r="M216" s="86" t="s">
        <v>89</v>
      </c>
      <c r="N216" s="86" t="s">
        <v>314</v>
      </c>
      <c r="O216" s="86">
        <v>2025</v>
      </c>
      <c r="P216" s="86" t="s">
        <v>125</v>
      </c>
      <c r="Q216" s="87">
        <v>48118.25</v>
      </c>
    </row>
    <row r="217" spans="1:17" x14ac:dyDescent="0.3">
      <c r="A217" s="89" t="s">
        <v>302</v>
      </c>
      <c r="B217" s="89" t="s">
        <v>303</v>
      </c>
      <c r="C217" s="89">
        <v>55</v>
      </c>
      <c r="D217" s="89" t="s">
        <v>72</v>
      </c>
      <c r="E217" s="89" t="s">
        <v>51</v>
      </c>
      <c r="F217" s="89" t="s">
        <v>52</v>
      </c>
      <c r="G217" s="89" t="s">
        <v>56</v>
      </c>
      <c r="H217" s="90">
        <v>64242.87</v>
      </c>
      <c r="I217" s="91">
        <v>45603</v>
      </c>
      <c r="J217" s="89" t="s">
        <v>258</v>
      </c>
      <c r="K217" s="90">
        <v>7393.5</v>
      </c>
      <c r="L217" s="90">
        <v>-7393.5</v>
      </c>
      <c r="M217" s="89" t="s">
        <v>89</v>
      </c>
      <c r="N217" s="89" t="s">
        <v>141</v>
      </c>
      <c r="O217" s="89">
        <v>2024</v>
      </c>
      <c r="P217" s="89" t="s">
        <v>127</v>
      </c>
      <c r="Q217" s="90">
        <v>56849.37</v>
      </c>
    </row>
    <row r="218" spans="1:17" x14ac:dyDescent="0.3">
      <c r="A218" s="86" t="s">
        <v>181</v>
      </c>
      <c r="B218" s="86" t="s">
        <v>182</v>
      </c>
      <c r="C218" s="86">
        <v>28</v>
      </c>
      <c r="D218" s="86" t="s">
        <v>72</v>
      </c>
      <c r="E218" s="86" t="s">
        <v>59</v>
      </c>
      <c r="F218" s="86" t="s">
        <v>60</v>
      </c>
      <c r="G218" s="86" t="s">
        <v>50</v>
      </c>
      <c r="H218" s="87">
        <v>58172.39</v>
      </c>
      <c r="I218" s="88">
        <v>45795</v>
      </c>
      <c r="J218" s="86" t="s">
        <v>253</v>
      </c>
      <c r="K218" s="87">
        <v>18717</v>
      </c>
      <c r="L218" s="87">
        <v>18717</v>
      </c>
      <c r="M218" s="86" t="s">
        <v>89</v>
      </c>
      <c r="N218" s="86" t="s">
        <v>309</v>
      </c>
      <c r="O218" s="86">
        <v>2025</v>
      </c>
      <c r="P218" s="86" t="s">
        <v>133</v>
      </c>
      <c r="Q218" s="87">
        <v>76889.39</v>
      </c>
    </row>
    <row r="219" spans="1:17" x14ac:dyDescent="0.3">
      <c r="A219" s="89" t="s">
        <v>212</v>
      </c>
      <c r="B219" s="89" t="s">
        <v>213</v>
      </c>
      <c r="C219" s="89">
        <v>55</v>
      </c>
      <c r="D219" s="89" t="s">
        <v>72</v>
      </c>
      <c r="E219" s="89" t="s">
        <v>59</v>
      </c>
      <c r="F219" s="89" t="s">
        <v>60</v>
      </c>
      <c r="G219" s="89" t="s">
        <v>56</v>
      </c>
      <c r="H219" s="90">
        <v>43977.19</v>
      </c>
      <c r="I219" s="91">
        <v>45407</v>
      </c>
      <c r="J219" s="89" t="s">
        <v>258</v>
      </c>
      <c r="K219" s="90">
        <v>1705.79</v>
      </c>
      <c r="L219" s="90">
        <v>-1705.79</v>
      </c>
      <c r="M219" s="89" t="s">
        <v>89</v>
      </c>
      <c r="N219" s="89" t="s">
        <v>134</v>
      </c>
      <c r="O219" s="89">
        <v>2024</v>
      </c>
      <c r="P219" s="89" t="s">
        <v>127</v>
      </c>
      <c r="Q219" s="90">
        <v>42271.4</v>
      </c>
    </row>
    <row r="220" spans="1:17" x14ac:dyDescent="0.3">
      <c r="A220" s="86" t="s">
        <v>215</v>
      </c>
      <c r="B220" s="86" t="s">
        <v>216</v>
      </c>
      <c r="C220" s="86">
        <v>51</v>
      </c>
      <c r="D220" s="86" t="s">
        <v>72</v>
      </c>
      <c r="E220" s="86" t="s">
        <v>59</v>
      </c>
      <c r="F220" s="86" t="s">
        <v>60</v>
      </c>
      <c r="G220" s="86" t="s">
        <v>56</v>
      </c>
      <c r="H220" s="87">
        <v>81059.199999999997</v>
      </c>
      <c r="I220" s="88">
        <v>45325</v>
      </c>
      <c r="J220" s="86" t="s">
        <v>258</v>
      </c>
      <c r="K220" s="87">
        <v>17202.38</v>
      </c>
      <c r="L220" s="87">
        <v>-17202.38</v>
      </c>
      <c r="M220" s="86" t="s">
        <v>89</v>
      </c>
      <c r="N220" s="86" t="s">
        <v>130</v>
      </c>
      <c r="O220" s="86">
        <v>2024</v>
      </c>
      <c r="P220" s="86" t="s">
        <v>131</v>
      </c>
      <c r="Q220" s="87">
        <v>63856.82</v>
      </c>
    </row>
    <row r="221" spans="1:17" x14ac:dyDescent="0.3">
      <c r="A221" s="89" t="s">
        <v>194</v>
      </c>
      <c r="B221" s="89" t="s">
        <v>195</v>
      </c>
      <c r="C221" s="89">
        <v>50</v>
      </c>
      <c r="D221" s="89" t="s">
        <v>76</v>
      </c>
      <c r="E221" s="89" t="s">
        <v>54</v>
      </c>
      <c r="F221" s="89" t="s">
        <v>55</v>
      </c>
      <c r="G221" s="89" t="s">
        <v>53</v>
      </c>
      <c r="H221" s="90">
        <v>39625.39</v>
      </c>
      <c r="I221" s="91">
        <v>45408</v>
      </c>
      <c r="J221" s="89" t="s">
        <v>258</v>
      </c>
      <c r="K221" s="90">
        <v>1099.43</v>
      </c>
      <c r="L221" s="90">
        <v>-1099.43</v>
      </c>
      <c r="M221" s="89" t="s">
        <v>89</v>
      </c>
      <c r="N221" s="89" t="s">
        <v>134</v>
      </c>
      <c r="O221" s="89">
        <v>2024</v>
      </c>
      <c r="P221" s="89" t="s">
        <v>129</v>
      </c>
      <c r="Q221" s="90">
        <v>38525.96</v>
      </c>
    </row>
    <row r="222" spans="1:17" x14ac:dyDescent="0.3">
      <c r="A222" s="86" t="s">
        <v>281</v>
      </c>
      <c r="B222" s="86" t="s">
        <v>282</v>
      </c>
      <c r="C222" s="86">
        <v>21</v>
      </c>
      <c r="D222" s="86" t="s">
        <v>72</v>
      </c>
      <c r="E222" s="86" t="s">
        <v>57</v>
      </c>
      <c r="F222" s="86" t="s">
        <v>58</v>
      </c>
      <c r="G222" s="86" t="s">
        <v>50</v>
      </c>
      <c r="H222" s="87">
        <v>93665.85</v>
      </c>
      <c r="I222" s="88">
        <v>45791</v>
      </c>
      <c r="J222" s="86" t="s">
        <v>253</v>
      </c>
      <c r="K222" s="87">
        <v>5433.24</v>
      </c>
      <c r="L222" s="87">
        <v>5433.24</v>
      </c>
      <c r="M222" s="86" t="s">
        <v>69</v>
      </c>
      <c r="N222" s="86" t="s">
        <v>309</v>
      </c>
      <c r="O222" s="86">
        <v>2025</v>
      </c>
      <c r="P222" s="86" t="s">
        <v>125</v>
      </c>
      <c r="Q222" s="87">
        <v>99099.09</v>
      </c>
    </row>
    <row r="223" spans="1:17" x14ac:dyDescent="0.3">
      <c r="A223" s="89" t="s">
        <v>92</v>
      </c>
      <c r="B223" s="89" t="s">
        <v>93</v>
      </c>
      <c r="C223" s="89">
        <v>66</v>
      </c>
      <c r="D223" s="89" t="s">
        <v>72</v>
      </c>
      <c r="E223" s="89" t="s">
        <v>51</v>
      </c>
      <c r="F223" s="89" t="s">
        <v>52</v>
      </c>
      <c r="G223" s="89" t="s">
        <v>56</v>
      </c>
      <c r="H223" s="90">
        <v>3753.85</v>
      </c>
      <c r="I223" s="91">
        <v>45341</v>
      </c>
      <c r="J223" s="89" t="s">
        <v>253</v>
      </c>
      <c r="K223" s="90">
        <v>16706.240000000002</v>
      </c>
      <c r="L223" s="90">
        <v>16706.240000000002</v>
      </c>
      <c r="M223" s="89" t="s">
        <v>89</v>
      </c>
      <c r="N223" s="89" t="s">
        <v>130</v>
      </c>
      <c r="O223" s="89">
        <v>2024</v>
      </c>
      <c r="P223" s="89" t="s">
        <v>121</v>
      </c>
      <c r="Q223" s="90">
        <v>20460.09</v>
      </c>
    </row>
    <row r="224" spans="1:17" x14ac:dyDescent="0.3">
      <c r="A224" s="86" t="s">
        <v>355</v>
      </c>
      <c r="B224" s="86" t="s">
        <v>356</v>
      </c>
      <c r="C224" s="86">
        <v>38</v>
      </c>
      <c r="D224" s="86" t="s">
        <v>76</v>
      </c>
      <c r="E224" s="86" t="s">
        <v>57</v>
      </c>
      <c r="F224" s="86" t="s">
        <v>58</v>
      </c>
      <c r="G224" s="86" t="s">
        <v>53</v>
      </c>
      <c r="H224" s="87">
        <v>87718.080000000002</v>
      </c>
      <c r="I224" s="88">
        <v>45286</v>
      </c>
      <c r="J224" s="86" t="s">
        <v>258</v>
      </c>
      <c r="K224" s="87">
        <v>15711.93</v>
      </c>
      <c r="L224" s="87">
        <v>-15711.93</v>
      </c>
      <c r="M224" s="86" t="s">
        <v>77</v>
      </c>
      <c r="N224" s="86" t="s">
        <v>126</v>
      </c>
      <c r="O224" s="86">
        <v>2023</v>
      </c>
      <c r="P224" s="86" t="s">
        <v>123</v>
      </c>
      <c r="Q224" s="87">
        <v>72006.149999999994</v>
      </c>
    </row>
    <row r="225" spans="1:17" x14ac:dyDescent="0.3">
      <c r="A225" s="89" t="s">
        <v>87</v>
      </c>
      <c r="B225" s="89" t="s">
        <v>88</v>
      </c>
      <c r="C225" s="89">
        <v>49</v>
      </c>
      <c r="D225" s="89" t="s">
        <v>76</v>
      </c>
      <c r="E225" s="89" t="s">
        <v>59</v>
      </c>
      <c r="F225" s="89" t="s">
        <v>60</v>
      </c>
      <c r="G225" s="89" t="s">
        <v>53</v>
      </c>
      <c r="H225" s="90">
        <v>32321.25</v>
      </c>
      <c r="I225" s="91">
        <v>45781</v>
      </c>
      <c r="J225" s="89" t="s">
        <v>258</v>
      </c>
      <c r="K225" s="90">
        <v>15390.37</v>
      </c>
      <c r="L225" s="90">
        <v>-15390.37</v>
      </c>
      <c r="M225" s="89" t="s">
        <v>89</v>
      </c>
      <c r="N225" s="89" t="s">
        <v>309</v>
      </c>
      <c r="O225" s="89">
        <v>2025</v>
      </c>
      <c r="P225" s="89" t="s">
        <v>133</v>
      </c>
      <c r="Q225" s="90">
        <v>16930.88</v>
      </c>
    </row>
    <row r="226" spans="1:17" x14ac:dyDescent="0.3">
      <c r="A226" s="86" t="s">
        <v>351</v>
      </c>
      <c r="B226" s="86" t="s">
        <v>352</v>
      </c>
      <c r="C226" s="86">
        <v>63</v>
      </c>
      <c r="D226" s="86" t="s">
        <v>72</v>
      </c>
      <c r="E226" s="86" t="s">
        <v>54</v>
      </c>
      <c r="F226" s="86" t="s">
        <v>55</v>
      </c>
      <c r="G226" s="86" t="s">
        <v>56</v>
      </c>
      <c r="H226" s="87">
        <v>95439.82</v>
      </c>
      <c r="I226" s="88">
        <v>45309</v>
      </c>
      <c r="J226" s="86" t="s">
        <v>253</v>
      </c>
      <c r="K226" s="87">
        <v>15274.29</v>
      </c>
      <c r="L226" s="87">
        <v>15274.29</v>
      </c>
      <c r="M226" s="86" t="s">
        <v>89</v>
      </c>
      <c r="N226" s="86" t="s">
        <v>128</v>
      </c>
      <c r="O226" s="86">
        <v>2024</v>
      </c>
      <c r="P226" s="86" t="s">
        <v>127</v>
      </c>
      <c r="Q226" s="87">
        <v>110714.11</v>
      </c>
    </row>
    <row r="227" spans="1:17" x14ac:dyDescent="0.3">
      <c r="A227" s="89" t="s">
        <v>106</v>
      </c>
      <c r="B227" s="89" t="s">
        <v>107</v>
      </c>
      <c r="C227" s="89">
        <v>35</v>
      </c>
      <c r="D227" s="89" t="s">
        <v>76</v>
      </c>
      <c r="E227" s="89" t="s">
        <v>51</v>
      </c>
      <c r="F227" s="89" t="s">
        <v>52</v>
      </c>
      <c r="G227" s="89" t="s">
        <v>53</v>
      </c>
      <c r="H227" s="90">
        <v>84451.09</v>
      </c>
      <c r="I227" s="91">
        <v>45756</v>
      </c>
      <c r="J227" s="89" t="s">
        <v>253</v>
      </c>
      <c r="K227" s="90">
        <v>13398.31</v>
      </c>
      <c r="L227" s="90">
        <v>13398.31</v>
      </c>
      <c r="M227" s="89" t="s">
        <v>89</v>
      </c>
      <c r="N227" s="89" t="s">
        <v>306</v>
      </c>
      <c r="O227" s="89">
        <v>2025</v>
      </c>
      <c r="P227" s="89" t="s">
        <v>125</v>
      </c>
      <c r="Q227" s="90">
        <v>97849.4</v>
      </c>
    </row>
    <row r="228" spans="1:17" x14ac:dyDescent="0.3">
      <c r="A228" s="86" t="s">
        <v>194</v>
      </c>
      <c r="B228" s="86" t="s">
        <v>195</v>
      </c>
      <c r="C228" s="86">
        <v>50</v>
      </c>
      <c r="D228" s="86" t="s">
        <v>76</v>
      </c>
      <c r="E228" s="86" t="s">
        <v>57</v>
      </c>
      <c r="F228" s="86" t="s">
        <v>58</v>
      </c>
      <c r="G228" s="86" t="s">
        <v>53</v>
      </c>
      <c r="H228" s="87">
        <v>92056.93</v>
      </c>
      <c r="I228" s="88">
        <v>45635</v>
      </c>
      <c r="J228" s="86" t="s">
        <v>253</v>
      </c>
      <c r="K228" s="87">
        <v>10636.76</v>
      </c>
      <c r="L228" s="87">
        <v>10636.76</v>
      </c>
      <c r="M228" s="86" t="s">
        <v>77</v>
      </c>
      <c r="N228" s="86" t="s">
        <v>290</v>
      </c>
      <c r="O228" s="86">
        <v>2024</v>
      </c>
      <c r="P228" s="86" t="s">
        <v>121</v>
      </c>
      <c r="Q228" s="87">
        <v>102693.69</v>
      </c>
    </row>
    <row r="229" spans="1:17" x14ac:dyDescent="0.3">
      <c r="A229" s="89" t="s">
        <v>358</v>
      </c>
      <c r="B229" s="89" t="s">
        <v>359</v>
      </c>
      <c r="C229" s="89">
        <v>36</v>
      </c>
      <c r="D229" s="89" t="s">
        <v>72</v>
      </c>
      <c r="E229" s="89" t="s">
        <v>57</v>
      </c>
      <c r="F229" s="89" t="s">
        <v>58</v>
      </c>
      <c r="G229" s="89" t="s">
        <v>53</v>
      </c>
      <c r="H229" s="90">
        <v>12315.64</v>
      </c>
      <c r="I229" s="91">
        <v>45217</v>
      </c>
      <c r="J229" s="89" t="s">
        <v>258</v>
      </c>
      <c r="K229" s="90">
        <v>9537.74</v>
      </c>
      <c r="L229" s="90">
        <v>-9537.74</v>
      </c>
      <c r="M229" s="89" t="s">
        <v>69</v>
      </c>
      <c r="N229" s="89" t="s">
        <v>122</v>
      </c>
      <c r="O229" s="89">
        <v>2023</v>
      </c>
      <c r="P229" s="89" t="s">
        <v>125</v>
      </c>
      <c r="Q229" s="90">
        <v>2777.9</v>
      </c>
    </row>
    <row r="230" spans="1:17" x14ac:dyDescent="0.3">
      <c r="A230" s="86" t="s">
        <v>286</v>
      </c>
      <c r="B230" s="86" t="s">
        <v>287</v>
      </c>
      <c r="C230" s="86">
        <v>66</v>
      </c>
      <c r="D230" s="86" t="s">
        <v>72</v>
      </c>
      <c r="E230" s="86" t="s">
        <v>51</v>
      </c>
      <c r="F230" s="86" t="s">
        <v>52</v>
      </c>
      <c r="G230" s="86" t="s">
        <v>56</v>
      </c>
      <c r="H230" s="87">
        <v>93410.92</v>
      </c>
      <c r="I230" s="88">
        <v>45364</v>
      </c>
      <c r="J230" s="86" t="s">
        <v>258</v>
      </c>
      <c r="K230" s="87">
        <v>14332.94</v>
      </c>
      <c r="L230" s="87">
        <v>-14332.94</v>
      </c>
      <c r="M230" s="86" t="s">
        <v>89</v>
      </c>
      <c r="N230" s="86" t="s">
        <v>132</v>
      </c>
      <c r="O230" s="86">
        <v>2024</v>
      </c>
      <c r="P230" s="86" t="s">
        <v>125</v>
      </c>
      <c r="Q230" s="87">
        <v>79077.98</v>
      </c>
    </row>
    <row r="231" spans="1:17" x14ac:dyDescent="0.3">
      <c r="A231" s="89" t="s">
        <v>382</v>
      </c>
      <c r="B231" s="89" t="s">
        <v>383</v>
      </c>
      <c r="C231" s="89">
        <v>31</v>
      </c>
      <c r="D231" s="89" t="s">
        <v>76</v>
      </c>
      <c r="E231" s="89" t="s">
        <v>51</v>
      </c>
      <c r="F231" s="89" t="s">
        <v>52</v>
      </c>
      <c r="G231" s="89" t="s">
        <v>53</v>
      </c>
      <c r="H231" s="90">
        <v>77505.11</v>
      </c>
      <c r="I231" s="91">
        <v>45238</v>
      </c>
      <c r="J231" s="89" t="s">
        <v>258</v>
      </c>
      <c r="K231" s="90">
        <v>12247.4</v>
      </c>
      <c r="L231" s="90">
        <v>-12247.4</v>
      </c>
      <c r="M231" s="89" t="s">
        <v>89</v>
      </c>
      <c r="N231" s="89" t="s">
        <v>124</v>
      </c>
      <c r="O231" s="89">
        <v>2023</v>
      </c>
      <c r="P231" s="89" t="s">
        <v>125</v>
      </c>
      <c r="Q231" s="90">
        <v>65257.71</v>
      </c>
    </row>
    <row r="232" spans="1:17" x14ac:dyDescent="0.3">
      <c r="A232" s="86" t="s">
        <v>106</v>
      </c>
      <c r="B232" s="86" t="s">
        <v>107</v>
      </c>
      <c r="C232" s="86">
        <v>35</v>
      </c>
      <c r="D232" s="86" t="s">
        <v>76</v>
      </c>
      <c r="E232" s="86" t="s">
        <v>54</v>
      </c>
      <c r="F232" s="86" t="s">
        <v>55</v>
      </c>
      <c r="G232" s="86" t="s">
        <v>53</v>
      </c>
      <c r="H232" s="87">
        <v>80341.899999999994</v>
      </c>
      <c r="I232" s="88">
        <v>45874</v>
      </c>
      <c r="J232" s="86" t="s">
        <v>258</v>
      </c>
      <c r="K232" s="87">
        <v>2705.2</v>
      </c>
      <c r="L232" s="87">
        <v>-2705.2</v>
      </c>
      <c r="M232" s="86" t="s">
        <v>89</v>
      </c>
      <c r="N232" s="86" t="s">
        <v>148</v>
      </c>
      <c r="O232" s="86">
        <v>2025</v>
      </c>
      <c r="P232" s="86" t="s">
        <v>123</v>
      </c>
      <c r="Q232" s="87">
        <v>77636.7</v>
      </c>
    </row>
    <row r="233" spans="1:17" x14ac:dyDescent="0.3">
      <c r="A233" s="89" t="s">
        <v>87</v>
      </c>
      <c r="B233" s="89" t="s">
        <v>88</v>
      </c>
      <c r="C233" s="89">
        <v>49</v>
      </c>
      <c r="D233" s="89" t="s">
        <v>76</v>
      </c>
      <c r="E233" s="89" t="s">
        <v>57</v>
      </c>
      <c r="F233" s="89" t="s">
        <v>58</v>
      </c>
      <c r="G233" s="89" t="s">
        <v>53</v>
      </c>
      <c r="H233" s="90">
        <v>56729.05</v>
      </c>
      <c r="I233" s="91">
        <v>45651</v>
      </c>
      <c r="J233" s="89" t="s">
        <v>253</v>
      </c>
      <c r="K233" s="90">
        <v>5131.6899999999996</v>
      </c>
      <c r="L233" s="90">
        <v>5131.6899999999996</v>
      </c>
      <c r="M233" s="89" t="s">
        <v>69</v>
      </c>
      <c r="N233" s="89" t="s">
        <v>290</v>
      </c>
      <c r="O233" s="89">
        <v>2024</v>
      </c>
      <c r="P233" s="89" t="s">
        <v>125</v>
      </c>
      <c r="Q233" s="90">
        <v>61860.74</v>
      </c>
    </row>
    <row r="234" spans="1:17" x14ac:dyDescent="0.3">
      <c r="A234" s="86" t="s">
        <v>338</v>
      </c>
      <c r="B234" s="86" t="s">
        <v>339</v>
      </c>
      <c r="C234" s="86">
        <v>40</v>
      </c>
      <c r="D234" s="86" t="s">
        <v>72</v>
      </c>
      <c r="E234" s="86" t="s">
        <v>57</v>
      </c>
      <c r="F234" s="86" t="s">
        <v>58</v>
      </c>
      <c r="G234" s="86" t="s">
        <v>53</v>
      </c>
      <c r="H234" s="87">
        <v>73301.789999999994</v>
      </c>
      <c r="I234" s="88">
        <v>45340</v>
      </c>
      <c r="J234" s="86" t="s">
        <v>258</v>
      </c>
      <c r="K234" s="87">
        <v>16657.61</v>
      </c>
      <c r="L234" s="87">
        <v>-16657.61</v>
      </c>
      <c r="M234" s="86" t="s">
        <v>73</v>
      </c>
      <c r="N234" s="86" t="s">
        <v>130</v>
      </c>
      <c r="O234" s="86">
        <v>2024</v>
      </c>
      <c r="P234" s="86" t="s">
        <v>133</v>
      </c>
      <c r="Q234" s="87">
        <v>56644.18</v>
      </c>
    </row>
    <row r="235" spans="1:17" x14ac:dyDescent="0.3">
      <c r="A235" s="89" t="s">
        <v>310</v>
      </c>
      <c r="B235" s="89" t="s">
        <v>311</v>
      </c>
      <c r="C235" s="89">
        <v>42</v>
      </c>
      <c r="D235" s="89" t="s">
        <v>76</v>
      </c>
      <c r="E235" s="89" t="s">
        <v>51</v>
      </c>
      <c r="F235" s="89" t="s">
        <v>52</v>
      </c>
      <c r="G235" s="89" t="s">
        <v>53</v>
      </c>
      <c r="H235" s="90">
        <v>38185.879999999997</v>
      </c>
      <c r="I235" s="91">
        <v>45475</v>
      </c>
      <c r="J235" s="89" t="s">
        <v>253</v>
      </c>
      <c r="K235" s="90">
        <v>9229.26</v>
      </c>
      <c r="L235" s="90">
        <v>9229.26</v>
      </c>
      <c r="M235" s="89" t="s">
        <v>89</v>
      </c>
      <c r="N235" s="89" t="s">
        <v>137</v>
      </c>
      <c r="O235" s="89">
        <v>2024</v>
      </c>
      <c r="P235" s="89" t="s">
        <v>123</v>
      </c>
      <c r="Q235" s="90">
        <v>47415.14</v>
      </c>
    </row>
    <row r="236" spans="1:17" x14ac:dyDescent="0.3">
      <c r="A236" s="86" t="s">
        <v>175</v>
      </c>
      <c r="B236" s="86" t="s">
        <v>176</v>
      </c>
      <c r="C236" s="86">
        <v>54</v>
      </c>
      <c r="D236" s="86" t="s">
        <v>72</v>
      </c>
      <c r="E236" s="86" t="s">
        <v>51</v>
      </c>
      <c r="F236" s="86" t="s">
        <v>52</v>
      </c>
      <c r="G236" s="86" t="s">
        <v>56</v>
      </c>
      <c r="H236" s="87">
        <v>32336.5</v>
      </c>
      <c r="I236" s="88">
        <v>45690</v>
      </c>
      <c r="J236" s="86" t="s">
        <v>253</v>
      </c>
      <c r="K236" s="87">
        <v>11765.14</v>
      </c>
      <c r="L236" s="87">
        <v>11765.14</v>
      </c>
      <c r="M236" s="86" t="s">
        <v>89</v>
      </c>
      <c r="N236" s="86" t="s">
        <v>285</v>
      </c>
      <c r="O236" s="86">
        <v>2025</v>
      </c>
      <c r="P236" s="86" t="s">
        <v>133</v>
      </c>
      <c r="Q236" s="87">
        <v>44101.64</v>
      </c>
    </row>
    <row r="237" spans="1:17" x14ac:dyDescent="0.3">
      <c r="A237" s="89" t="s">
        <v>333</v>
      </c>
      <c r="B237" s="89" t="s">
        <v>334</v>
      </c>
      <c r="C237" s="89">
        <v>46</v>
      </c>
      <c r="D237" s="89" t="s">
        <v>76</v>
      </c>
      <c r="E237" s="89" t="s">
        <v>57</v>
      </c>
      <c r="F237" s="89" t="s">
        <v>58</v>
      </c>
      <c r="G237" s="89" t="s">
        <v>53</v>
      </c>
      <c r="H237" s="90">
        <v>59286.27</v>
      </c>
      <c r="I237" s="91">
        <v>45336</v>
      </c>
      <c r="J237" s="89" t="s">
        <v>253</v>
      </c>
      <c r="K237" s="90">
        <v>2228.94</v>
      </c>
      <c r="L237" s="90">
        <v>2228.94</v>
      </c>
      <c r="M237" s="89" t="s">
        <v>77</v>
      </c>
      <c r="N237" s="89" t="s">
        <v>130</v>
      </c>
      <c r="O237" s="89">
        <v>2024</v>
      </c>
      <c r="P237" s="89" t="s">
        <v>125</v>
      </c>
      <c r="Q237" s="90">
        <v>61515.21</v>
      </c>
    </row>
    <row r="238" spans="1:17" x14ac:dyDescent="0.3">
      <c r="A238" s="86" t="s">
        <v>384</v>
      </c>
      <c r="B238" s="86" t="s">
        <v>385</v>
      </c>
      <c r="C238" s="86">
        <v>58</v>
      </c>
      <c r="D238" s="86" t="s">
        <v>76</v>
      </c>
      <c r="E238" s="86" t="s">
        <v>57</v>
      </c>
      <c r="F238" s="86" t="s">
        <v>58</v>
      </c>
      <c r="G238" s="86" t="s">
        <v>56</v>
      </c>
      <c r="H238" s="87">
        <v>17098.11</v>
      </c>
      <c r="I238" s="88">
        <v>45754</v>
      </c>
      <c r="J238" s="86" t="s">
        <v>258</v>
      </c>
      <c r="K238" s="87">
        <v>11277.7</v>
      </c>
      <c r="L238" s="87">
        <v>-11277.7</v>
      </c>
      <c r="M238" s="86" t="s">
        <v>73</v>
      </c>
      <c r="N238" s="86" t="s">
        <v>306</v>
      </c>
      <c r="O238" s="86">
        <v>2025</v>
      </c>
      <c r="P238" s="86" t="s">
        <v>121</v>
      </c>
      <c r="Q238" s="87">
        <v>5820.41</v>
      </c>
    </row>
    <row r="239" spans="1:17" x14ac:dyDescent="0.3">
      <c r="A239" s="89" t="s">
        <v>357</v>
      </c>
      <c r="B239" s="89" t="s">
        <v>219</v>
      </c>
      <c r="C239" s="89">
        <v>51</v>
      </c>
      <c r="D239" s="89" t="s">
        <v>76</v>
      </c>
      <c r="E239" s="89" t="s">
        <v>59</v>
      </c>
      <c r="F239" s="89" t="s">
        <v>60</v>
      </c>
      <c r="G239" s="89" t="s">
        <v>56</v>
      </c>
      <c r="H239" s="90">
        <v>79010</v>
      </c>
      <c r="I239" s="91">
        <v>45312</v>
      </c>
      <c r="J239" s="89" t="s">
        <v>253</v>
      </c>
      <c r="K239" s="90">
        <v>4301.6899999999996</v>
      </c>
      <c r="L239" s="90">
        <v>4301.6899999999996</v>
      </c>
      <c r="M239" s="89" t="s">
        <v>89</v>
      </c>
      <c r="N239" s="89" t="s">
        <v>128</v>
      </c>
      <c r="O239" s="89">
        <v>2024</v>
      </c>
      <c r="P239" s="89" t="s">
        <v>133</v>
      </c>
      <c r="Q239" s="90">
        <v>83311.69</v>
      </c>
    </row>
    <row r="240" spans="1:17" x14ac:dyDescent="0.3">
      <c r="A240" s="86" t="s">
        <v>104</v>
      </c>
      <c r="B240" s="86" t="s">
        <v>105</v>
      </c>
      <c r="C240" s="86">
        <v>49</v>
      </c>
      <c r="D240" s="86" t="s">
        <v>72</v>
      </c>
      <c r="E240" s="86" t="s">
        <v>51</v>
      </c>
      <c r="F240" s="86" t="s">
        <v>52</v>
      </c>
      <c r="G240" s="86" t="s">
        <v>53</v>
      </c>
      <c r="H240" s="87">
        <v>94044.11</v>
      </c>
      <c r="I240" s="88">
        <v>45377</v>
      </c>
      <c r="J240" s="86" t="s">
        <v>253</v>
      </c>
      <c r="K240" s="87">
        <v>1379.79</v>
      </c>
      <c r="L240" s="87">
        <v>1379.79</v>
      </c>
      <c r="M240" s="86" t="s">
        <v>89</v>
      </c>
      <c r="N240" s="86" t="s">
        <v>132</v>
      </c>
      <c r="O240" s="86">
        <v>2024</v>
      </c>
      <c r="P240" s="86" t="s">
        <v>123</v>
      </c>
      <c r="Q240" s="87">
        <v>95423.9</v>
      </c>
    </row>
    <row r="241" spans="1:17" x14ac:dyDescent="0.3">
      <c r="A241" s="89" t="s">
        <v>102</v>
      </c>
      <c r="B241" s="89" t="s">
        <v>103</v>
      </c>
      <c r="C241" s="89">
        <v>69</v>
      </c>
      <c r="D241" s="89" t="s">
        <v>72</v>
      </c>
      <c r="E241" s="89" t="s">
        <v>57</v>
      </c>
      <c r="F241" s="89" t="s">
        <v>58</v>
      </c>
      <c r="G241" s="89" t="s">
        <v>56</v>
      </c>
      <c r="H241" s="90">
        <v>89695.43</v>
      </c>
      <c r="I241" s="91">
        <v>45788</v>
      </c>
      <c r="J241" s="89" t="s">
        <v>258</v>
      </c>
      <c r="K241" s="90">
        <v>14141.6</v>
      </c>
      <c r="L241" s="90">
        <v>-14141.6</v>
      </c>
      <c r="M241" s="89" t="s">
        <v>69</v>
      </c>
      <c r="N241" s="89" t="s">
        <v>309</v>
      </c>
      <c r="O241" s="89">
        <v>2025</v>
      </c>
      <c r="P241" s="89" t="s">
        <v>133</v>
      </c>
      <c r="Q241" s="90">
        <v>75553.83</v>
      </c>
    </row>
    <row r="242" spans="1:17" x14ac:dyDescent="0.3">
      <c r="A242" s="86" t="s">
        <v>104</v>
      </c>
      <c r="B242" s="86" t="s">
        <v>105</v>
      </c>
      <c r="C242" s="86">
        <v>49</v>
      </c>
      <c r="D242" s="86" t="s">
        <v>72</v>
      </c>
      <c r="E242" s="86" t="s">
        <v>59</v>
      </c>
      <c r="F242" s="86" t="s">
        <v>60</v>
      </c>
      <c r="G242" s="86" t="s">
        <v>53</v>
      </c>
      <c r="H242" s="87">
        <v>1401.91</v>
      </c>
      <c r="I242" s="88">
        <v>45676</v>
      </c>
      <c r="J242" s="86" t="s">
        <v>258</v>
      </c>
      <c r="K242" s="87">
        <v>5603.77</v>
      </c>
      <c r="L242" s="87">
        <v>-5603.77</v>
      </c>
      <c r="M242" s="86" t="s">
        <v>89</v>
      </c>
      <c r="N242" s="86" t="s">
        <v>314</v>
      </c>
      <c r="O242" s="86">
        <v>2025</v>
      </c>
      <c r="P242" s="86" t="s">
        <v>133</v>
      </c>
      <c r="Q242" s="87">
        <v>-4201.8599999999997</v>
      </c>
    </row>
    <row r="243" spans="1:17" x14ac:dyDescent="0.3">
      <c r="A243" s="89" t="s">
        <v>380</v>
      </c>
      <c r="B243" s="89" t="s">
        <v>381</v>
      </c>
      <c r="C243" s="89">
        <v>55</v>
      </c>
      <c r="D243" s="89" t="s">
        <v>76</v>
      </c>
      <c r="E243" s="89" t="s">
        <v>54</v>
      </c>
      <c r="F243" s="89" t="s">
        <v>55</v>
      </c>
      <c r="G243" s="89" t="s">
        <v>56</v>
      </c>
      <c r="H243" s="90">
        <v>60639.35</v>
      </c>
      <c r="I243" s="91">
        <v>45473</v>
      </c>
      <c r="J243" s="89" t="s">
        <v>253</v>
      </c>
      <c r="K243" s="90">
        <v>3279.22</v>
      </c>
      <c r="L243" s="90">
        <v>3279.22</v>
      </c>
      <c r="M243" s="89" t="s">
        <v>89</v>
      </c>
      <c r="N243" s="89" t="s">
        <v>136</v>
      </c>
      <c r="O243" s="89">
        <v>2024</v>
      </c>
      <c r="P243" s="89" t="s">
        <v>133</v>
      </c>
      <c r="Q243" s="90">
        <v>63918.57</v>
      </c>
    </row>
    <row r="244" spans="1:17" x14ac:dyDescent="0.3">
      <c r="A244" s="86" t="s">
        <v>202</v>
      </c>
      <c r="B244" s="86" t="s">
        <v>203</v>
      </c>
      <c r="C244" s="86">
        <v>19</v>
      </c>
      <c r="D244" s="86" t="s">
        <v>76</v>
      </c>
      <c r="E244" s="86" t="s">
        <v>57</v>
      </c>
      <c r="F244" s="86" t="s">
        <v>58</v>
      </c>
      <c r="G244" s="86" t="s">
        <v>50</v>
      </c>
      <c r="H244" s="87">
        <v>75002.559999999998</v>
      </c>
      <c r="I244" s="88">
        <v>45773</v>
      </c>
      <c r="J244" s="86" t="s">
        <v>258</v>
      </c>
      <c r="K244" s="87">
        <v>13041.46</v>
      </c>
      <c r="L244" s="87">
        <v>-13041.46</v>
      </c>
      <c r="M244" s="86" t="s">
        <v>69</v>
      </c>
      <c r="N244" s="86" t="s">
        <v>306</v>
      </c>
      <c r="O244" s="86">
        <v>2025</v>
      </c>
      <c r="P244" s="86" t="s">
        <v>131</v>
      </c>
      <c r="Q244" s="87">
        <v>61961.1</v>
      </c>
    </row>
    <row r="245" spans="1:17" x14ac:dyDescent="0.3">
      <c r="A245" s="89" t="s">
        <v>279</v>
      </c>
      <c r="B245" s="89" t="s">
        <v>280</v>
      </c>
      <c r="C245" s="89">
        <v>64</v>
      </c>
      <c r="D245" s="89" t="s">
        <v>72</v>
      </c>
      <c r="E245" s="89" t="s">
        <v>51</v>
      </c>
      <c r="F245" s="89" t="s">
        <v>52</v>
      </c>
      <c r="G245" s="89" t="s">
        <v>56</v>
      </c>
      <c r="H245" s="90">
        <v>31501.01</v>
      </c>
      <c r="I245" s="91">
        <v>45511</v>
      </c>
      <c r="J245" s="89" t="s">
        <v>253</v>
      </c>
      <c r="K245" s="90">
        <v>10255.81</v>
      </c>
      <c r="L245" s="90">
        <v>10255.81</v>
      </c>
      <c r="M245" s="89" t="s">
        <v>89</v>
      </c>
      <c r="N245" s="89" t="s">
        <v>138</v>
      </c>
      <c r="O245" s="89">
        <v>2024</v>
      </c>
      <c r="P245" s="89" t="s">
        <v>125</v>
      </c>
      <c r="Q245" s="90">
        <v>41756.82</v>
      </c>
    </row>
    <row r="246" spans="1:17" x14ac:dyDescent="0.3">
      <c r="A246" s="86" t="s">
        <v>106</v>
      </c>
      <c r="B246" s="86" t="s">
        <v>107</v>
      </c>
      <c r="C246" s="86">
        <v>35</v>
      </c>
      <c r="D246" s="86" t="s">
        <v>76</v>
      </c>
      <c r="E246" s="86" t="s">
        <v>57</v>
      </c>
      <c r="F246" s="86" t="s">
        <v>58</v>
      </c>
      <c r="G246" s="86" t="s">
        <v>53</v>
      </c>
      <c r="H246" s="87">
        <v>1090.22</v>
      </c>
      <c r="I246" s="88">
        <v>45207</v>
      </c>
      <c r="J246" s="86" t="s">
        <v>258</v>
      </c>
      <c r="K246" s="87">
        <v>19041.34</v>
      </c>
      <c r="L246" s="87">
        <v>-19041.34</v>
      </c>
      <c r="M246" s="86" t="s">
        <v>73</v>
      </c>
      <c r="N246" s="86" t="s">
        <v>122</v>
      </c>
      <c r="O246" s="86">
        <v>2023</v>
      </c>
      <c r="P246" s="86" t="s">
        <v>133</v>
      </c>
      <c r="Q246" s="87">
        <v>-17951.12</v>
      </c>
    </row>
    <row r="247" spans="1:17" x14ac:dyDescent="0.3">
      <c r="A247" s="89" t="s">
        <v>386</v>
      </c>
      <c r="B247" s="89" t="s">
        <v>387</v>
      </c>
      <c r="C247" s="89">
        <v>44</v>
      </c>
      <c r="D247" s="89" t="s">
        <v>72</v>
      </c>
      <c r="E247" s="89" t="s">
        <v>51</v>
      </c>
      <c r="F247" s="89" t="s">
        <v>52</v>
      </c>
      <c r="G247" s="89" t="s">
        <v>53</v>
      </c>
      <c r="H247" s="90">
        <v>33490.06</v>
      </c>
      <c r="I247" s="91">
        <v>45217</v>
      </c>
      <c r="J247" s="89" t="s">
        <v>253</v>
      </c>
      <c r="K247" s="90">
        <v>1759.28</v>
      </c>
      <c r="L247" s="90">
        <v>1759.28</v>
      </c>
      <c r="M247" s="89" t="s">
        <v>89</v>
      </c>
      <c r="N247" s="89" t="s">
        <v>122</v>
      </c>
      <c r="O247" s="89">
        <v>2023</v>
      </c>
      <c r="P247" s="89" t="s">
        <v>125</v>
      </c>
      <c r="Q247" s="90">
        <v>35249.339999999997</v>
      </c>
    </row>
    <row r="248" spans="1:17" x14ac:dyDescent="0.3">
      <c r="A248" s="86" t="s">
        <v>364</v>
      </c>
      <c r="B248" s="86" t="s">
        <v>365</v>
      </c>
      <c r="C248" s="86">
        <v>35</v>
      </c>
      <c r="D248" s="86" t="s">
        <v>72</v>
      </c>
      <c r="E248" s="86" t="s">
        <v>57</v>
      </c>
      <c r="F248" s="86" t="s">
        <v>58</v>
      </c>
      <c r="G248" s="86" t="s">
        <v>53</v>
      </c>
      <c r="H248" s="87">
        <v>61513.65</v>
      </c>
      <c r="I248" s="88">
        <v>45536</v>
      </c>
      <c r="J248" s="86" t="s">
        <v>253</v>
      </c>
      <c r="K248" s="87">
        <v>5897.58</v>
      </c>
      <c r="L248" s="87">
        <v>5897.58</v>
      </c>
      <c r="M248" s="86" t="s">
        <v>69</v>
      </c>
      <c r="N248" s="86" t="s">
        <v>139</v>
      </c>
      <c r="O248" s="86">
        <v>2024</v>
      </c>
      <c r="P248" s="86" t="s">
        <v>133</v>
      </c>
      <c r="Q248" s="87">
        <v>67411.23</v>
      </c>
    </row>
    <row r="249" spans="1:17" x14ac:dyDescent="0.3">
      <c r="A249" s="89" t="s">
        <v>320</v>
      </c>
      <c r="B249" s="89" t="s">
        <v>321</v>
      </c>
      <c r="C249" s="89">
        <v>59</v>
      </c>
      <c r="D249" s="89" t="s">
        <v>76</v>
      </c>
      <c r="E249" s="89" t="s">
        <v>51</v>
      </c>
      <c r="F249" s="89" t="s">
        <v>52</v>
      </c>
      <c r="G249" s="89" t="s">
        <v>56</v>
      </c>
      <c r="H249" s="90">
        <v>97590.68</v>
      </c>
      <c r="I249" s="91">
        <v>45590</v>
      </c>
      <c r="J249" s="89" t="s">
        <v>258</v>
      </c>
      <c r="K249" s="90">
        <v>10262.43</v>
      </c>
      <c r="L249" s="90">
        <v>-10262.43</v>
      </c>
      <c r="M249" s="89" t="s">
        <v>89</v>
      </c>
      <c r="N249" s="89" t="s">
        <v>140</v>
      </c>
      <c r="O249" s="89">
        <v>2024</v>
      </c>
      <c r="P249" s="89" t="s">
        <v>129</v>
      </c>
      <c r="Q249" s="90">
        <v>87328.25</v>
      </c>
    </row>
    <row r="250" spans="1:17" x14ac:dyDescent="0.3">
      <c r="A250" s="86" t="s">
        <v>378</v>
      </c>
      <c r="B250" s="86" t="s">
        <v>379</v>
      </c>
      <c r="C250" s="86">
        <v>45</v>
      </c>
      <c r="D250" s="86" t="s">
        <v>72</v>
      </c>
      <c r="E250" s="86" t="s">
        <v>51</v>
      </c>
      <c r="F250" s="86" t="s">
        <v>52</v>
      </c>
      <c r="G250" s="86" t="s">
        <v>53</v>
      </c>
      <c r="H250" s="87">
        <v>39561.769999999997</v>
      </c>
      <c r="I250" s="88">
        <v>45723</v>
      </c>
      <c r="J250" s="86" t="s">
        <v>253</v>
      </c>
      <c r="K250" s="87">
        <v>5482.71</v>
      </c>
      <c r="L250" s="87">
        <v>5482.71</v>
      </c>
      <c r="M250" s="86" t="s">
        <v>89</v>
      </c>
      <c r="N250" s="86" t="s">
        <v>297</v>
      </c>
      <c r="O250" s="86">
        <v>2025</v>
      </c>
      <c r="P250" s="86" t="s">
        <v>129</v>
      </c>
      <c r="Q250" s="87">
        <v>45044.480000000003</v>
      </c>
    </row>
    <row r="251" spans="1:17" x14ac:dyDescent="0.3">
      <c r="A251" s="89" t="s">
        <v>388</v>
      </c>
      <c r="B251" s="89" t="s">
        <v>206</v>
      </c>
      <c r="C251" s="89">
        <v>48</v>
      </c>
      <c r="D251" s="89" t="s">
        <v>76</v>
      </c>
      <c r="E251" s="89" t="s">
        <v>59</v>
      </c>
      <c r="F251" s="89" t="s">
        <v>60</v>
      </c>
      <c r="G251" s="89" t="s">
        <v>53</v>
      </c>
      <c r="H251" s="90">
        <v>78851.86</v>
      </c>
      <c r="I251" s="91">
        <v>45886</v>
      </c>
      <c r="J251" s="89" t="s">
        <v>253</v>
      </c>
      <c r="K251" s="90">
        <v>14259.23</v>
      </c>
      <c r="L251" s="90">
        <v>14259.23</v>
      </c>
      <c r="M251" s="89" t="s">
        <v>89</v>
      </c>
      <c r="N251" s="89" t="s">
        <v>148</v>
      </c>
      <c r="O251" s="89">
        <v>2025</v>
      </c>
      <c r="P251" s="89" t="s">
        <v>133</v>
      </c>
      <c r="Q251" s="90">
        <v>93111.09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Insights_Summary</vt:lpstr>
      <vt:lpstr>KPI_Summary</vt:lpstr>
      <vt:lpstr>Customer_Overview</vt:lpstr>
      <vt:lpstr>Transaction_Analysis</vt:lpstr>
      <vt:lpstr>Loan_Performance</vt:lpstr>
      <vt:lpstr>Top_Customers</vt:lpstr>
      <vt:lpstr>Calendar_Table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upendrachary35698@outlook.com</cp:lastModifiedBy>
  <cp:revision>1</cp:revision>
  <dcterms:created xsi:type="dcterms:W3CDTF">2026-03-22T16:03:01Z</dcterms:created>
  <dcterms:modified xsi:type="dcterms:W3CDTF">2026-03-23T01:43:39Z</dcterms:modified>
  <dc:language>en-US</dc:language>
</cp:coreProperties>
</file>