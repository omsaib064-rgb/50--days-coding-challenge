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399CFCB-A916-4606-BF86-43B8569C17F6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Dashboard" sheetId="1" r:id="rId1"/>
    <sheet name="Raw Data" sheetId="2" r:id="rId2"/>
    <sheet name="KPI Data" sheetId="3" r:id="rId3"/>
    <sheet name="Pivot Tables" sheetId="4" r:id="rId4"/>
    <sheet name="Charts" sheetId="5" r:id="rId5"/>
    <sheet name="Geographic Analysis" sheetId="6" r:id="rId6"/>
    <sheet name="What-If Analysi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7" l="1"/>
  <c r="D17" i="7"/>
  <c r="D16" i="7"/>
  <c r="D15" i="7"/>
  <c r="F37" i="4"/>
  <c r="E37" i="4"/>
  <c r="D37" i="4"/>
  <c r="C37" i="4"/>
  <c r="B37" i="4"/>
  <c r="G27" i="4"/>
  <c r="F27" i="4"/>
  <c r="E27" i="4"/>
  <c r="D27" i="4"/>
  <c r="C27" i="4"/>
  <c r="B27" i="4"/>
  <c r="G19" i="4"/>
  <c r="F19" i="4"/>
  <c r="E19" i="4"/>
  <c r="D19" i="4"/>
  <c r="C19" i="4"/>
  <c r="B19" i="4"/>
  <c r="F9" i="4"/>
  <c r="E9" i="4"/>
  <c r="D9" i="4"/>
  <c r="C9" i="4"/>
  <c r="B9" i="4"/>
</calcChain>
</file>

<file path=xl/sharedStrings.xml><?xml version="1.0" encoding="utf-8"?>
<sst xmlns="http://schemas.openxmlformats.org/spreadsheetml/2006/main" count="10294" uniqueCount="2203">
  <si>
    <t>🏦  BANKING LOAN PORTFOLIO – CREDIT RISK ANALYSIS DASHBOARD</t>
  </si>
  <si>
    <t>Portfolio as of December 31, 2024  |  1,000 Loans  |  Total Funded: $21,255,544</t>
  </si>
  <si>
    <t>Total Loans</t>
  </si>
  <si>
    <t>Total Funded</t>
  </si>
  <si>
    <t>Avg Interest Rate</t>
  </si>
  <si>
    <t>1,000</t>
  </si>
  <si>
    <t>$21.3M</t>
  </si>
  <si>
    <t>15.1%</t>
  </si>
  <si>
    <t>Count</t>
  </si>
  <si>
    <t>Portfolio Size</t>
  </si>
  <si>
    <t>Weighted Average</t>
  </si>
  <si>
    <t>Default Rate</t>
  </si>
  <si>
    <t>Avg Loan Size</t>
  </si>
  <si>
    <t>Net Portfolio P&amp;L</t>
  </si>
  <si>
    <t>13.8%</t>
  </si>
  <si>
    <t>$21,256</t>
  </si>
  <si>
    <t>$-5.4M</t>
  </si>
  <si>
    <t>Charged Off + Late</t>
  </si>
  <si>
    <t>Per Loan</t>
  </si>
  <si>
    <t>Total</t>
  </si>
  <si>
    <t>Avg DTI</t>
  </si>
  <si>
    <t>Avg LTV</t>
  </si>
  <si>
    <t>Avg Months on Book</t>
  </si>
  <si>
    <t>0.29</t>
  </si>
  <si>
    <t>0.72</t>
  </si>
  <si>
    <t>29</t>
  </si>
  <si>
    <t>Debt-to-Income</t>
  </si>
  <si>
    <t>Loan-to-Value</t>
  </si>
  <si>
    <t>Seasoning</t>
  </si>
  <si>
    <t>LOAN STATUS BREAKDOWN</t>
  </si>
  <si>
    <t>Status</t>
  </si>
  <si>
    <t># Loans</t>
  </si>
  <si>
    <t>% of Total</t>
  </si>
  <si>
    <t>Avg Loan</t>
  </si>
  <si>
    <t>Net P&amp;L</t>
  </si>
  <si>
    <t>Fully Paid</t>
  </si>
  <si>
    <t>Current</t>
  </si>
  <si>
    <t>Charged Off</t>
  </si>
  <si>
    <t>Late (31-120 days)</t>
  </si>
  <si>
    <t>In Grace Period</t>
  </si>
  <si>
    <t>Banking Loan Portfolio – Cleaned Raw Data</t>
  </si>
  <si>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</si>
  <si>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</si>
  <si>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</si>
  <si>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</si>
  <si>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</si>
  <si>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</si>
  <si>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</si>
  <si>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</si>
  <si>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</si>
  <si>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</si>
  <si>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</si>
  <si>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</si>
  <si>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</si>
  <si>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</si>
  <si>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</si>
  <si>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</si>
  <si>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L0558</t>
  </si>
  <si>
    <t>B0558</t>
  </si>
  <si>
    <t>NY</t>
  </si>
  <si>
    <t>A</t>
  </si>
  <si>
    <t>Home Improvement</t>
  </si>
  <si>
    <t>OWN</t>
  </si>
  <si>
    <t>L0741</t>
  </si>
  <si>
    <t>B0741</t>
  </si>
  <si>
    <t>CA</t>
  </si>
  <si>
    <t>E</t>
  </si>
  <si>
    <t>Other</t>
  </si>
  <si>
    <t>RENT</t>
  </si>
  <si>
    <t>L0145</t>
  </si>
  <si>
    <t>B0145</t>
  </si>
  <si>
    <t>C</t>
  </si>
  <si>
    <t>Debt Consolidation</t>
  </si>
  <si>
    <t>L0188</t>
  </si>
  <si>
    <t>B0188</t>
  </si>
  <si>
    <t>FL</t>
  </si>
  <si>
    <t>Small Business</t>
  </si>
  <si>
    <t>L0988</t>
  </si>
  <si>
    <t>B0988</t>
  </si>
  <si>
    <t>MI</t>
  </si>
  <si>
    <t>D</t>
  </si>
  <si>
    <t>L0721</t>
  </si>
  <si>
    <t>B0721</t>
  </si>
  <si>
    <t>B</t>
  </si>
  <si>
    <t>Credit Card</t>
  </si>
  <si>
    <t>MORTGAGE</t>
  </si>
  <si>
    <t>L0307</t>
  </si>
  <si>
    <t>B0307</t>
  </si>
  <si>
    <t>OH</t>
  </si>
  <si>
    <t>L0771</t>
  </si>
  <si>
    <t>B0771</t>
  </si>
  <si>
    <t>L0718</t>
  </si>
  <si>
    <t>B0718</t>
  </si>
  <si>
    <t>L0953</t>
  </si>
  <si>
    <t>B0953</t>
  </si>
  <si>
    <t>L0654</t>
  </si>
  <si>
    <t>B0654</t>
  </si>
  <si>
    <t>GA</t>
  </si>
  <si>
    <t>L0194</t>
  </si>
  <si>
    <t>B0194</t>
  </si>
  <si>
    <t>L0750</t>
  </si>
  <si>
    <t>B0750</t>
  </si>
  <si>
    <t>L0527</t>
  </si>
  <si>
    <t>B0527</t>
  </si>
  <si>
    <t>L0828</t>
  </si>
  <si>
    <t>B0828</t>
  </si>
  <si>
    <t>L0380</t>
  </si>
  <si>
    <t>B0380</t>
  </si>
  <si>
    <t>NC</t>
  </si>
  <si>
    <t>L0754</t>
  </si>
  <si>
    <t>B0754</t>
  </si>
  <si>
    <t>L0038</t>
  </si>
  <si>
    <t>B0038</t>
  </si>
  <si>
    <t>IL</t>
  </si>
  <si>
    <t>F</t>
  </si>
  <si>
    <t>L0818</t>
  </si>
  <si>
    <t>B0818</t>
  </si>
  <si>
    <t>L0074</t>
  </si>
  <si>
    <t>B0074</t>
  </si>
  <si>
    <t>L0241</t>
  </si>
  <si>
    <t>B0241</t>
  </si>
  <si>
    <t>L0914</t>
  </si>
  <si>
    <t>B0914</t>
  </si>
  <si>
    <t>L0260</t>
  </si>
  <si>
    <t>B0260</t>
  </si>
  <si>
    <t>TX</t>
  </si>
  <si>
    <t>L0281</t>
  </si>
  <si>
    <t>B0281</t>
  </si>
  <si>
    <t>L0032</t>
  </si>
  <si>
    <t>B0032</t>
  </si>
  <si>
    <t>L0016</t>
  </si>
  <si>
    <t>B0016</t>
  </si>
  <si>
    <t>L0357</t>
  </si>
  <si>
    <t>B0357</t>
  </si>
  <si>
    <t>L0832</t>
  </si>
  <si>
    <t>B0832</t>
  </si>
  <si>
    <t>L0884</t>
  </si>
  <si>
    <t>B0884</t>
  </si>
  <si>
    <t>PA</t>
  </si>
  <si>
    <t>L0687</t>
  </si>
  <si>
    <t>B0687</t>
  </si>
  <si>
    <t>L0229</t>
  </si>
  <si>
    <t>B0229</t>
  </si>
  <si>
    <t>L0663</t>
  </si>
  <si>
    <t>B0663</t>
  </si>
  <si>
    <t>L0679</t>
  </si>
  <si>
    <t>B0679</t>
  </si>
  <si>
    <t>L0455</t>
  </si>
  <si>
    <t>B0455</t>
  </si>
  <si>
    <t>L0991</t>
  </si>
  <si>
    <t>B0991</t>
  </si>
  <si>
    <t>L0908</t>
  </si>
  <si>
    <t>B0908</t>
  </si>
  <si>
    <t>L1000</t>
  </si>
  <si>
    <t>B1000</t>
  </si>
  <si>
    <t>L0694</t>
  </si>
  <si>
    <t>B0694</t>
  </si>
  <si>
    <t>L0565</t>
  </si>
  <si>
    <t>B0565</t>
  </si>
  <si>
    <t>L0047</t>
  </si>
  <si>
    <t>B0047</t>
  </si>
  <si>
    <t>L0383</t>
  </si>
  <si>
    <t>B0383</t>
  </si>
  <si>
    <t>L0279</t>
  </si>
  <si>
    <t>B0279</t>
  </si>
  <si>
    <t>L0408</t>
  </si>
  <si>
    <t>B0408</t>
  </si>
  <si>
    <t>L0225</t>
  </si>
  <si>
    <t>B0225</t>
  </si>
  <si>
    <t>L0466</t>
  </si>
  <si>
    <t>B0466</t>
  </si>
  <si>
    <t>L0086</t>
  </si>
  <si>
    <t>B0086</t>
  </si>
  <si>
    <t>L0512</t>
  </si>
  <si>
    <t>B0512</t>
  </si>
  <si>
    <t>L0998</t>
  </si>
  <si>
    <t>B0998</t>
  </si>
  <si>
    <t>L0997</t>
  </si>
  <si>
    <t>B0997</t>
  </si>
  <si>
    <t>L0615</t>
  </si>
  <si>
    <t>B0615</t>
  </si>
  <si>
    <t>L0643</t>
  </si>
  <si>
    <t>B0643</t>
  </si>
  <si>
    <t>L0312</t>
  </si>
  <si>
    <t>B0312</t>
  </si>
  <si>
    <t>L0493</t>
  </si>
  <si>
    <t>B0493</t>
  </si>
  <si>
    <t>L0819</t>
  </si>
  <si>
    <t>B0819</t>
  </si>
  <si>
    <t>L0650</t>
  </si>
  <si>
    <t>B0650</t>
  </si>
  <si>
    <t>L0291</t>
  </si>
  <si>
    <t>B0291</t>
  </si>
  <si>
    <t>L0853</t>
  </si>
  <si>
    <t>B0853</t>
  </si>
  <si>
    <t>L0559</t>
  </si>
  <si>
    <t>B0559</t>
  </si>
  <si>
    <t>L0612</t>
  </si>
  <si>
    <t>B0612</t>
  </si>
  <si>
    <t>L0199</t>
  </si>
  <si>
    <t>B0199</t>
  </si>
  <si>
    <t>L0925</t>
  </si>
  <si>
    <t>B0925</t>
  </si>
  <si>
    <t>L0930</t>
  </si>
  <si>
    <t>B0930</t>
  </si>
  <si>
    <t>L0659</t>
  </si>
  <si>
    <t>B0659</t>
  </si>
  <si>
    <t>L0484</t>
  </si>
  <si>
    <t>B0484</t>
  </si>
  <si>
    <t>L0979</t>
  </si>
  <si>
    <t>B0979</t>
  </si>
  <si>
    <t>L0627</t>
  </si>
  <si>
    <t>B0627</t>
  </si>
  <si>
    <t>L0413</t>
  </si>
  <si>
    <t>B0413</t>
  </si>
  <si>
    <t>L0888</t>
  </si>
  <si>
    <t>B0888</t>
  </si>
  <si>
    <t>L0539</t>
  </si>
  <si>
    <t>B0539</t>
  </si>
  <si>
    <t>L0075</t>
  </si>
  <si>
    <t>B0075</t>
  </si>
  <si>
    <t>L0688</t>
  </si>
  <si>
    <t>B0688</t>
  </si>
  <si>
    <t>L0827</t>
  </si>
  <si>
    <t>B0827</t>
  </si>
  <si>
    <t>L0610</t>
  </si>
  <si>
    <t>B0610</t>
  </si>
  <si>
    <t>L0994</t>
  </si>
  <si>
    <t>B0994</t>
  </si>
  <si>
    <t>L0720</t>
  </si>
  <si>
    <t>B0720</t>
  </si>
  <si>
    <t>L0585</t>
  </si>
  <si>
    <t>B0585</t>
  </si>
  <si>
    <t>L0873</t>
  </si>
  <si>
    <t>B0873</t>
  </si>
  <si>
    <t>L0422</t>
  </si>
  <si>
    <t>B0422</t>
  </si>
  <si>
    <t>L0664</t>
  </si>
  <si>
    <t>B0664</t>
  </si>
  <si>
    <t>L0773</t>
  </si>
  <si>
    <t>B0773</t>
  </si>
  <si>
    <t>L0489</t>
  </si>
  <si>
    <t>B0489</t>
  </si>
  <si>
    <t>L0602</t>
  </si>
  <si>
    <t>B0602</t>
  </si>
  <si>
    <t>L0960</t>
  </si>
  <si>
    <t>B0960</t>
  </si>
  <si>
    <t>L0556</t>
  </si>
  <si>
    <t>B0556</t>
  </si>
  <si>
    <t>L0682</t>
  </si>
  <si>
    <t>B0682</t>
  </si>
  <si>
    <t>L0929</t>
  </si>
  <si>
    <t>B0929</t>
  </si>
  <si>
    <t>L0006</t>
  </si>
  <si>
    <t>B0006</t>
  </si>
  <si>
    <t>L0778</t>
  </si>
  <si>
    <t>B0778</t>
  </si>
  <si>
    <t>G</t>
  </si>
  <si>
    <t>L0386</t>
  </si>
  <si>
    <t>B0386</t>
  </si>
  <si>
    <t>L0742</t>
  </si>
  <si>
    <t>B0742</t>
  </si>
  <si>
    <t>L0507</t>
  </si>
  <si>
    <t>B0507</t>
  </si>
  <si>
    <t>L0464</t>
  </si>
  <si>
    <t>B0464</t>
  </si>
  <si>
    <t>L0043</t>
  </si>
  <si>
    <t>B0043</t>
  </si>
  <si>
    <t>L0625</t>
  </si>
  <si>
    <t>B0625</t>
  </si>
  <si>
    <t>L0346</t>
  </si>
  <si>
    <t>B0346</t>
  </si>
  <si>
    <t>L0619</t>
  </si>
  <si>
    <t>B0619</t>
  </si>
  <si>
    <t>L0823</t>
  </si>
  <si>
    <t>B0823</t>
  </si>
  <si>
    <t>L0566</t>
  </si>
  <si>
    <t>B0566</t>
  </si>
  <si>
    <t>L0406</t>
  </si>
  <si>
    <t>B0406</t>
  </si>
  <si>
    <t>L0117</t>
  </si>
  <si>
    <t>B0117</t>
  </si>
  <si>
    <t>L0942</t>
  </si>
  <si>
    <t>B0942</t>
  </si>
  <si>
    <t>L0591</t>
  </si>
  <si>
    <t>B0591</t>
  </si>
  <si>
    <t>L0205</t>
  </si>
  <si>
    <t>B0205</t>
  </si>
  <si>
    <t>L0097</t>
  </si>
  <si>
    <t>B0097</t>
  </si>
  <si>
    <t>L0246</t>
  </si>
  <si>
    <t>B0246</t>
  </si>
  <si>
    <t>L0587</t>
  </si>
  <si>
    <t>B0587</t>
  </si>
  <si>
    <t>L0202</t>
  </si>
  <si>
    <t>B0202</t>
  </si>
  <si>
    <t>L0793</t>
  </si>
  <si>
    <t>B0793</t>
  </si>
  <si>
    <t>L0543</t>
  </si>
  <si>
    <t>B0543</t>
  </si>
  <si>
    <t>L0648</t>
  </si>
  <si>
    <t>B0648</t>
  </si>
  <si>
    <t>L0690</t>
  </si>
  <si>
    <t>B0690</t>
  </si>
  <si>
    <t>L0437</t>
  </si>
  <si>
    <t>B0437</t>
  </si>
  <si>
    <t>L0693</t>
  </si>
  <si>
    <t>B0693</t>
  </si>
  <si>
    <t>L0616</t>
  </si>
  <si>
    <t>B0616</t>
  </si>
  <si>
    <t>L0691</t>
  </si>
  <si>
    <t>B0691</t>
  </si>
  <si>
    <t>L0144</t>
  </si>
  <si>
    <t>B0144</t>
  </si>
  <si>
    <t>L0738</t>
  </si>
  <si>
    <t>B0738</t>
  </si>
  <si>
    <t>L0921</t>
  </si>
  <si>
    <t>B0921</t>
  </si>
  <si>
    <t>L0392</t>
  </si>
  <si>
    <t>B0392</t>
  </si>
  <si>
    <t>L0325</t>
  </si>
  <si>
    <t>B0325</t>
  </si>
  <si>
    <t>L0868</t>
  </si>
  <si>
    <t>B0868</t>
  </si>
  <si>
    <t>L0723</t>
  </si>
  <si>
    <t>B0723</t>
  </si>
  <si>
    <t>L0571</t>
  </si>
  <si>
    <t>B0571</t>
  </si>
  <si>
    <t>L0321</t>
  </si>
  <si>
    <t>B0321</t>
  </si>
  <si>
    <t>L0003</t>
  </si>
  <si>
    <t>B0003</t>
  </si>
  <si>
    <t>L0155</t>
  </si>
  <si>
    <t>B0155</t>
  </si>
  <si>
    <t>L0614</t>
  </si>
  <si>
    <t>B0614</t>
  </si>
  <si>
    <t>L0683</t>
  </si>
  <si>
    <t>B0683</t>
  </si>
  <si>
    <t>L0849</t>
  </si>
  <si>
    <t>B0849</t>
  </si>
  <si>
    <t>L0996</t>
  </si>
  <si>
    <t>B0996</t>
  </si>
  <si>
    <t>L0259</t>
  </si>
  <si>
    <t>B0259</t>
  </si>
  <si>
    <t>L0980</t>
  </si>
  <si>
    <t>B0980</t>
  </si>
  <si>
    <t>L0822</t>
  </si>
  <si>
    <t>B0822</t>
  </si>
  <si>
    <t>L0008</t>
  </si>
  <si>
    <t>B0008</t>
  </si>
  <si>
    <t>L0775</t>
  </si>
  <si>
    <t>B0775</t>
  </si>
  <si>
    <t>L0603</t>
  </si>
  <si>
    <t>B0603</t>
  </si>
  <si>
    <t>L0483</t>
  </si>
  <si>
    <t>B0483</t>
  </si>
  <si>
    <t>L0088</t>
  </si>
  <si>
    <t>B0088</t>
  </si>
  <si>
    <t>L0606</t>
  </si>
  <si>
    <t>B0606</t>
  </si>
  <si>
    <t>L0745</t>
  </si>
  <si>
    <t>B0745</t>
  </si>
  <si>
    <t>L0739</t>
  </si>
  <si>
    <t>B0739</t>
  </si>
  <si>
    <t>L0839</t>
  </si>
  <si>
    <t>B0839</t>
  </si>
  <si>
    <t>L0786</t>
  </si>
  <si>
    <t>B0786</t>
  </si>
  <si>
    <t>L0183</t>
  </si>
  <si>
    <t>B0183</t>
  </si>
  <si>
    <t>L0164</t>
  </si>
  <si>
    <t>B0164</t>
  </si>
  <si>
    <t>L0428</t>
  </si>
  <si>
    <t>B0428</t>
  </si>
  <si>
    <t>L0686</t>
  </si>
  <si>
    <t>B0686</t>
  </si>
  <si>
    <t>L0789</t>
  </si>
  <si>
    <t>B0789</t>
  </si>
  <si>
    <t>L0535</t>
  </si>
  <si>
    <t>B0535</t>
  </si>
  <si>
    <t>L0957</t>
  </si>
  <si>
    <t>B0957</t>
  </si>
  <si>
    <t>L0172</t>
  </si>
  <si>
    <t>B0172</t>
  </si>
  <si>
    <t>L0897</t>
  </si>
  <si>
    <t>B0897</t>
  </si>
  <si>
    <t>L0293</t>
  </si>
  <si>
    <t>B0293</t>
  </si>
  <si>
    <t>L0956</t>
  </si>
  <si>
    <t>B0956</t>
  </si>
  <si>
    <t>L0181</t>
  </si>
  <si>
    <t>B0181</t>
  </si>
  <si>
    <t>L0198</t>
  </si>
  <si>
    <t>B0198</t>
  </si>
  <si>
    <t>L0206</t>
  </si>
  <si>
    <t>B0206</t>
  </si>
  <si>
    <t>L0567</t>
  </si>
  <si>
    <t>B0567</t>
  </si>
  <si>
    <t>L0340</t>
  </si>
  <si>
    <t>B0340</t>
  </si>
  <si>
    <t>L0267</t>
  </si>
  <si>
    <t>B0267</t>
  </si>
  <si>
    <t>L0892</t>
  </si>
  <si>
    <t>B0892</t>
  </si>
  <si>
    <t>L0803</t>
  </si>
  <si>
    <t>B0803</t>
  </si>
  <si>
    <t>L0242</t>
  </si>
  <si>
    <t>B0242</t>
  </si>
  <si>
    <t>L0371</t>
  </si>
  <si>
    <t>B0371</t>
  </si>
  <si>
    <t>L0212</t>
  </si>
  <si>
    <t>B0212</t>
  </si>
  <si>
    <t>L0055</t>
  </si>
  <si>
    <t>B0055</t>
  </si>
  <si>
    <t>L0928</t>
  </si>
  <si>
    <t>B0928</t>
  </si>
  <si>
    <t>L0946</t>
  </si>
  <si>
    <t>B0946</t>
  </si>
  <si>
    <t>L0597</t>
  </si>
  <si>
    <t>B0597</t>
  </si>
  <si>
    <t>L0034</t>
  </si>
  <si>
    <t>B0034</t>
  </si>
  <si>
    <t>L0463</t>
  </si>
  <si>
    <t>B0463</t>
  </si>
  <si>
    <t>L0451</t>
  </si>
  <si>
    <t>B0451</t>
  </si>
  <si>
    <t>L0752</t>
  </si>
  <si>
    <t>B0752</t>
  </si>
  <si>
    <t>L0487</t>
  </si>
  <si>
    <t>B0487</t>
  </si>
  <si>
    <t>L0732</t>
  </si>
  <si>
    <t>B0732</t>
  </si>
  <si>
    <t>L0467</t>
  </si>
  <si>
    <t>B0467</t>
  </si>
  <si>
    <t>L0537</t>
  </si>
  <si>
    <t>B0537</t>
  </si>
  <si>
    <t>L0886</t>
  </si>
  <si>
    <t>B0886</t>
  </si>
  <si>
    <t>L0419</t>
  </si>
  <si>
    <t>B0419</t>
  </si>
  <si>
    <t>L0251</t>
  </si>
  <si>
    <t>B0251</t>
  </si>
  <si>
    <t>L0947</t>
  </si>
  <si>
    <t>B0947</t>
  </si>
  <si>
    <t>L0607</t>
  </si>
  <si>
    <t>B0607</t>
  </si>
  <si>
    <t>L0166</t>
  </si>
  <si>
    <t>B0166</t>
  </si>
  <si>
    <t>L0070</t>
  </si>
  <si>
    <t>B0070</t>
  </si>
  <si>
    <t>L0478</t>
  </si>
  <si>
    <t>B0478</t>
  </si>
  <si>
    <t>L0131</t>
  </si>
  <si>
    <t>B0131</t>
  </si>
  <si>
    <t>L0025</t>
  </si>
  <si>
    <t>B0025</t>
  </si>
  <si>
    <t>L0255</t>
  </si>
  <si>
    <t>B0255</t>
  </si>
  <si>
    <t>L0402</t>
  </si>
  <si>
    <t>B0402</t>
  </si>
  <si>
    <t>L0918</t>
  </si>
  <si>
    <t>B0918</t>
  </si>
  <si>
    <t>L0728</t>
  </si>
  <si>
    <t>B0728</t>
  </si>
  <si>
    <t>L0809</t>
  </si>
  <si>
    <t>B0809</t>
  </si>
  <si>
    <t>L0161</t>
  </si>
  <si>
    <t>B0161</t>
  </si>
  <si>
    <t>L0795</t>
  </si>
  <si>
    <t>B0795</t>
  </si>
  <si>
    <t>L0089</t>
  </si>
  <si>
    <t>B0089</t>
  </si>
  <si>
    <t>L0866</t>
  </si>
  <si>
    <t>B0866</t>
  </si>
  <si>
    <t>L0056</t>
  </si>
  <si>
    <t>B0056</t>
  </si>
  <si>
    <t>L0491</t>
  </si>
  <si>
    <t>B0491</t>
  </si>
  <si>
    <t>L0154</t>
  </si>
  <si>
    <t>B0154</t>
  </si>
  <si>
    <t>L0613</t>
  </si>
  <si>
    <t>B0613</t>
  </si>
  <si>
    <t>L0048</t>
  </si>
  <si>
    <t>B0048</t>
  </si>
  <si>
    <t>L0110</t>
  </si>
  <si>
    <t>B0110</t>
  </si>
  <si>
    <t>L0196</t>
  </si>
  <si>
    <t>B0196</t>
  </si>
  <si>
    <t>L0644</t>
  </si>
  <si>
    <t>B0644</t>
  </si>
  <si>
    <t>L0904</t>
  </si>
  <si>
    <t>B0904</t>
  </si>
  <si>
    <t>L0816</t>
  </si>
  <si>
    <t>B0816</t>
  </si>
  <si>
    <t>L0459</t>
  </si>
  <si>
    <t>B0459</t>
  </si>
  <si>
    <t>L0410</t>
  </si>
  <si>
    <t>B0410</t>
  </si>
  <si>
    <t>L0068</t>
  </si>
  <si>
    <t>B0068</t>
  </si>
  <si>
    <t>L0838</t>
  </si>
  <si>
    <t>B0838</t>
  </si>
  <si>
    <t>L0351</t>
  </si>
  <si>
    <t>B0351</t>
  </si>
  <si>
    <t>L0147</t>
  </si>
  <si>
    <t>B0147</t>
  </si>
  <si>
    <t>L0536</t>
  </si>
  <si>
    <t>B0536</t>
  </si>
  <si>
    <t>L0736</t>
  </si>
  <si>
    <t>B0736</t>
  </si>
  <si>
    <t>L0230</t>
  </si>
  <si>
    <t>B0230</t>
  </si>
  <si>
    <t>L0815</t>
  </si>
  <si>
    <t>B0815</t>
  </si>
  <si>
    <t>L0692</t>
  </si>
  <si>
    <t>B0692</t>
  </si>
  <si>
    <t>L0715</t>
  </si>
  <si>
    <t>B0715</t>
  </si>
  <si>
    <t>L0226</t>
  </si>
  <si>
    <t>B0226</t>
  </si>
  <si>
    <t>L0119</t>
  </si>
  <si>
    <t>B0119</t>
  </si>
  <si>
    <t>L0084</t>
  </si>
  <si>
    <t>B0084</t>
  </si>
  <si>
    <t>L0636</t>
  </si>
  <si>
    <t>B0636</t>
  </si>
  <si>
    <t>L0689</t>
  </si>
  <si>
    <t>B0689</t>
  </si>
  <si>
    <t>L0443</t>
  </si>
  <si>
    <t>B0443</t>
  </si>
  <si>
    <t>L0575</t>
  </si>
  <si>
    <t>B0575</t>
  </si>
  <si>
    <t>L0761</t>
  </si>
  <si>
    <t>B0761</t>
  </si>
  <si>
    <t>L0986</t>
  </si>
  <si>
    <t>B0986</t>
  </si>
  <si>
    <t>L0645</t>
  </si>
  <si>
    <t>B0645</t>
  </si>
  <si>
    <t>L0039</t>
  </si>
  <si>
    <t>B0039</t>
  </si>
  <si>
    <t>L0712</t>
  </si>
  <si>
    <t>B0712</t>
  </si>
  <si>
    <t>L0871</t>
  </si>
  <si>
    <t>B0871</t>
  </si>
  <si>
    <t>L0270</t>
  </si>
  <si>
    <t>B0270</t>
  </si>
  <si>
    <t>L0339</t>
  </si>
  <si>
    <t>B0339</t>
  </si>
  <si>
    <t>L0152</t>
  </si>
  <si>
    <t>B0152</t>
  </si>
  <si>
    <t>L0642</t>
  </si>
  <si>
    <t>B0642</t>
  </si>
  <si>
    <t>L0596</t>
  </si>
  <si>
    <t>B0596</t>
  </si>
  <si>
    <t>L0568</t>
  </si>
  <si>
    <t>B0568</t>
  </si>
  <si>
    <t>L0017</t>
  </si>
  <si>
    <t>B0017</t>
  </si>
  <si>
    <t>L0256</t>
  </si>
  <si>
    <t>B0256</t>
  </si>
  <si>
    <t>L0203</t>
  </si>
  <si>
    <t>B0203</t>
  </si>
  <si>
    <t>L0190</t>
  </si>
  <si>
    <t>B0190</t>
  </si>
  <si>
    <t>L0524</t>
  </si>
  <si>
    <t>B0524</t>
  </si>
  <si>
    <t>L0368</t>
  </si>
  <si>
    <t>B0368</t>
  </si>
  <si>
    <t>L0747</t>
  </si>
  <si>
    <t>B0747</t>
  </si>
  <si>
    <t>L0751</t>
  </si>
  <si>
    <t>B0751</t>
  </si>
  <si>
    <t>L0969</t>
  </si>
  <si>
    <t>B0969</t>
  </si>
  <si>
    <t>L0182</t>
  </si>
  <si>
    <t>B0182</t>
  </si>
  <si>
    <t>L0304</t>
  </si>
  <si>
    <t>B0304</t>
  </si>
  <si>
    <t>L0423</t>
  </si>
  <si>
    <t>B0423</t>
  </si>
  <si>
    <t>L0573</t>
  </si>
  <si>
    <t>B0573</t>
  </si>
  <si>
    <t>L0317</t>
  </si>
  <si>
    <t>B0317</t>
  </si>
  <si>
    <t>L0768</t>
  </si>
  <si>
    <t>B0768</t>
  </si>
  <si>
    <t>L0058</t>
  </si>
  <si>
    <t>B0058</t>
  </si>
  <si>
    <t>L0014</t>
  </si>
  <si>
    <t>B0014</t>
  </si>
  <si>
    <t>L0704</t>
  </si>
  <si>
    <t>B0704</t>
  </si>
  <si>
    <t>L0409</t>
  </si>
  <si>
    <t>B0409</t>
  </si>
  <si>
    <t>L0248</t>
  </si>
  <si>
    <t>B0248</t>
  </si>
  <si>
    <t>L0159</t>
  </si>
  <si>
    <t>B0159</t>
  </si>
  <si>
    <t>L0623</t>
  </si>
  <si>
    <t>B0623</t>
  </si>
  <si>
    <t>L0232</t>
  </si>
  <si>
    <t>B0232</t>
  </si>
  <si>
    <t>L0887</t>
  </si>
  <si>
    <t>B0887</t>
  </si>
  <si>
    <t>L0378</t>
  </si>
  <si>
    <t>B0378</t>
  </si>
  <si>
    <t>L0910</t>
  </si>
  <si>
    <t>B0910</t>
  </si>
  <si>
    <t>L0912</t>
  </si>
  <si>
    <t>B0912</t>
  </si>
  <si>
    <t>L0808</t>
  </si>
  <si>
    <t>B0808</t>
  </si>
  <si>
    <t>L0082</t>
  </si>
  <si>
    <t>B0082</t>
  </si>
  <si>
    <t>L0158</t>
  </si>
  <si>
    <t>B0158</t>
  </si>
  <si>
    <t>L0062</t>
  </si>
  <si>
    <t>B0062</t>
  </si>
  <si>
    <t>L0780</t>
  </si>
  <si>
    <t>B0780</t>
  </si>
  <si>
    <t>L0835</t>
  </si>
  <si>
    <t>B0835</t>
  </si>
  <si>
    <t>L0250</t>
  </si>
  <si>
    <t>B0250</t>
  </si>
  <si>
    <t>L0657</t>
  </si>
  <si>
    <t>B0657</t>
  </si>
  <si>
    <t>L0296</t>
  </si>
  <si>
    <t>B0296</t>
  </si>
  <si>
    <t>L0867</t>
  </si>
  <si>
    <t>B0867</t>
  </si>
  <si>
    <t>L0933</t>
  </si>
  <si>
    <t>B0933</t>
  </si>
  <si>
    <t>L0294</t>
  </si>
  <si>
    <t>B0294</t>
  </si>
  <si>
    <t>L0701</t>
  </si>
  <si>
    <t>B0701</t>
  </si>
  <si>
    <t>L0037</t>
  </si>
  <si>
    <t>B0037</t>
  </si>
  <si>
    <t>L0760</t>
  </si>
  <si>
    <t>B0760</t>
  </si>
  <si>
    <t>L0137</t>
  </si>
  <si>
    <t>B0137</t>
  </si>
  <si>
    <t>L0744</t>
  </si>
  <si>
    <t>B0744</t>
  </si>
  <si>
    <t>L0755</t>
  </si>
  <si>
    <t>B0755</t>
  </si>
  <si>
    <t>L0282</t>
  </si>
  <si>
    <t>B0282</t>
  </si>
  <si>
    <t>L0820</t>
  </si>
  <si>
    <t>B0820</t>
  </si>
  <si>
    <t>L0733</t>
  </si>
  <si>
    <t>B0733</t>
  </si>
  <si>
    <t>L0902</t>
  </si>
  <si>
    <t>B0902</t>
  </si>
  <si>
    <t>L0936</t>
  </si>
  <si>
    <t>B0936</t>
  </si>
  <si>
    <t>L0756</t>
  </si>
  <si>
    <t>B0756</t>
  </si>
  <si>
    <t>L0954</t>
  </si>
  <si>
    <t>B0954</t>
  </si>
  <si>
    <t>L0005</t>
  </si>
  <si>
    <t>B0005</t>
  </si>
  <si>
    <t>L0762</t>
  </si>
  <si>
    <t>B0762</t>
  </si>
  <si>
    <t>L0367</t>
  </si>
  <si>
    <t>B0367</t>
  </si>
  <si>
    <t>L0651</t>
  </si>
  <si>
    <t>B0651</t>
  </si>
  <si>
    <t>L0177</t>
  </si>
  <si>
    <t>B0177</t>
  </si>
  <si>
    <t>L0209</t>
  </si>
  <si>
    <t>B0209</t>
  </si>
  <si>
    <t>L0064</t>
  </si>
  <si>
    <t>B0064</t>
  </si>
  <si>
    <t>L0456</t>
  </si>
  <si>
    <t>B0456</t>
  </si>
  <si>
    <t>L0354</t>
  </si>
  <si>
    <t>B0354</t>
  </si>
  <si>
    <t>L0898</t>
  </si>
  <si>
    <t>B0898</t>
  </si>
  <si>
    <t>L0010</t>
  </si>
  <si>
    <t>B0010</t>
  </si>
  <si>
    <t>L0638</t>
  </si>
  <si>
    <t>B0638</t>
  </si>
  <si>
    <t>L0184</t>
  </si>
  <si>
    <t>B0184</t>
  </si>
  <si>
    <t>L0834</t>
  </si>
  <si>
    <t>B0834</t>
  </si>
  <si>
    <t>L0877</t>
  </si>
  <si>
    <t>B0877</t>
  </si>
  <si>
    <t>L0477</t>
  </si>
  <si>
    <t>B0477</t>
  </si>
  <si>
    <t>L0647</t>
  </si>
  <si>
    <t>B0647</t>
  </si>
  <si>
    <t>L0708</t>
  </si>
  <si>
    <t>B0708</t>
  </si>
  <si>
    <t>L0846</t>
  </si>
  <si>
    <t>B0846</t>
  </si>
  <si>
    <t>L0356</t>
  </si>
  <si>
    <t>B0356</t>
  </si>
  <si>
    <t>L0501</t>
  </si>
  <si>
    <t>B0501</t>
  </si>
  <si>
    <t>L0621</t>
  </si>
  <si>
    <t>B0621</t>
  </si>
  <si>
    <t>L0836</t>
  </si>
  <si>
    <t>B0836</t>
  </si>
  <si>
    <t>L0674</t>
  </si>
  <si>
    <t>B0674</t>
  </si>
  <si>
    <t>L0665</t>
  </si>
  <si>
    <t>B0665</t>
  </si>
  <si>
    <t>L0318</t>
  </si>
  <si>
    <t>B0318</t>
  </si>
  <si>
    <t>L0862</t>
  </si>
  <si>
    <t>B0862</t>
  </si>
  <si>
    <t>L0504</t>
  </si>
  <si>
    <t>B0504</t>
  </si>
  <si>
    <t>L0533</t>
  </si>
  <si>
    <t>B0533</t>
  </si>
  <si>
    <t>L0763</t>
  </si>
  <si>
    <t>B0763</t>
  </si>
  <si>
    <t>L0083</t>
  </si>
  <si>
    <t>B0083</t>
  </si>
  <si>
    <t>L0071</t>
  </si>
  <si>
    <t>B0071</t>
  </si>
  <si>
    <t>L0374</t>
  </si>
  <si>
    <t>B0374</t>
  </si>
  <si>
    <t>L0545</t>
  </si>
  <si>
    <t>B0545</t>
  </si>
  <si>
    <t>L0149</t>
  </si>
  <si>
    <t>B0149</t>
  </si>
  <si>
    <t>L0874</t>
  </si>
  <si>
    <t>B0874</t>
  </si>
  <si>
    <t>L0012</t>
  </si>
  <si>
    <t>B0012</t>
  </si>
  <si>
    <t>L0476</t>
  </si>
  <si>
    <t>B0476</t>
  </si>
  <si>
    <t>L0035</t>
  </si>
  <si>
    <t>B0035</t>
  </si>
  <si>
    <t>L0576</t>
  </si>
  <si>
    <t>B0576</t>
  </si>
  <si>
    <t>L0522</t>
  </si>
  <si>
    <t>B0522</t>
  </si>
  <si>
    <t>L0797</t>
  </si>
  <si>
    <t>B0797</t>
  </si>
  <si>
    <t>L0080</t>
  </si>
  <si>
    <t>B0080</t>
  </si>
  <si>
    <t>L0109</t>
  </si>
  <si>
    <t>B0109</t>
  </si>
  <si>
    <t>L0968</t>
  </si>
  <si>
    <t>B0968</t>
  </si>
  <si>
    <t>L0420</t>
  </si>
  <si>
    <t>B0420</t>
  </si>
  <si>
    <t>L0431</t>
  </si>
  <si>
    <t>B0431</t>
  </si>
  <si>
    <t>L0837</t>
  </si>
  <si>
    <t>B0837</t>
  </si>
  <si>
    <t>L0379</t>
  </si>
  <si>
    <t>B0379</t>
  </si>
  <si>
    <t>L0416</t>
  </si>
  <si>
    <t>B0416</t>
  </si>
  <si>
    <t>L0440</t>
  </si>
  <si>
    <t>B0440</t>
  </si>
  <si>
    <t>L0106</t>
  </si>
  <si>
    <t>B0106</t>
  </si>
  <si>
    <t>L0214</t>
  </si>
  <si>
    <t>B0214</t>
  </si>
  <si>
    <t>L0284</t>
  </si>
  <si>
    <t>B0284</t>
  </si>
  <si>
    <t>L0579</t>
  </si>
  <si>
    <t>B0579</t>
  </si>
  <si>
    <t>L0216</t>
  </si>
  <si>
    <t>B0216</t>
  </si>
  <si>
    <t>L0156</t>
  </si>
  <si>
    <t>B0156</t>
  </si>
  <si>
    <t>L0779</t>
  </si>
  <si>
    <t>B0779</t>
  </si>
  <si>
    <t>L0053</t>
  </si>
  <si>
    <t>B0053</t>
  </si>
  <si>
    <t>L0171</t>
  </si>
  <si>
    <t>B0171</t>
  </si>
  <si>
    <t>L0197</t>
  </si>
  <si>
    <t>B0197</t>
  </si>
  <si>
    <t>L0546</t>
  </si>
  <si>
    <t>B0546</t>
  </si>
  <si>
    <t>L0095</t>
  </si>
  <si>
    <t>B0095</t>
  </si>
  <si>
    <t>L0275</t>
  </si>
  <si>
    <t>B0275</t>
  </si>
  <si>
    <t>L0395</t>
  </si>
  <si>
    <t>B0395</t>
  </si>
  <si>
    <t>L0876</t>
  </si>
  <si>
    <t>B0876</t>
  </si>
  <si>
    <t>L0391</t>
  </si>
  <si>
    <t>B0391</t>
  </si>
  <si>
    <t>L0081</t>
  </si>
  <si>
    <t>B0081</t>
  </si>
  <si>
    <t>L0857</t>
  </si>
  <si>
    <t>B0857</t>
  </si>
  <si>
    <t>L0802</t>
  </si>
  <si>
    <t>B0802</t>
  </si>
  <si>
    <t>L0783</t>
  </si>
  <si>
    <t>B0783</t>
  </si>
  <si>
    <t>L0698</t>
  </si>
  <si>
    <t>B0698</t>
  </si>
  <si>
    <t>L0911</t>
  </si>
  <si>
    <t>B0911</t>
  </si>
  <si>
    <t>L0353</t>
  </si>
  <si>
    <t>B0353</t>
  </si>
  <si>
    <t>L0586</t>
  </si>
  <si>
    <t>B0586</t>
  </si>
  <si>
    <t>L0594</t>
  </si>
  <si>
    <t>B0594</t>
  </si>
  <si>
    <t>L0905</t>
  </si>
  <si>
    <t>B0905</t>
  </si>
  <si>
    <t>L0570</t>
  </si>
  <si>
    <t>B0570</t>
  </si>
  <si>
    <t>L0228</t>
  </si>
  <si>
    <t>B0228</t>
  </si>
  <si>
    <t>L0140</t>
  </si>
  <si>
    <t>B0140</t>
  </si>
  <si>
    <t>L0990</t>
  </si>
  <si>
    <t>B0990</t>
  </si>
  <si>
    <t>L0361</t>
  </si>
  <si>
    <t>B0361</t>
  </si>
  <si>
    <t>L0935</t>
  </si>
  <si>
    <t>B0935</t>
  </si>
  <si>
    <t>L0301</t>
  </si>
  <si>
    <t>B0301</t>
  </si>
  <si>
    <t>L0421</t>
  </si>
  <si>
    <t>B0421</t>
  </si>
  <si>
    <t>L0461</t>
  </si>
  <si>
    <t>B0461</t>
  </si>
  <si>
    <t>L0595</t>
  </si>
  <si>
    <t>B0595</t>
  </si>
  <si>
    <t>L0562</t>
  </si>
  <si>
    <t>B0562</t>
  </si>
  <si>
    <t>L0526</t>
  </si>
  <si>
    <t>B0526</t>
  </si>
  <si>
    <t>L0945</t>
  </si>
  <si>
    <t>B0945</t>
  </si>
  <si>
    <t>L0349</t>
  </si>
  <si>
    <t>B0349</t>
  </si>
  <si>
    <t>L0235</t>
  </si>
  <si>
    <t>B0235</t>
  </si>
  <si>
    <t>L0191</t>
  </si>
  <si>
    <t>B0191</t>
  </si>
  <si>
    <t>L0424</t>
  </si>
  <si>
    <t>B0424</t>
  </si>
  <si>
    <t>L0472</t>
  </si>
  <si>
    <t>B0472</t>
  </si>
  <si>
    <t>L0060</t>
  </si>
  <si>
    <t>B0060</t>
  </si>
  <si>
    <t>L0557</t>
  </si>
  <si>
    <t>B0557</t>
  </si>
  <si>
    <t>L0400</t>
  </si>
  <si>
    <t>B0400</t>
  </si>
  <si>
    <t>L0220</t>
  </si>
  <si>
    <t>B0220</t>
  </si>
  <si>
    <t>L0015</t>
  </si>
  <si>
    <t>B0015</t>
  </si>
  <si>
    <t>L0517</t>
  </si>
  <si>
    <t>B0517</t>
  </si>
  <si>
    <t>L0167</t>
  </si>
  <si>
    <t>B0167</t>
  </si>
  <si>
    <t>L0004</t>
  </si>
  <si>
    <t>B0004</t>
  </si>
  <si>
    <t>L0719</t>
  </si>
  <si>
    <t>B0719</t>
  </si>
  <si>
    <t>L0948</t>
  </si>
  <si>
    <t>B0948</t>
  </si>
  <si>
    <t>L0222</t>
  </si>
  <si>
    <t>B0222</t>
  </si>
  <si>
    <t>L0495</t>
  </si>
  <si>
    <t>B0495</t>
  </si>
  <si>
    <t>L0287</t>
  </si>
  <si>
    <t>B0287</t>
  </si>
  <si>
    <t>L0967</t>
  </si>
  <si>
    <t>B0967</t>
  </si>
  <si>
    <t>L0180</t>
  </si>
  <si>
    <t>B0180</t>
  </si>
  <si>
    <t>L0662</t>
  </si>
  <si>
    <t>B0662</t>
  </si>
  <si>
    <t>L0352</t>
  </si>
  <si>
    <t>B0352</t>
  </si>
  <si>
    <t>L0875</t>
  </si>
  <si>
    <t>B0875</t>
  </si>
  <si>
    <t>L0020</t>
  </si>
  <si>
    <t>B0020</t>
  </si>
  <si>
    <t>L0899</t>
  </si>
  <si>
    <t>B0899</t>
  </si>
  <si>
    <t>L0471</t>
  </si>
  <si>
    <t>B0471</t>
  </si>
  <si>
    <t>L0549</t>
  </si>
  <si>
    <t>B0549</t>
  </si>
  <si>
    <t>L0243</t>
  </si>
  <si>
    <t>B0243</t>
  </si>
  <si>
    <t>L0800</t>
  </si>
  <si>
    <t>B0800</t>
  </si>
  <si>
    <t>L0118</t>
  </si>
  <si>
    <t>B0118</t>
  </si>
  <si>
    <t>L0678</t>
  </si>
  <si>
    <t>B0678</t>
  </si>
  <si>
    <t>L0564</t>
  </si>
  <si>
    <t>B0564</t>
  </si>
  <si>
    <t>L0333</t>
  </si>
  <si>
    <t>B0333</t>
  </si>
  <si>
    <t>L0174</t>
  </si>
  <si>
    <t>B0174</t>
  </si>
  <si>
    <t>L0268</t>
  </si>
  <si>
    <t>B0268</t>
  </si>
  <si>
    <t>L0944</t>
  </si>
  <si>
    <t>B0944</t>
  </si>
  <si>
    <t>L0449</t>
  </si>
  <si>
    <t>B0449</t>
  </si>
  <si>
    <t>L0072</t>
  </si>
  <si>
    <t>B0072</t>
  </si>
  <si>
    <t>L0987</t>
  </si>
  <si>
    <t>B0987</t>
  </si>
  <si>
    <t>L0249</t>
  </si>
  <si>
    <t>B0249</t>
  </si>
  <si>
    <t>L0369</t>
  </si>
  <si>
    <t>B0369</t>
  </si>
  <si>
    <t>L0381</t>
  </si>
  <si>
    <t>B0381</t>
  </si>
  <si>
    <t>L0457</t>
  </si>
  <si>
    <t>B0457</t>
  </si>
  <si>
    <t>L0919</t>
  </si>
  <si>
    <t>B0919</t>
  </si>
  <si>
    <t>L0514</t>
  </si>
  <si>
    <t>B0514</t>
  </si>
  <si>
    <t>L0094</t>
  </si>
  <si>
    <t>B0094</t>
  </si>
  <si>
    <t>L0791</t>
  </si>
  <si>
    <t>B0791</t>
  </si>
  <si>
    <t>L0104</t>
  </si>
  <si>
    <t>B0104</t>
  </si>
  <si>
    <t>L0725</t>
  </si>
  <si>
    <t>B0725</t>
  </si>
  <si>
    <t>L0479</t>
  </si>
  <si>
    <t>B0479</t>
  </si>
  <si>
    <t>L0045</t>
  </si>
  <si>
    <t>B0045</t>
  </si>
  <si>
    <t>L0204</t>
  </si>
  <si>
    <t>B0204</t>
  </si>
  <si>
    <t>L0458</t>
  </si>
  <si>
    <t>B0458</t>
  </si>
  <si>
    <t>L0022</t>
  </si>
  <si>
    <t>B0022</t>
  </si>
  <si>
    <t>L0544</t>
  </si>
  <si>
    <t>B0544</t>
  </si>
  <si>
    <t>L0283</t>
  </si>
  <si>
    <t>B0283</t>
  </si>
  <si>
    <t>L0765</t>
  </si>
  <si>
    <t>B0765</t>
  </si>
  <si>
    <t>L0330</t>
  </si>
  <si>
    <t>B0330</t>
  </si>
  <si>
    <t>L0961</t>
  </si>
  <si>
    <t>B0961</t>
  </si>
  <si>
    <t>L0706</t>
  </si>
  <si>
    <t>B0706</t>
  </si>
  <si>
    <t>L0364</t>
  </si>
  <si>
    <t>B0364</t>
  </si>
  <si>
    <t>L0811</t>
  </si>
  <si>
    <t>B0811</t>
  </si>
  <si>
    <t>L0245</t>
  </si>
  <si>
    <t>B0245</t>
  </si>
  <si>
    <t>L0548</t>
  </si>
  <si>
    <t>B0548</t>
  </si>
  <si>
    <t>L0984</t>
  </si>
  <si>
    <t>B0984</t>
  </si>
  <si>
    <t>L0076</t>
  </si>
  <si>
    <t>B0076</t>
  </si>
  <si>
    <t>L0358</t>
  </si>
  <si>
    <t>B0358</t>
  </si>
  <si>
    <t>L0637</t>
  </si>
  <si>
    <t>B0637</t>
  </si>
  <si>
    <t>L0123</t>
  </si>
  <si>
    <t>B0123</t>
  </si>
  <si>
    <t>L0276</t>
  </si>
  <si>
    <t>B0276</t>
  </si>
  <si>
    <t>L0983</t>
  </si>
  <si>
    <t>B0983</t>
  </si>
  <si>
    <t>L0667</t>
  </si>
  <si>
    <t>B0667</t>
  </si>
  <si>
    <t>L0661</t>
  </si>
  <si>
    <t>B0661</t>
  </si>
  <si>
    <t>L0737</t>
  </si>
  <si>
    <t>B0737</t>
  </si>
  <si>
    <t>L0633</t>
  </si>
  <si>
    <t>B0633</t>
  </si>
  <si>
    <t>L0685</t>
  </si>
  <si>
    <t>B0685</t>
  </si>
  <si>
    <t>L0872</t>
  </si>
  <si>
    <t>B0872</t>
  </si>
  <si>
    <t>L0273</t>
  </si>
  <si>
    <t>B0273</t>
  </si>
  <si>
    <t>L0509</t>
  </si>
  <si>
    <t>B0509</t>
  </si>
  <si>
    <t>L0121</t>
  </si>
  <si>
    <t>B0121</t>
  </si>
  <si>
    <t>L0600</t>
  </si>
  <si>
    <t>B0600</t>
  </si>
  <si>
    <t>L0713</t>
  </si>
  <si>
    <t>B0713</t>
  </si>
  <si>
    <t>L0640</t>
  </si>
  <si>
    <t>B0640</t>
  </si>
  <si>
    <t>L0611</t>
  </si>
  <si>
    <t>B0611</t>
  </si>
  <si>
    <t>L0239</t>
  </si>
  <si>
    <t>B0239</t>
  </si>
  <si>
    <t>L0716</t>
  </si>
  <si>
    <t>B0716</t>
  </si>
  <si>
    <t>L0830</t>
  </si>
  <si>
    <t>B0830</t>
  </si>
  <si>
    <t>L0804</t>
  </si>
  <si>
    <t>B0804</t>
  </si>
  <si>
    <t>L0176</t>
  </si>
  <si>
    <t>B0176</t>
  </si>
  <si>
    <t>L0355</t>
  </si>
  <si>
    <t>B0355</t>
  </si>
  <si>
    <t>L0985</t>
  </si>
  <si>
    <t>B0985</t>
  </si>
  <si>
    <t>L0798</t>
  </si>
  <si>
    <t>B0798</t>
  </si>
  <si>
    <t>L0126</t>
  </si>
  <si>
    <t>B0126</t>
  </si>
  <si>
    <t>L0740</t>
  </si>
  <si>
    <t>B0740</t>
  </si>
  <si>
    <t>L0332</t>
  </si>
  <si>
    <t>B0332</t>
  </si>
  <si>
    <t>L0901</t>
  </si>
  <si>
    <t>B0901</t>
  </si>
  <si>
    <t>L0227</t>
  </si>
  <si>
    <t>B0227</t>
  </si>
  <si>
    <t>L0029</t>
  </si>
  <si>
    <t>B0029</t>
  </si>
  <si>
    <t>L0115</t>
  </si>
  <si>
    <t>B0115</t>
  </si>
  <si>
    <t>L0141</t>
  </si>
  <si>
    <t>B0141</t>
  </si>
  <si>
    <t>L0041</t>
  </si>
  <si>
    <t>B0041</t>
  </si>
  <si>
    <t>L0051</t>
  </si>
  <si>
    <t>B0051</t>
  </si>
  <si>
    <t>L0261</t>
  </si>
  <si>
    <t>B0261</t>
  </si>
  <si>
    <t>L0861</t>
  </si>
  <si>
    <t>B0861</t>
  </si>
  <si>
    <t>L0435</t>
  </si>
  <si>
    <t>B0435</t>
  </si>
  <si>
    <t>L0262</t>
  </si>
  <si>
    <t>B0262</t>
  </si>
  <si>
    <t>L0295</t>
  </si>
  <si>
    <t>B0295</t>
  </si>
  <si>
    <t>L0774</t>
  </si>
  <si>
    <t>B0774</t>
  </si>
  <si>
    <t>L0727</t>
  </si>
  <si>
    <t>B0727</t>
  </si>
  <si>
    <t>L0292</t>
  </si>
  <si>
    <t>B0292</t>
  </si>
  <si>
    <t>L0870</t>
  </si>
  <si>
    <t>B0870</t>
  </si>
  <si>
    <t>L0785</t>
  </si>
  <si>
    <t>B0785</t>
  </si>
  <si>
    <t>L0124</t>
  </si>
  <si>
    <t>B0124</t>
  </si>
  <si>
    <t>L0584</t>
  </si>
  <si>
    <t>B0584</t>
  </si>
  <si>
    <t>L0796</t>
  </si>
  <si>
    <t>B0796</t>
  </si>
  <si>
    <t>L0939</t>
  </si>
  <si>
    <t>B0939</t>
  </si>
  <si>
    <t>L0336</t>
  </si>
  <si>
    <t>B0336</t>
  </si>
  <si>
    <t>L0201</t>
  </si>
  <si>
    <t>B0201</t>
  </si>
  <si>
    <t>L0764</t>
  </si>
  <si>
    <t>B0764</t>
  </si>
  <si>
    <t>L0446</t>
  </si>
  <si>
    <t>B0446</t>
  </si>
  <si>
    <t>L0916</t>
  </si>
  <si>
    <t>B0916</t>
  </si>
  <si>
    <t>L0079</t>
  </si>
  <si>
    <t>B0079</t>
  </si>
  <si>
    <t>L0976</t>
  </si>
  <si>
    <t>B0976</t>
  </si>
  <si>
    <t>L0697</t>
  </si>
  <si>
    <t>B0697</t>
  </si>
  <si>
    <t>L0414</t>
  </si>
  <si>
    <t>B0414</t>
  </si>
  <si>
    <t>L0810</t>
  </si>
  <si>
    <t>B0810</t>
  </si>
  <si>
    <t>L0036</t>
  </si>
  <si>
    <t>B0036</t>
  </si>
  <si>
    <t>L0776</t>
  </si>
  <si>
    <t>B0776</t>
  </si>
  <si>
    <t>L0851</t>
  </si>
  <si>
    <t>B0851</t>
  </si>
  <si>
    <t>L0631</t>
  </si>
  <si>
    <t>B0631</t>
  </si>
  <si>
    <t>L0388</t>
  </si>
  <si>
    <t>B0388</t>
  </si>
  <si>
    <t>L0252</t>
  </si>
  <si>
    <t>B0252</t>
  </si>
  <si>
    <t>L0165</t>
  </si>
  <si>
    <t>B0165</t>
  </si>
  <si>
    <t>L0992</t>
  </si>
  <si>
    <t>B0992</t>
  </si>
  <si>
    <t>L0101</t>
  </si>
  <si>
    <t>B0101</t>
  </si>
  <si>
    <t>L0302</t>
  </si>
  <si>
    <t>B0302</t>
  </si>
  <si>
    <t>L0699</t>
  </si>
  <si>
    <t>B0699</t>
  </si>
  <si>
    <t>L0781</t>
  </si>
  <si>
    <t>B0781</t>
  </si>
  <si>
    <t>L0393</t>
  </si>
  <si>
    <t>B0393</t>
  </si>
  <si>
    <t>L0695</t>
  </si>
  <si>
    <t>B0695</t>
  </si>
  <si>
    <t>L0185</t>
  </si>
  <si>
    <t>B0185</t>
  </si>
  <si>
    <t>L0705</t>
  </si>
  <si>
    <t>B0705</t>
  </si>
  <si>
    <t>L0580</t>
  </si>
  <si>
    <t>B0580</t>
  </si>
  <si>
    <t>L0655</t>
  </si>
  <si>
    <t>B0655</t>
  </si>
  <si>
    <t>L0264</t>
  </si>
  <si>
    <t>B0264</t>
  </si>
  <si>
    <t>L0824</t>
  </si>
  <si>
    <t>B0824</t>
  </si>
  <si>
    <t>L0133</t>
  </si>
  <si>
    <t>B0133</t>
  </si>
  <si>
    <t>L0200</t>
  </si>
  <si>
    <t>B0200</t>
  </si>
  <si>
    <t>L0978</t>
  </si>
  <si>
    <t>B0978</t>
  </si>
  <si>
    <t>L0132</t>
  </si>
  <si>
    <t>B0132</t>
  </si>
  <si>
    <t>L0329</t>
  </si>
  <si>
    <t>B0329</t>
  </si>
  <si>
    <t>L0628</t>
  </si>
  <si>
    <t>B0628</t>
  </si>
  <si>
    <t>L0454</t>
  </si>
  <si>
    <t>B0454</t>
  </si>
  <si>
    <t>L0441</t>
  </si>
  <si>
    <t>B0441</t>
  </si>
  <si>
    <t>L0319</t>
  </si>
  <si>
    <t>B0319</t>
  </si>
  <si>
    <t>L0658</t>
  </si>
  <si>
    <t>B0658</t>
  </si>
  <si>
    <t>L0217</t>
  </si>
  <si>
    <t>B0217</t>
  </si>
  <si>
    <t>L0878</t>
  </si>
  <si>
    <t>B0878</t>
  </si>
  <si>
    <t>L0179</t>
  </si>
  <si>
    <t>B0179</t>
  </si>
  <si>
    <t>L0146</t>
  </si>
  <si>
    <t>B0146</t>
  </si>
  <si>
    <t>L0102</t>
  </si>
  <si>
    <t>B0102</t>
  </si>
  <si>
    <t>L0635</t>
  </si>
  <si>
    <t>B0635</t>
  </si>
  <si>
    <t>L0128</t>
  </si>
  <si>
    <t>B0128</t>
  </si>
  <si>
    <t>L0722</t>
  </si>
  <si>
    <t>B0722</t>
  </si>
  <si>
    <t>L0031</t>
  </si>
  <si>
    <t>B0031</t>
  </si>
  <si>
    <t>L0077</t>
  </si>
  <si>
    <t>B0077</t>
  </si>
  <si>
    <t>L0136</t>
  </si>
  <si>
    <t>B0136</t>
  </si>
  <si>
    <t>L0468</t>
  </si>
  <si>
    <t>B0468</t>
  </si>
  <si>
    <t>L0285</t>
  </si>
  <si>
    <t>B0285</t>
  </si>
  <si>
    <t>L0743</t>
  </si>
  <si>
    <t>B0743</t>
  </si>
  <si>
    <t>L0316</t>
  </si>
  <si>
    <t>B0316</t>
  </si>
  <si>
    <t>L0494</t>
  </si>
  <si>
    <t>B0494</t>
  </si>
  <si>
    <t>L0320</t>
  </si>
  <si>
    <t>B0320</t>
  </si>
  <si>
    <t>L0444</t>
  </si>
  <si>
    <t>B0444</t>
  </si>
  <si>
    <t>L0238</t>
  </si>
  <si>
    <t>B0238</t>
  </si>
  <si>
    <t>L0168</t>
  </si>
  <si>
    <t>B0168</t>
  </si>
  <si>
    <t>L0864</t>
  </si>
  <si>
    <t>B0864</t>
  </si>
  <si>
    <t>L0890</t>
  </si>
  <si>
    <t>B0890</t>
  </si>
  <si>
    <t>L0703</t>
  </si>
  <si>
    <t>B0703</t>
  </si>
  <si>
    <t>L0407</t>
  </si>
  <si>
    <t>B0407</t>
  </si>
  <si>
    <t>L0883</t>
  </si>
  <si>
    <t>B0883</t>
  </si>
  <si>
    <t>L0139</t>
  </si>
  <si>
    <t>B0139</t>
  </si>
  <si>
    <t>L0788</t>
  </si>
  <si>
    <t>B0788</t>
  </si>
  <si>
    <t>L0666</t>
  </si>
  <si>
    <t>B0666</t>
  </si>
  <si>
    <t>L0989</t>
  </si>
  <si>
    <t>B0989</t>
  </si>
  <si>
    <t>L0891</t>
  </si>
  <si>
    <t>B0891</t>
  </si>
  <si>
    <t>L0624</t>
  </si>
  <si>
    <t>B0624</t>
  </si>
  <si>
    <t>L0503</t>
  </si>
  <si>
    <t>B0503</t>
  </si>
  <si>
    <t>L0909</t>
  </si>
  <si>
    <t>B0909</t>
  </si>
  <si>
    <t>L0626</t>
  </si>
  <si>
    <t>B0626</t>
  </si>
  <si>
    <t>L0486</t>
  </si>
  <si>
    <t>B0486</t>
  </si>
  <si>
    <t>L0569</t>
  </si>
  <si>
    <t>B0569</t>
  </si>
  <si>
    <t>L0506</t>
  </si>
  <si>
    <t>B0506</t>
  </si>
  <si>
    <t>L0399</t>
  </si>
  <si>
    <t>B0399</t>
  </si>
  <si>
    <t>L0554</t>
  </si>
  <si>
    <t>B0554</t>
  </si>
  <si>
    <t>L0297</t>
  </si>
  <si>
    <t>B0297</t>
  </si>
  <si>
    <t>L0125</t>
  </si>
  <si>
    <t>B0125</t>
  </si>
  <si>
    <t>L0632</t>
  </si>
  <si>
    <t>B0632</t>
  </si>
  <si>
    <t>L0844</t>
  </si>
  <si>
    <t>B0844</t>
  </si>
  <si>
    <t>L0098</t>
  </si>
  <si>
    <t>B0098</t>
  </si>
  <si>
    <t>L0138</t>
  </si>
  <si>
    <t>B0138</t>
  </si>
  <si>
    <t>L0560</t>
  </si>
  <si>
    <t>B0560</t>
  </si>
  <si>
    <t>L0280</t>
  </si>
  <si>
    <t>B0280</t>
  </si>
  <si>
    <t>L0485</t>
  </si>
  <si>
    <t>B0485</t>
  </si>
  <si>
    <t>L0263</t>
  </si>
  <si>
    <t>B0263</t>
  </si>
  <si>
    <t>L0027</t>
  </si>
  <si>
    <t>B0027</t>
  </si>
  <si>
    <t>L0219</t>
  </si>
  <si>
    <t>B0219</t>
  </si>
  <si>
    <t>L0896</t>
  </si>
  <si>
    <t>B0896</t>
  </si>
  <si>
    <t>L0542</t>
  </si>
  <si>
    <t>B0542</t>
  </si>
  <si>
    <t>L0749</t>
  </si>
  <si>
    <t>B0749</t>
  </si>
  <si>
    <t>L0373</t>
  </si>
  <si>
    <t>B0373</t>
  </si>
  <si>
    <t>L0376</t>
  </si>
  <si>
    <t>B0376</t>
  </si>
  <si>
    <t>L0700</t>
  </si>
  <si>
    <t>B0700</t>
  </si>
  <si>
    <t>L0342</t>
  </si>
  <si>
    <t>B0342</t>
  </si>
  <si>
    <t>L0508</t>
  </si>
  <si>
    <t>B0508</t>
  </si>
  <si>
    <t>L0668</t>
  </si>
  <si>
    <t>B0668</t>
  </si>
  <si>
    <t>L0143</t>
  </si>
  <si>
    <t>B0143</t>
  </si>
  <si>
    <t>L0417</t>
  </si>
  <si>
    <t>B0417</t>
  </si>
  <si>
    <t>L0959</t>
  </si>
  <si>
    <t>B0959</t>
  </si>
  <si>
    <t>L0253</t>
  </si>
  <si>
    <t>B0253</t>
  </si>
  <si>
    <t>L0023</t>
  </si>
  <si>
    <t>B0023</t>
  </si>
  <si>
    <t>L0052</t>
  </si>
  <si>
    <t>B0052</t>
  </si>
  <si>
    <t>L0335</t>
  </si>
  <si>
    <t>B0335</t>
  </si>
  <si>
    <t>L0966</t>
  </si>
  <si>
    <t>B0966</t>
  </si>
  <si>
    <t>L0963</t>
  </si>
  <si>
    <t>B0963</t>
  </si>
  <si>
    <t>L0550</t>
  </si>
  <si>
    <t>B0550</t>
  </si>
  <si>
    <t>L0525</t>
  </si>
  <si>
    <t>B0525</t>
  </si>
  <si>
    <t>L0135</t>
  </si>
  <si>
    <t>B0135</t>
  </si>
  <si>
    <t>L0885</t>
  </si>
  <si>
    <t>B0885</t>
  </si>
  <si>
    <t>L0831</t>
  </si>
  <si>
    <t>B0831</t>
  </si>
  <si>
    <t>L0977</t>
  </si>
  <si>
    <t>B0977</t>
  </si>
  <si>
    <t>L0555</t>
  </si>
  <si>
    <t>B0555</t>
  </si>
  <si>
    <t>L0465</t>
  </si>
  <si>
    <t>B0465</t>
  </si>
  <si>
    <t>L0680</t>
  </si>
  <si>
    <t>B0680</t>
  </si>
  <si>
    <t>L0730</t>
  </si>
  <si>
    <t>B0730</t>
  </si>
  <si>
    <t>L0561</t>
  </si>
  <si>
    <t>B0561</t>
  </si>
  <si>
    <t>L0425</t>
  </si>
  <si>
    <t>B0425</t>
  </si>
  <si>
    <t>L0656</t>
  </si>
  <si>
    <t>B0656</t>
  </si>
  <si>
    <t>L0063</t>
  </si>
  <si>
    <t>B0063</t>
  </si>
  <si>
    <t>L0982</t>
  </si>
  <si>
    <t>B0982</t>
  </si>
  <si>
    <t>L0907</t>
  </si>
  <si>
    <t>B0907</t>
  </si>
  <si>
    <t>L0735</t>
  </si>
  <si>
    <t>B0735</t>
  </si>
  <si>
    <t>L0770</t>
  </si>
  <si>
    <t>B0770</t>
  </si>
  <si>
    <t>L0099</t>
  </si>
  <si>
    <t>B0099</t>
  </si>
  <si>
    <t>L0660</t>
  </si>
  <si>
    <t>B0660</t>
  </si>
  <si>
    <t>L0384</t>
  </si>
  <si>
    <t>B0384</t>
  </si>
  <si>
    <t>L0289</t>
  </si>
  <si>
    <t>B0289</t>
  </si>
  <si>
    <t>L0396</t>
  </si>
  <si>
    <t>B0396</t>
  </si>
  <si>
    <t>L0415</t>
  </si>
  <si>
    <t>B0415</t>
  </si>
  <si>
    <t>L0054</t>
  </si>
  <si>
    <t>B0054</t>
  </si>
  <si>
    <t>L0151</t>
  </si>
  <si>
    <t>B0151</t>
  </si>
  <si>
    <t>L0518</t>
  </si>
  <si>
    <t>B0518</t>
  </si>
  <si>
    <t>L0510</t>
  </si>
  <si>
    <t>B0510</t>
  </si>
  <si>
    <t>L0442</t>
  </si>
  <si>
    <t>B0442</t>
  </si>
  <si>
    <t>L0426</t>
  </si>
  <si>
    <t>B0426</t>
  </si>
  <si>
    <t>L0950</t>
  </si>
  <si>
    <t>B0950</t>
  </si>
  <si>
    <t>L0498</t>
  </si>
  <si>
    <t>B0498</t>
  </si>
  <si>
    <t>L0981</t>
  </si>
  <si>
    <t>B0981</t>
  </si>
  <si>
    <t>L0589</t>
  </si>
  <si>
    <t>B0589</t>
  </si>
  <si>
    <t>L0403</t>
  </si>
  <si>
    <t>B0403</t>
  </si>
  <si>
    <t>L0676</t>
  </si>
  <si>
    <t>B0676</t>
  </si>
  <si>
    <t>L0513</t>
  </si>
  <si>
    <t>B0513</t>
  </si>
  <si>
    <t>L0324</t>
  </si>
  <si>
    <t>B0324</t>
  </si>
  <si>
    <t>L0114</t>
  </si>
  <si>
    <t>B0114</t>
  </si>
  <si>
    <t>L0964</t>
  </si>
  <si>
    <t>B0964</t>
  </si>
  <si>
    <t>L0018</t>
  </si>
  <si>
    <t>B0018</t>
  </si>
  <si>
    <t>L0696</t>
  </si>
  <si>
    <t>B0696</t>
  </si>
  <si>
    <t>L0120</t>
  </si>
  <si>
    <t>B0120</t>
  </si>
  <si>
    <t>L0673</t>
  </si>
  <si>
    <t>B0673</t>
  </si>
  <si>
    <t>L0224</t>
  </si>
  <si>
    <t>B0224</t>
  </si>
  <si>
    <t>L0445</t>
  </si>
  <si>
    <t>B0445</t>
  </si>
  <si>
    <t>L0519</t>
  </si>
  <si>
    <t>B0519</t>
  </si>
  <si>
    <t>L0163</t>
  </si>
  <si>
    <t>B0163</t>
  </si>
  <si>
    <t>L0382</t>
  </si>
  <si>
    <t>B0382</t>
  </si>
  <si>
    <t>L0469</t>
  </si>
  <si>
    <t>B0469</t>
  </si>
  <si>
    <t>L0825</t>
  </si>
  <si>
    <t>B0825</t>
  </si>
  <si>
    <t>L0601</t>
  </si>
  <si>
    <t>B0601</t>
  </si>
  <si>
    <t>L0710</t>
  </si>
  <si>
    <t>B0710</t>
  </si>
  <si>
    <t>L0934</t>
  </si>
  <si>
    <t>B0934</t>
  </si>
  <si>
    <t>L0272</t>
  </si>
  <si>
    <t>B0272</t>
  </si>
  <si>
    <t>L0398</t>
  </si>
  <si>
    <t>B0398</t>
  </si>
  <si>
    <t>L0617</t>
  </si>
  <si>
    <t>B0617</t>
  </si>
  <si>
    <t>L0938</t>
  </si>
  <si>
    <t>B0938</t>
  </si>
  <si>
    <t>L0360</t>
  </si>
  <si>
    <t>B0360</t>
  </si>
  <si>
    <t>L0578</t>
  </si>
  <si>
    <t>B0578</t>
  </si>
  <si>
    <t>L0882</t>
  </si>
  <si>
    <t>B0882</t>
  </si>
  <si>
    <t>L0169</t>
  </si>
  <si>
    <t>B0169</t>
  </si>
  <si>
    <t>L0492</t>
  </si>
  <si>
    <t>B0492</t>
  </si>
  <si>
    <t>L0069</t>
  </si>
  <si>
    <t>B0069</t>
  </si>
  <si>
    <t>L0588</t>
  </si>
  <si>
    <t>B0588</t>
  </si>
  <si>
    <t>L0581</t>
  </si>
  <si>
    <t>B0581</t>
  </si>
  <si>
    <t>L0105</t>
  </si>
  <si>
    <t>B0105</t>
  </si>
  <si>
    <t>L0157</t>
  </si>
  <si>
    <t>B0157</t>
  </si>
  <si>
    <t>L0362</t>
  </si>
  <si>
    <t>B0362</t>
  </si>
  <si>
    <t>L0915</t>
  </si>
  <si>
    <t>B0915</t>
  </si>
  <si>
    <t>L0009</t>
  </si>
  <si>
    <t>B0009</t>
  </si>
  <si>
    <t>L0551</t>
  </si>
  <si>
    <t>B0551</t>
  </si>
  <si>
    <t>L0572</t>
  </si>
  <si>
    <t>B0572</t>
  </si>
  <si>
    <t>L0308</t>
  </si>
  <si>
    <t>B0308</t>
  </si>
  <si>
    <t>L0955</t>
  </si>
  <si>
    <t>B0955</t>
  </si>
  <si>
    <t>L0387</t>
  </si>
  <si>
    <t>B0387</t>
  </si>
  <si>
    <t>L0046</t>
  </si>
  <si>
    <t>B0046</t>
  </si>
  <si>
    <t>L0040</t>
  </si>
  <si>
    <t>B0040</t>
  </si>
  <si>
    <t>L0758</t>
  </si>
  <si>
    <t>B0758</t>
  </si>
  <si>
    <t>L0927</t>
  </si>
  <si>
    <t>B0927</t>
  </si>
  <si>
    <t>L0855</t>
  </si>
  <si>
    <t>B0855</t>
  </si>
  <si>
    <t>L0090</t>
  </si>
  <si>
    <t>B0090</t>
  </si>
  <si>
    <t>L0499</t>
  </si>
  <si>
    <t>B0499</t>
  </si>
  <si>
    <t>L0269</t>
  </si>
  <si>
    <t>B0269</t>
  </si>
  <si>
    <t>L0757</t>
  </si>
  <si>
    <t>B0757</t>
  </si>
  <si>
    <t>L0608</t>
  </si>
  <si>
    <t>B0608</t>
  </si>
  <si>
    <t>L0337</t>
  </si>
  <si>
    <t>B0337</t>
  </si>
  <si>
    <t>L0326</t>
  </si>
  <si>
    <t>B0326</t>
  </si>
  <si>
    <t>L0366</t>
  </si>
  <si>
    <t>B0366</t>
  </si>
  <si>
    <t>L0067</t>
  </si>
  <si>
    <t>B0067</t>
  </si>
  <si>
    <t>L0641</t>
  </si>
  <si>
    <t>B0641</t>
  </si>
  <si>
    <t>L0826</t>
  </si>
  <si>
    <t>B0826</t>
  </si>
  <si>
    <t>L0453</t>
  </si>
  <si>
    <t>B0453</t>
  </si>
  <si>
    <t>L0108</t>
  </si>
  <si>
    <t>B0108</t>
  </si>
  <si>
    <t>L0541</t>
  </si>
  <si>
    <t>B0541</t>
  </si>
  <si>
    <t>L0129</t>
  </si>
  <si>
    <t>B0129</t>
  </si>
  <si>
    <t>L0604</t>
  </si>
  <si>
    <t>B0604</t>
  </si>
  <si>
    <t>L0529</t>
  </si>
  <si>
    <t>B0529</t>
  </si>
  <si>
    <t>L0592</t>
  </si>
  <si>
    <t>B0592</t>
  </si>
  <si>
    <t>L0769</t>
  </si>
  <si>
    <t>B0769</t>
  </si>
  <si>
    <t>L0231</t>
  </si>
  <si>
    <t>B0231</t>
  </si>
  <si>
    <t>L0782</t>
  </si>
  <si>
    <t>B0782</t>
  </si>
  <si>
    <t>L0926</t>
  </si>
  <si>
    <t>B0926</t>
  </si>
  <si>
    <t>L0213</t>
  </si>
  <si>
    <t>B0213</t>
  </si>
  <si>
    <t>L0359</t>
  </si>
  <si>
    <t>B0359</t>
  </si>
  <si>
    <t>L0331</t>
  </si>
  <si>
    <t>B0331</t>
  </si>
  <si>
    <t>L0653</t>
  </si>
  <si>
    <t>B0653</t>
  </si>
  <si>
    <t>L0993</t>
  </si>
  <si>
    <t>B0993</t>
  </si>
  <si>
    <t>L0096</t>
  </si>
  <si>
    <t>B0096</t>
  </si>
  <si>
    <t>L0970</t>
  </si>
  <si>
    <t>B0970</t>
  </si>
  <si>
    <t>L0011</t>
  </si>
  <si>
    <t>B0011</t>
  </si>
  <si>
    <t>L0813</t>
  </si>
  <si>
    <t>B0813</t>
  </si>
  <si>
    <t>L0675</t>
  </si>
  <si>
    <t>B0675</t>
  </si>
  <si>
    <t>L0590</t>
  </si>
  <si>
    <t>B0590</t>
  </si>
  <si>
    <t>L0684</t>
  </si>
  <si>
    <t>B0684</t>
  </si>
  <si>
    <t>L0943</t>
  </si>
  <si>
    <t>B0943</t>
  </si>
  <si>
    <t>L0856</t>
  </si>
  <si>
    <t>B0856</t>
  </si>
  <si>
    <t>L0488</t>
  </si>
  <si>
    <t>B0488</t>
  </si>
  <si>
    <t>L0833</t>
  </si>
  <si>
    <t>B0833</t>
  </si>
  <si>
    <t>L0814</t>
  </si>
  <si>
    <t>B0814</t>
  </si>
  <si>
    <t>L0962</t>
  </si>
  <si>
    <t>B0962</t>
  </si>
  <si>
    <t>L0237</t>
  </si>
  <si>
    <t>B0237</t>
  </si>
  <si>
    <t>L0215</t>
  </si>
  <si>
    <t>B0215</t>
  </si>
  <si>
    <t>L0059</t>
  </si>
  <si>
    <t>B0059</t>
  </si>
  <si>
    <t>L0195</t>
  </si>
  <si>
    <t>B0195</t>
  </si>
  <si>
    <t>L0792</t>
  </si>
  <si>
    <t>B0792</t>
  </si>
  <si>
    <t>L0210</t>
  </si>
  <si>
    <t>B0210</t>
  </si>
  <si>
    <t>L0547</t>
  </si>
  <si>
    <t>B0547</t>
  </si>
  <si>
    <t>L0951</t>
  </si>
  <si>
    <t>B0951</t>
  </si>
  <si>
    <t>L0709</t>
  </si>
  <si>
    <t>B0709</t>
  </si>
  <si>
    <t>L0314</t>
  </si>
  <si>
    <t>B0314</t>
  </si>
  <si>
    <t>L0480</t>
  </si>
  <si>
    <t>B0480</t>
  </si>
  <si>
    <t>L0528</t>
  </si>
  <si>
    <t>B0528</t>
  </si>
  <si>
    <t>L0859</t>
  </si>
  <si>
    <t>B0859</t>
  </si>
  <si>
    <t>L0394</t>
  </si>
  <si>
    <t>B0394</t>
  </si>
  <si>
    <t>L0540</t>
  </si>
  <si>
    <t>B0540</t>
  </si>
  <si>
    <t>L0843</t>
  </si>
  <si>
    <t>B0843</t>
  </si>
  <si>
    <t>L0277</t>
  </si>
  <si>
    <t>B0277</t>
  </si>
  <si>
    <t>L0473</t>
  </si>
  <si>
    <t>B0473</t>
  </si>
  <si>
    <t>L0923</t>
  </si>
  <si>
    <t>B0923</t>
  </si>
  <si>
    <t>L0649</t>
  </si>
  <si>
    <t>B0649</t>
  </si>
  <si>
    <t>L0322</t>
  </si>
  <si>
    <t>B0322</t>
  </si>
  <si>
    <t>L0030</t>
  </si>
  <si>
    <t>B0030</t>
  </si>
  <si>
    <t>L0932</t>
  </si>
  <si>
    <t>B0932</t>
  </si>
  <si>
    <t>L0288</t>
  </si>
  <si>
    <t>B0288</t>
  </si>
  <si>
    <t>L0153</t>
  </si>
  <si>
    <t>B0153</t>
  </si>
  <si>
    <t>L0734</t>
  </si>
  <si>
    <t>B0734</t>
  </si>
  <si>
    <t>L0995</t>
  </si>
  <si>
    <t>B0995</t>
  </si>
  <si>
    <t>L0634</t>
  </si>
  <si>
    <t>B0634</t>
  </si>
  <si>
    <t>L0298</t>
  </si>
  <si>
    <t>B0298</t>
  </si>
  <si>
    <t>L0033</t>
  </si>
  <si>
    <t>B0033</t>
  </si>
  <si>
    <t>L0707</t>
  </si>
  <si>
    <t>B0707</t>
  </si>
  <si>
    <t>L0821</t>
  </si>
  <si>
    <t>B0821</t>
  </si>
  <si>
    <t>L0746</t>
  </si>
  <si>
    <t>B0746</t>
  </si>
  <si>
    <t>L0729</t>
  </si>
  <si>
    <t>B0729</t>
  </si>
  <si>
    <t>L0618</t>
  </si>
  <si>
    <t>B0618</t>
  </si>
  <si>
    <t>L0385</t>
  </si>
  <si>
    <t>B0385</t>
  </si>
  <si>
    <t>L0895</t>
  </si>
  <si>
    <t>B0895</t>
  </si>
  <si>
    <t>L0772</t>
  </si>
  <si>
    <t>B0772</t>
  </si>
  <si>
    <t>L0427</t>
  </si>
  <si>
    <t>B0427</t>
  </si>
  <si>
    <t>L0372</t>
  </si>
  <si>
    <t>B0372</t>
  </si>
  <si>
    <t>L0538</t>
  </si>
  <si>
    <t>B0538</t>
  </si>
  <si>
    <t>L0583</t>
  </si>
  <si>
    <t>B0583</t>
  </si>
  <si>
    <t>L0290</t>
  </si>
  <si>
    <t>B0290</t>
  </si>
  <si>
    <t>L0975</t>
  </si>
  <si>
    <t>B0975</t>
  </si>
  <si>
    <t>L0265</t>
  </si>
  <si>
    <t>B0265</t>
  </si>
  <si>
    <t>L0148</t>
  </si>
  <si>
    <t>B0148</t>
  </si>
  <si>
    <t>L0019</t>
  </si>
  <si>
    <t>B0019</t>
  </si>
  <si>
    <t>L0593</t>
  </si>
  <si>
    <t>B0593</t>
  </si>
  <si>
    <t>L0001</t>
  </si>
  <si>
    <t>B0001</t>
  </si>
  <si>
    <t>L0338</t>
  </si>
  <si>
    <t>B0338</t>
  </si>
  <si>
    <t>L0173</t>
  </si>
  <si>
    <t>B0173</t>
  </si>
  <si>
    <t>L0113</t>
  </si>
  <si>
    <t>B0113</t>
  </si>
  <si>
    <t>L0812</t>
  </si>
  <si>
    <t>B0812</t>
  </si>
  <si>
    <t>L0313</t>
  </si>
  <si>
    <t>B0313</t>
  </si>
  <si>
    <t>L0411</t>
  </si>
  <si>
    <t>B0411</t>
  </si>
  <si>
    <t>L0511</t>
  </si>
  <si>
    <t>B0511</t>
  </si>
  <si>
    <t>L0107</t>
  </si>
  <si>
    <t>B0107</t>
  </si>
  <si>
    <t>L0178</t>
  </si>
  <si>
    <t>B0178</t>
  </si>
  <si>
    <t>L0829</t>
  </si>
  <si>
    <t>B0829</t>
  </si>
  <si>
    <t>L0007</t>
  </si>
  <si>
    <t>B0007</t>
  </si>
  <si>
    <t>L0767</t>
  </si>
  <si>
    <t>B0767</t>
  </si>
  <si>
    <t>L0412</t>
  </si>
  <si>
    <t>B0412</t>
  </si>
  <si>
    <t>L0462</t>
  </si>
  <si>
    <t>B0462</t>
  </si>
  <si>
    <t>L0881</t>
  </si>
  <si>
    <t>B0881</t>
  </si>
  <si>
    <t>L0530</t>
  </si>
  <si>
    <t>B0530</t>
  </si>
  <si>
    <t>L0702</t>
  </si>
  <si>
    <t>B0702</t>
  </si>
  <si>
    <t>L0309</t>
  </si>
  <si>
    <t>B0309</t>
  </si>
  <si>
    <t>L0208</t>
  </si>
  <si>
    <t>B0208</t>
  </si>
  <si>
    <t>L0233</t>
  </si>
  <si>
    <t>B0233</t>
  </si>
  <si>
    <t>L0065</t>
  </si>
  <si>
    <t>B0065</t>
  </si>
  <si>
    <t>L0187</t>
  </si>
  <si>
    <t>B0187</t>
  </si>
  <si>
    <t>L0563</t>
  </si>
  <si>
    <t>B0563</t>
  </si>
  <si>
    <t>L0724</t>
  </si>
  <si>
    <t>B0724</t>
  </si>
  <si>
    <t>L0523</t>
  </si>
  <si>
    <t>B0523</t>
  </si>
  <si>
    <t>L0669</t>
  </si>
  <si>
    <t>B0669</t>
  </si>
  <si>
    <t>L0311</t>
  </si>
  <si>
    <t>B0311</t>
  </si>
  <si>
    <t>L0160</t>
  </si>
  <si>
    <t>B0160</t>
  </si>
  <si>
    <t>L0429</t>
  </si>
  <si>
    <t>B0429</t>
  </si>
  <si>
    <t>L0490</t>
  </si>
  <si>
    <t>B0490</t>
  </si>
  <si>
    <t>L0848</t>
  </si>
  <si>
    <t>B0848</t>
  </si>
  <si>
    <t>L0434</t>
  </si>
  <si>
    <t>B0434</t>
  </si>
  <si>
    <t>L0112</t>
  </si>
  <si>
    <t>B0112</t>
  </si>
  <si>
    <t>L0474</t>
  </si>
  <si>
    <t>B0474</t>
  </si>
  <si>
    <t>L0370</t>
  </si>
  <si>
    <t>B0370</t>
  </si>
  <si>
    <t>L0189</t>
  </si>
  <si>
    <t>B0189</t>
  </si>
  <si>
    <t>L0334</t>
  </si>
  <si>
    <t>B0334</t>
  </si>
  <si>
    <t>L0753</t>
  </si>
  <si>
    <t>B0753</t>
  </si>
  <si>
    <t>L0042</t>
  </si>
  <si>
    <t>B0042</t>
  </si>
  <si>
    <t>L0711</t>
  </si>
  <si>
    <t>B0711</t>
  </si>
  <si>
    <t>L0620</t>
  </si>
  <si>
    <t>B0620</t>
  </si>
  <si>
    <t>L0622</t>
  </si>
  <si>
    <t>B0622</t>
  </si>
  <si>
    <t>L0605</t>
  </si>
  <si>
    <t>B0605</t>
  </si>
  <si>
    <t>L0748</t>
  </si>
  <si>
    <t>B0748</t>
  </si>
  <si>
    <t>L0278</t>
  </si>
  <si>
    <t>B0278</t>
  </si>
  <si>
    <t>L0972</t>
  </si>
  <si>
    <t>B0972</t>
  </si>
  <si>
    <t>L0521</t>
  </si>
  <si>
    <t>B0521</t>
  </si>
  <si>
    <t>L0949</t>
  </si>
  <si>
    <t>B0949</t>
  </si>
  <si>
    <t>L0759</t>
  </si>
  <si>
    <t>B0759</t>
  </si>
  <si>
    <t>L0350</t>
  </si>
  <si>
    <t>B0350</t>
  </si>
  <si>
    <t>L0450</t>
  </si>
  <si>
    <t>B0450</t>
  </si>
  <si>
    <t>L0207</t>
  </si>
  <si>
    <t>B0207</t>
  </si>
  <si>
    <t>L0958</t>
  </si>
  <si>
    <t>B0958</t>
  </si>
  <si>
    <t>L0766</t>
  </si>
  <si>
    <t>B0766</t>
  </si>
  <si>
    <t>L0672</t>
  </si>
  <si>
    <t>B0672</t>
  </si>
  <si>
    <t>L0582</t>
  </si>
  <si>
    <t>B0582</t>
  </si>
  <si>
    <t>L0401</t>
  </si>
  <si>
    <t>B0401</t>
  </si>
  <si>
    <t>L0717</t>
  </si>
  <si>
    <t>B0717</t>
  </si>
  <si>
    <t>L0274</t>
  </si>
  <si>
    <t>B0274</t>
  </si>
  <si>
    <t>L0801</t>
  </si>
  <si>
    <t>B0801</t>
  </si>
  <si>
    <t>L0924</t>
  </si>
  <si>
    <t>B0924</t>
  </si>
  <si>
    <t>L0520</t>
  </si>
  <si>
    <t>B0520</t>
  </si>
  <si>
    <t>L0258</t>
  </si>
  <si>
    <t>B0258</t>
  </si>
  <si>
    <t>L0175</t>
  </si>
  <si>
    <t>B0175</t>
  </si>
  <si>
    <t>L0481</t>
  </si>
  <si>
    <t>B0481</t>
  </si>
  <si>
    <t>L0516</t>
  </si>
  <si>
    <t>B0516</t>
  </si>
  <si>
    <t>L0091</t>
  </si>
  <si>
    <t>B0091</t>
  </si>
  <si>
    <t>L0482</t>
  </si>
  <si>
    <t>B0482</t>
  </si>
  <si>
    <t>L0971</t>
  </si>
  <si>
    <t>B0971</t>
  </si>
  <si>
    <t>L0999</t>
  </si>
  <si>
    <t>B0999</t>
  </si>
  <si>
    <t>L0439</t>
  </si>
  <si>
    <t>B0439</t>
  </si>
  <si>
    <t>L0315</t>
  </si>
  <si>
    <t>B0315</t>
  </si>
  <si>
    <t>L0863</t>
  </si>
  <si>
    <t>B0863</t>
  </si>
  <si>
    <t>L0869</t>
  </si>
  <si>
    <t>B0869</t>
  </si>
  <si>
    <t>L0879</t>
  </si>
  <si>
    <t>B0879</t>
  </si>
  <si>
    <t>L0974</t>
  </si>
  <si>
    <t>B0974</t>
  </si>
  <si>
    <t>L0952</t>
  </si>
  <si>
    <t>B0952</t>
  </si>
  <si>
    <t>L0452</t>
  </si>
  <si>
    <t>B0452</t>
  </si>
  <si>
    <t>L0922</t>
  </si>
  <si>
    <t>B0922</t>
  </si>
  <si>
    <t>L0726</t>
  </si>
  <si>
    <t>B0726</t>
  </si>
  <si>
    <t>L0433</t>
  </si>
  <si>
    <t>B0433</t>
  </si>
  <si>
    <t>L0817</t>
  </si>
  <si>
    <t>B0817</t>
  </si>
  <si>
    <t>L0807</t>
  </si>
  <si>
    <t>B0807</t>
  </si>
  <si>
    <t>L0906</t>
  </si>
  <si>
    <t>B0906</t>
  </si>
  <si>
    <t>L0142</t>
  </si>
  <si>
    <t>B0142</t>
  </si>
  <si>
    <t>L0448</t>
  </si>
  <si>
    <t>B0448</t>
  </si>
  <si>
    <t>L0880</t>
  </si>
  <si>
    <t>B0880</t>
  </si>
  <si>
    <t>L0170</t>
  </si>
  <si>
    <t>B0170</t>
  </si>
  <si>
    <t>L0221</t>
  </si>
  <si>
    <t>B0221</t>
  </si>
  <si>
    <t>L0044</t>
  </si>
  <si>
    <t>B0044</t>
  </si>
  <si>
    <t>L0013</t>
  </si>
  <si>
    <t>B0013</t>
  </si>
  <si>
    <t>L0211</t>
  </si>
  <si>
    <t>B0211</t>
  </si>
  <si>
    <t>L0375</t>
  </si>
  <si>
    <t>B0375</t>
  </si>
  <si>
    <t>L0026</t>
  </si>
  <si>
    <t>B0026</t>
  </si>
  <si>
    <t>L0840</t>
  </si>
  <si>
    <t>B0840</t>
  </si>
  <si>
    <t>L0347</t>
  </si>
  <si>
    <t>B0347</t>
  </si>
  <si>
    <t>L0028</t>
  </si>
  <si>
    <t>B0028</t>
  </si>
  <si>
    <t>L0515</t>
  </si>
  <si>
    <t>B0515</t>
  </si>
  <si>
    <t>L0234</t>
  </si>
  <si>
    <t>B0234</t>
  </si>
  <si>
    <t>L0100</t>
  </si>
  <si>
    <t>B0100</t>
  </si>
  <si>
    <t>L0266</t>
  </si>
  <si>
    <t>B0266</t>
  </si>
  <si>
    <t>L0894</t>
  </si>
  <si>
    <t>B0894</t>
  </si>
  <si>
    <t>L0500</t>
  </si>
  <si>
    <t>B0500</t>
  </si>
  <si>
    <t>L0865</t>
  </si>
  <si>
    <t>B0865</t>
  </si>
  <si>
    <t>L0389</t>
  </si>
  <si>
    <t>B0389</t>
  </si>
  <si>
    <t>L0496</t>
  </si>
  <si>
    <t>B0496</t>
  </si>
  <si>
    <t>L0286</t>
  </si>
  <si>
    <t>B0286</t>
  </si>
  <si>
    <t>L0502</t>
  </si>
  <si>
    <t>B0502</t>
  </si>
  <si>
    <t>L0134</t>
  </si>
  <si>
    <t>B0134</t>
  </si>
  <si>
    <t>L0024</t>
  </si>
  <si>
    <t>B0024</t>
  </si>
  <si>
    <t>L0404</t>
  </si>
  <si>
    <t>B0404</t>
  </si>
  <si>
    <t>L0257</t>
  </si>
  <si>
    <t>B0257</t>
  </si>
  <si>
    <t>L0162</t>
  </si>
  <si>
    <t>B0162</t>
  </si>
  <si>
    <t>L0858</t>
  </si>
  <si>
    <t>B0858</t>
  </si>
  <si>
    <t>L0598</t>
  </si>
  <si>
    <t>B0598</t>
  </si>
  <si>
    <t>L0609</t>
  </si>
  <si>
    <t>B0609</t>
  </si>
  <si>
    <t>L0841</t>
  </si>
  <si>
    <t>B0841</t>
  </si>
  <si>
    <t>L0920</t>
  </si>
  <si>
    <t>B0920</t>
  </si>
  <si>
    <t>L0577</t>
  </si>
  <si>
    <t>B0577</t>
  </si>
  <si>
    <t>L0903</t>
  </si>
  <si>
    <t>B0903</t>
  </si>
  <si>
    <t>L0310</t>
  </si>
  <si>
    <t>B0310</t>
  </si>
  <si>
    <t>L0303</t>
  </si>
  <si>
    <t>B0303</t>
  </si>
  <si>
    <t>L0842</t>
  </si>
  <si>
    <t>B0842</t>
  </si>
  <si>
    <t>L0787</t>
  </si>
  <si>
    <t>B0787</t>
  </si>
  <si>
    <t>L0254</t>
  </si>
  <si>
    <t>B0254</t>
  </si>
  <si>
    <t>L0057</t>
  </si>
  <si>
    <t>B0057</t>
  </si>
  <si>
    <t>L0553</t>
  </si>
  <si>
    <t>B0553</t>
  </si>
  <si>
    <t>L0806</t>
  </si>
  <si>
    <t>B0806</t>
  </si>
  <si>
    <t>L0341</t>
  </si>
  <si>
    <t>B0341</t>
  </si>
  <si>
    <t>L0300</t>
  </si>
  <si>
    <t>B0300</t>
  </si>
  <si>
    <t>L0889</t>
  </si>
  <si>
    <t>B0889</t>
  </si>
  <si>
    <t>L0306</t>
  </si>
  <si>
    <t>B0306</t>
  </si>
  <si>
    <t>L0845</t>
  </si>
  <si>
    <t>B0845</t>
  </si>
  <si>
    <t>L0941</t>
  </si>
  <si>
    <t>B0941</t>
  </si>
  <si>
    <t>L0790</t>
  </si>
  <si>
    <t>B0790</t>
  </si>
  <si>
    <t>L0847</t>
  </si>
  <si>
    <t>B0847</t>
  </si>
  <si>
    <t>L0850</t>
  </si>
  <si>
    <t>B0850</t>
  </si>
  <si>
    <t>L0345</t>
  </si>
  <si>
    <t>B0345</t>
  </si>
  <si>
    <t>L0405</t>
  </si>
  <si>
    <t>B0405</t>
  </si>
  <si>
    <t>L0917</t>
  </si>
  <si>
    <t>B0917</t>
  </si>
  <si>
    <t>L0348</t>
  </si>
  <si>
    <t>B0348</t>
  </si>
  <si>
    <t>L0127</t>
  </si>
  <si>
    <t>B0127</t>
  </si>
  <si>
    <t>L0327</t>
  </si>
  <si>
    <t>B0327</t>
  </si>
  <si>
    <t>L0852</t>
  </si>
  <si>
    <t>B0852</t>
  </si>
  <si>
    <t>L0193</t>
  </si>
  <si>
    <t>B0193</t>
  </si>
  <si>
    <t>L0532</t>
  </si>
  <si>
    <t>B0532</t>
  </si>
  <si>
    <t>L0363</t>
  </si>
  <si>
    <t>B0363</t>
  </si>
  <si>
    <t>L0186</t>
  </si>
  <si>
    <t>B0186</t>
  </si>
  <si>
    <t>L0061</t>
  </si>
  <si>
    <t>B0061</t>
  </si>
  <si>
    <t>L0085</t>
  </si>
  <si>
    <t>B0085</t>
  </si>
  <si>
    <t>L0599</t>
  </si>
  <si>
    <t>B0599</t>
  </si>
  <si>
    <t>L0236</t>
  </si>
  <si>
    <t>B0236</t>
  </si>
  <si>
    <t>L0805</t>
  </si>
  <si>
    <t>B0805</t>
  </si>
  <si>
    <t>L0116</t>
  </si>
  <si>
    <t>B0116</t>
  </si>
  <si>
    <t>L0397</t>
  </si>
  <si>
    <t>B0397</t>
  </si>
  <si>
    <t>L0050</t>
  </si>
  <si>
    <t>B0050</t>
  </si>
  <si>
    <t>L0390</t>
  </si>
  <si>
    <t>B0390</t>
  </si>
  <si>
    <t>L0965</t>
  </si>
  <si>
    <t>B0965</t>
  </si>
  <si>
    <t>L0860</t>
  </si>
  <si>
    <t>B0860</t>
  </si>
  <si>
    <t>L0475</t>
  </si>
  <si>
    <t>B0475</t>
  </si>
  <si>
    <t>L0049</t>
  </si>
  <si>
    <t>B0049</t>
  </si>
  <si>
    <t>L0671</t>
  </si>
  <si>
    <t>B0671</t>
  </si>
  <si>
    <t>L0630</t>
  </si>
  <si>
    <t>B0630</t>
  </si>
  <si>
    <t>L0103</t>
  </si>
  <si>
    <t>B0103</t>
  </si>
  <si>
    <t>L0531</t>
  </si>
  <si>
    <t>B0531</t>
  </si>
  <si>
    <t>L0670</t>
  </si>
  <si>
    <t>B0670</t>
  </si>
  <si>
    <t>L0505</t>
  </si>
  <si>
    <t>B0505</t>
  </si>
  <si>
    <t>L0931</t>
  </si>
  <si>
    <t>B0931</t>
  </si>
  <si>
    <t>L0447</t>
  </si>
  <si>
    <t>B0447</t>
  </si>
  <si>
    <t>L0497</t>
  </si>
  <si>
    <t>B0497</t>
  </si>
  <si>
    <t>L0677</t>
  </si>
  <si>
    <t>B0677</t>
  </si>
  <si>
    <t>L0799</t>
  </si>
  <si>
    <t>B0799</t>
  </si>
  <si>
    <t>L0111</t>
  </si>
  <si>
    <t>B0111</t>
  </si>
  <si>
    <t>L0365</t>
  </si>
  <si>
    <t>B0365</t>
  </si>
  <si>
    <t>L0418</t>
  </si>
  <si>
    <t>B0418</t>
  </si>
  <si>
    <t>L0913</t>
  </si>
  <si>
    <t>B0913</t>
  </si>
  <si>
    <t>L0002</t>
  </si>
  <si>
    <t>B0002</t>
  </si>
  <si>
    <t>L0223</t>
  </si>
  <si>
    <t>B0223</t>
  </si>
  <si>
    <t>L0552</t>
  </si>
  <si>
    <t>B0552</t>
  </si>
  <si>
    <t>L0784</t>
  </si>
  <si>
    <t>B0784</t>
  </si>
  <si>
    <t>L0432</t>
  </si>
  <si>
    <t>B0432</t>
  </si>
  <si>
    <t>L0731</t>
  </si>
  <si>
    <t>B0731</t>
  </si>
  <si>
    <t>L0652</t>
  </si>
  <si>
    <t>B0652</t>
  </si>
  <si>
    <t>L0087</t>
  </si>
  <si>
    <t>B0087</t>
  </si>
  <si>
    <t>L0130</t>
  </si>
  <si>
    <t>B0130</t>
  </si>
  <si>
    <t>L0854</t>
  </si>
  <si>
    <t>B0854</t>
  </si>
  <si>
    <t>L0218</t>
  </si>
  <si>
    <t>B0218</t>
  </si>
  <si>
    <t>L0092</t>
  </si>
  <si>
    <t>B0092</t>
  </si>
  <si>
    <t>L0122</t>
  </si>
  <si>
    <t>B0122</t>
  </si>
  <si>
    <t>L0247</t>
  </si>
  <si>
    <t>B0247</t>
  </si>
  <si>
    <t>L0192</t>
  </si>
  <si>
    <t>B0192</t>
  </si>
  <si>
    <t>L0436</t>
  </si>
  <si>
    <t>B0436</t>
  </si>
  <si>
    <t>L0794</t>
  </si>
  <si>
    <t>B0794</t>
  </si>
  <si>
    <t>L0271</t>
  </si>
  <si>
    <t>B0271</t>
  </si>
  <si>
    <t>L0681</t>
  </si>
  <si>
    <t>B0681</t>
  </si>
  <si>
    <t>L0714</t>
  </si>
  <si>
    <t>B0714</t>
  </si>
  <si>
    <t>L0073</t>
  </si>
  <si>
    <t>B0073</t>
  </si>
  <si>
    <t>L0777</t>
  </si>
  <si>
    <t>B0777</t>
  </si>
  <si>
    <t>L0438</t>
  </si>
  <si>
    <t>B0438</t>
  </si>
  <si>
    <t>L0377</t>
  </si>
  <si>
    <t>B0377</t>
  </si>
  <si>
    <t>L0639</t>
  </si>
  <si>
    <t>B0639</t>
  </si>
  <si>
    <t>L0244</t>
  </si>
  <si>
    <t>B0244</t>
  </si>
  <si>
    <t>L0344</t>
  </si>
  <si>
    <t>B0344</t>
  </si>
  <si>
    <t>L0093</t>
  </si>
  <si>
    <t>B0093</t>
  </si>
  <si>
    <t>L0240</t>
  </si>
  <si>
    <t>B0240</t>
  </si>
  <si>
    <t>L0893</t>
  </si>
  <si>
    <t>B0893</t>
  </si>
  <si>
    <t>L0629</t>
  </si>
  <si>
    <t>B0629</t>
  </si>
  <si>
    <t>L0940</t>
  </si>
  <si>
    <t>B0940</t>
  </si>
  <si>
    <t>L0150</t>
  </si>
  <si>
    <t>B0150</t>
  </si>
  <si>
    <t>L0066</t>
  </si>
  <si>
    <t>B0066</t>
  </si>
  <si>
    <t>L0305</t>
  </si>
  <si>
    <t>B0305</t>
  </si>
  <si>
    <t>L0973</t>
  </si>
  <si>
    <t>B0973</t>
  </si>
  <si>
    <t>L0937</t>
  </si>
  <si>
    <t>B0937</t>
  </si>
  <si>
    <t>L0299</t>
  </si>
  <si>
    <t>B0299</t>
  </si>
  <si>
    <t>L0574</t>
  </si>
  <si>
    <t>B0574</t>
  </si>
  <si>
    <t>L0646</t>
  </si>
  <si>
    <t>B0646</t>
  </si>
  <si>
    <t>L0328</t>
  </si>
  <si>
    <t>B0328</t>
  </si>
  <si>
    <t>L0470</t>
  </si>
  <si>
    <t>B0470</t>
  </si>
  <si>
    <t>L0323</t>
  </si>
  <si>
    <t>B0323</t>
  </si>
  <si>
    <t>L0021</t>
  </si>
  <si>
    <t>B0021</t>
  </si>
  <si>
    <t>L0900</t>
  </si>
  <si>
    <t>B0900</t>
  </si>
  <si>
    <t>L0078</t>
  </si>
  <si>
    <t>B0078</t>
  </si>
  <si>
    <t>L0534</t>
  </si>
  <si>
    <t>B0534</t>
  </si>
  <si>
    <t>L0430</t>
  </si>
  <si>
    <t>B0430</t>
  </si>
  <si>
    <t>L0343</t>
  </si>
  <si>
    <t>B0343</t>
  </si>
  <si>
    <t>L0460</t>
  </si>
  <si>
    <t>B0460</t>
  </si>
  <si>
    <t>KPI-Enhanced Loan Data</t>
  </si>
  <si>
    <t>Months on Book</t>
  </si>
  <si>
    <t>Expected Interest</t>
  </si>
  <si>
    <t>Profit Loss</t>
  </si>
  <si>
    <t>Is Default</t>
  </si>
  <si>
    <t>Loan Portfolio – Summary Pivot Tables</t>
  </si>
  <si>
    <t>PIVOT 1 | Loan Portfolio by Status</t>
  </si>
  <si>
    <t>Total Funded ($)</t>
  </si>
  <si>
    <t>Avg Interest Rate (%)</t>
  </si>
  <si>
    <t>Total Payments ($)</t>
  </si>
  <si>
    <t>Net P&amp;L ($)</t>
  </si>
  <si>
    <t>TOTAL</t>
  </si>
  <si>
    <t>PIVOT 2 | Loan Portfolio by Grade</t>
  </si>
  <si>
    <t>Grade</t>
  </si>
  <si>
    <t>Avg Int Rate (%)</t>
  </si>
  <si>
    <t>Default Rate (%)</t>
  </si>
  <si>
    <t>PIVOT 3 | Loan Portfolio by Intent</t>
  </si>
  <si>
    <t>Avg Loan ($)</t>
  </si>
  <si>
    <t>PIVOT 4 | Loan Count: Grade × Status (Cross-Tab)</t>
  </si>
  <si>
    <t>Loan Portfolio – Visual Analysis</t>
  </si>
  <si>
    <t>Month Year</t>
  </si>
  <si>
    <t>Intent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</si>
  <si>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</si>
  <si>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</si>
  <si>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</si>
  <si>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</si>
  <si>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</si>
  <si>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</si>
  <si>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</si>
  <si>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</si>
  <si>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</si>
  <si>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</si>
  <si>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</si>
  <si>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</si>
  <si>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</si>
  <si>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</si>
  <si>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</si>
  <si>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</si>
  <si>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</si>
  <si>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</si>
  <si>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</si>
  <si>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</si>
  <si>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</si>
  <si>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</si>
  <si>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</si>
  <si>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</si>
  <si>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</si>
  <si>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</si>
  <si>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</si>
  <si>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</si>
  <si>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</si>
  <si>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Chart 1: Monthly Loan Issuance Trend (Line)</t>
  </si>
  <si>
    <t>Chart 2: Loans by Grade (Bar)</t>
  </si>
  <si>
    <t>2023-07</t>
  </si>
  <si>
    <t>2023-08</t>
  </si>
  <si>
    <t>2023-09</t>
  </si>
  <si>
    <t>2023-10</t>
  </si>
  <si>
    <t>2023-11</t>
  </si>
  <si>
    <t>2023-12</t>
  </si>
  <si>
    <t>Chart 3: Portfolio by Status (Pie)</t>
  </si>
  <si>
    <t>Chart 4: Funded Amount by Intent (Horizontal Bar)</t>
  </si>
  <si>
    <t>Chart 5: Total Funded by Grade (Column)</t>
  </si>
  <si>
    <t>Geographic Analysis – Loan Portfolio by State</t>
  </si>
  <si>
    <t>ℹ️  To create a filled map: Select columns A–E → Insert → Maps → Filled Map</t>
  </si>
  <si>
    <t>Total P&amp;L ($)</t>
  </si>
  <si>
    <t>State (Top 10)</t>
  </si>
  <si>
    <t>What-If Analysis | Goal Seek · Scenario Manager · Sensitivity Data Table</t>
  </si>
  <si>
    <t>SECTION 1 – PORTFOLIO BASELINE ASSUMPTIONS</t>
  </si>
  <si>
    <t>Total Number of Loans</t>
  </si>
  <si>
    <t>Total Portfolio Funded ($)</t>
  </si>
  <si>
    <t>Current Avg Interest Rate (%)</t>
  </si>
  <si>
    <t>Current Default Rate (%)</t>
  </si>
  <si>
    <t>Admin Cost Rate (% of Funded)</t>
  </si>
  <si>
    <t>Total Payments Received ($)</t>
  </si>
  <si>
    <t>Total Recovery Amount ($)</t>
  </si>
  <si>
    <t>SECTION 2 – GOAL SEEK ANALYSIS (Interest Rate to Hit Profit Target)</t>
  </si>
  <si>
    <t>Variable</t>
  </si>
  <si>
    <t>Value</t>
  </si>
  <si>
    <t>Formula / Notes</t>
  </si>
  <si>
    <t>Profit Target ($)</t>
  </si>
  <si>
    <t>INPUT – Change to desired profit target</t>
  </si>
  <si>
    <t>Admin Costs ($)</t>
  </si>
  <si>
    <t>Formula: Total Funded x Admin Cost Rate</t>
  </si>
  <si>
    <t>Required Revenue ($)</t>
  </si>
  <si>
    <t>Formula: Profit Target + Admin Costs</t>
  </si>
  <si>
    <t>Required Avg Interest Rate (%)</t>
  </si>
  <si>
    <t>Formula: Reverse-engineered rate. Use Goal Seek to set D17 by changing D6</t>
  </si>
  <si>
    <t>Current Expected Profit ($)</t>
  </si>
  <si>
    <t>Formula: Payments + Recovery - Funded - Admin Costs</t>
  </si>
  <si>
    <t>▶  How to run Goal Seek: Data → What-If Analysis → Goal Seek | Set Cell: D18 | To Value: 5000000 | By Changing Cell: D6</t>
  </si>
  <si>
    <t>SECTION 3 – SCENARIO MANAGER (Economic Scenarios)</t>
  </si>
  <si>
    <t>Metric</t>
  </si>
  <si>
    <t>Baseline</t>
  </si>
  <si>
    <t>Optimistic (+10% Rate, -5% Default)</t>
  </si>
  <si>
    <t>Pessimistic (-5% Rate, +15% Default)</t>
  </si>
  <si>
    <t>Expected Interest Revenue ($)</t>
  </si>
  <si>
    <t>Estimated Default Losses ($)</t>
  </si>
  <si>
    <t>NET PORTFOLIO PROFIT ($)</t>
  </si>
  <si>
    <t>Change vs Baseline ($)</t>
  </si>
  <si>
    <t>Change vs Baseline (%)</t>
  </si>
  <si>
    <t>▶  How to use Scenario Manager: Data → What-If Analysis → Scenario Manager → Add scenarios with changing cells D6 (interest rate) and D7 (default rate)</t>
  </si>
  <si>
    <t>SECTION 4 – SENSITIVITY DATA TABLE | Expected Portfolio Profit vs. Default Rate &amp; Interest Rate</t>
  </si>
  <si>
    <t>Default Rate (rows) vs. Interest Rate (columns) → Net Profit ($)</t>
  </si>
  <si>
    <t>Default Rate \ Int Rate →</t>
  </si>
  <si>
    <t>7%</t>
  </si>
  <si>
    <t>8%</t>
  </si>
  <si>
    <t>9%</t>
  </si>
  <si>
    <t>10%</t>
  </si>
  <si>
    <t>11%</t>
  </si>
  <si>
    <t>12%</t>
  </si>
  <si>
    <t>5%</t>
  </si>
  <si>
    <t>6%</t>
  </si>
  <si>
    <t>13%</t>
  </si>
  <si>
    <t>14%</t>
  </si>
  <si>
    <t>15%</t>
  </si>
  <si>
    <t>16%</t>
  </si>
  <si>
    <t>17%</t>
  </si>
  <si>
    <t>18%</t>
  </si>
  <si>
    <t>19%</t>
  </si>
  <si>
    <t>20%</t>
  </si>
  <si>
    <t>▶  How to build this as an Excel Data Table: select range A37:G53 → Data → What-If Analysis → Data Table → Row input = interest rate cell, Column input = default rate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</si>
</sst>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\$#,##0.00"/>
    <numFmt numFmtId="167" formatCode="dd\-mmm\-yyyy"/>
    <numFmt numFmtId="168" formatCode="0.0"/>
  </numFmts>
  <fonts count="3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22"/>
      <color rgb="FF1F3864"/>
      <name val="Arial"/>
      <charset val="1"/>
    </font>
    <font>
      <b/>
      <sz val="22"/>
      <color rgb="FF2E75B6"/>
      <name val="Arial"/>
      <charset val="1"/>
    </font>
    <font>
      <b/>
      <sz val="22"/>
      <color rgb="FF375623"/>
      <name val="Arial"/>
      <charset val="1"/>
    </font>
    <font>
      <i/>
      <sz val="9"/>
      <color rgb="FF595959"/>
      <name val="Arial"/>
      <charset val="1"/>
    </font>
    <font>
      <b/>
      <sz val="22"/>
      <color rgb="FFC00000"/>
      <name val="Arial"/>
      <charset val="1"/>
    </font>
    <font>
      <b/>
      <sz val="22"/>
      <color rgb="FF7030A0"/>
      <name val="Arial"/>
      <charset val="1"/>
    </font>
    <font>
      <b/>
      <sz val="22"/>
      <color rgb="FF833C00"/>
      <name val="Arial"/>
      <charset val="1"/>
    </font>
    <font>
      <b/>
      <sz val="22"/>
      <color rgb="FF2F549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b/>
      <sz val="16"/>
      <color rgb="FFFFFFFF"/>
      <name val="Arial"/>
      <charset val="1"/>
    </font>
    <font>
      <b/>
      <sz val="11"/>
      <name val="Arial"/>
      <charset val="1"/>
    </font>
    <font>
      <i/>
      <sz val="10"/>
      <color rgb="FF7030A0"/>
      <name val="Arial"/>
      <charset val="1"/>
    </font>
    <font>
      <b/>
      <sz val="10"/>
      <color rgb="FF0000FF"/>
      <name val="Arial"/>
      <charset val="1"/>
    </font>
    <font>
      <b/>
      <i/>
      <sz val="10"/>
      <color rgb="FF7030A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i/>
      <sz val="10"/>
      <color rgb="FF595959"/>
      <name val="Arial"/>
      <charset val="1"/>
    </font>
    <font>
      <b/>
      <sz val="9"/>
      <color rgb="FFFFFFFF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4F81BD"/>
      </patternFill>
    </fill>
    <fill>
      <patternFill patternType="solid">
        <fgColor rgb="FF375623"/>
        <bgColor rgb="FF595959"/>
      </patternFill>
    </fill>
    <fill>
      <patternFill patternType="solid">
        <fgColor rgb="FFF8F9FA"/>
        <bgColor rgb="FFF9F9F9"/>
      </patternFill>
    </fill>
    <fill>
      <patternFill patternType="solid">
        <fgColor rgb="FFF0F0F0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7030A0"/>
        <bgColor rgb="FF800080"/>
      </patternFill>
    </fill>
    <fill>
      <patternFill patternType="solid">
        <fgColor rgb="FF833C00"/>
        <bgColor rgb="FF595959"/>
      </patternFill>
    </fill>
    <fill>
      <patternFill patternType="solid">
        <fgColor rgb="FF2F5496"/>
        <bgColor rgb="FF1F497D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BF3FB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1F497D"/>
        <bgColor rgb="FF2F5496"/>
      </patternFill>
    </fill>
    <fill>
      <patternFill patternType="solid">
        <fgColor rgb="FFFFFFFF"/>
        <bgColor rgb="FFFAFAFA"/>
      </patternFill>
    </fill>
    <fill>
      <patternFill patternType="solid">
        <fgColor rgb="FFF2F2F2"/>
        <bgColor rgb="FFF0F0F0"/>
      </patternFill>
    </fill>
    <fill>
      <patternFill patternType="solid">
        <fgColor rgb="FFBDD7EE"/>
        <bgColor rgb="FFD9D9D9"/>
      </patternFill>
    </fill>
    <fill>
      <patternFill patternType="solid">
        <fgColor rgb="FFF4EE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AFAFA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006F00"/>
        <bgColor rgb="FF006B00"/>
      </patternFill>
    </fill>
    <fill>
      <patternFill patternType="solid">
        <fgColor rgb="FF006400"/>
        <bgColor rgb="FF006700"/>
      </patternFill>
    </fill>
    <fill>
      <patternFill patternType="solid">
        <fgColor rgb="FF007300"/>
        <bgColor rgb="FF006F00"/>
      </patternFill>
    </fill>
    <fill>
      <patternFill patternType="solid">
        <fgColor rgb="FF007800"/>
        <bgColor rgb="FF007C00"/>
      </patternFill>
    </fill>
    <fill>
      <patternFill patternType="solid">
        <fgColor rgb="FF006700"/>
        <bgColor rgb="FF006400"/>
      </patternFill>
    </fill>
    <fill>
      <patternFill patternType="solid">
        <fgColor rgb="FF007C00"/>
        <bgColor rgb="FF008000"/>
      </patternFill>
    </fill>
    <fill>
      <patternFill patternType="solid">
        <fgColor rgb="FF006B00"/>
        <bgColor rgb="FF006700"/>
      </patternFill>
    </fill>
    <fill>
      <patternFill patternType="solid">
        <fgColor rgb="FF008000"/>
        <bgColor rgb="FF007C00"/>
      </patternFill>
    </fill>
    <fill>
      <patternFill patternType="solid">
        <fgColor rgb="FF008400"/>
        <bgColor rgb="FF008000"/>
      </patternFill>
    </fill>
    <fill>
      <patternFill patternType="solid">
        <fgColor rgb="FF008900"/>
        <bgColor rgb="FF0084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9" borderId="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3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/>
    </xf>
    <xf numFmtId="3" fontId="13" fillId="11" borderId="2" xfId="0" applyNumberFormat="1" applyFont="1" applyFill="1" applyBorder="1" applyAlignment="1">
      <alignment horizontal="center"/>
    </xf>
    <xf numFmtId="164" fontId="13" fillId="11" borderId="2" xfId="0" applyNumberFormat="1" applyFont="1" applyFill="1" applyBorder="1" applyAlignment="1">
      <alignment horizontal="center"/>
    </xf>
    <xf numFmtId="165" fontId="13" fillId="11" borderId="2" xfId="0" applyNumberFormat="1" applyFont="1" applyFill="1" applyBorder="1" applyAlignment="1">
      <alignment horizontal="center"/>
    </xf>
    <xf numFmtId="166" fontId="13" fillId="11" borderId="2" xfId="0" applyNumberFormat="1" applyFont="1" applyFill="1" applyBorder="1" applyAlignment="1">
      <alignment horizontal="center"/>
    </xf>
    <xf numFmtId="0" fontId="13" fillId="12" borderId="2" xfId="0" applyFont="1" applyFill="1" applyBorder="1" applyAlignment="1">
      <alignment horizontal="left"/>
    </xf>
    <xf numFmtId="3" fontId="13" fillId="12" borderId="2" xfId="0" applyNumberFormat="1" applyFont="1" applyFill="1" applyBorder="1" applyAlignment="1">
      <alignment horizontal="center"/>
    </xf>
    <xf numFmtId="164" fontId="13" fillId="12" borderId="2" xfId="0" applyNumberFormat="1" applyFont="1" applyFill="1" applyBorder="1" applyAlignment="1">
      <alignment horizontal="center"/>
    </xf>
    <xf numFmtId="165" fontId="13" fillId="12" borderId="2" xfId="0" applyNumberFormat="1" applyFont="1" applyFill="1" applyBorder="1" applyAlignment="1">
      <alignment horizontal="center"/>
    </xf>
    <xf numFmtId="166" fontId="13" fillId="12" borderId="2" xfId="0" applyNumberFormat="1" applyFont="1" applyFill="1" applyBorder="1" applyAlignment="1">
      <alignment horizontal="center"/>
    </xf>
    <xf numFmtId="0" fontId="13" fillId="13" borderId="2" xfId="0" applyFont="1" applyFill="1" applyBorder="1" applyAlignment="1">
      <alignment horizontal="left"/>
    </xf>
    <xf numFmtId="3" fontId="13" fillId="13" borderId="2" xfId="0" applyNumberFormat="1" applyFont="1" applyFill="1" applyBorder="1" applyAlignment="1">
      <alignment horizontal="center"/>
    </xf>
    <xf numFmtId="164" fontId="13" fillId="13" borderId="2" xfId="0" applyNumberFormat="1" applyFont="1" applyFill="1" applyBorder="1" applyAlignment="1">
      <alignment horizontal="center"/>
    </xf>
    <xf numFmtId="165" fontId="13" fillId="13" borderId="2" xfId="0" applyNumberFormat="1" applyFont="1" applyFill="1" applyBorder="1" applyAlignment="1">
      <alignment horizontal="center"/>
    </xf>
    <xf numFmtId="166" fontId="13" fillId="13" borderId="2" xfId="0" applyNumberFormat="1" applyFont="1" applyFill="1" applyBorder="1" applyAlignment="1">
      <alignment horizontal="center"/>
    </xf>
    <xf numFmtId="0" fontId="13" fillId="14" borderId="2" xfId="0" applyFont="1" applyFill="1" applyBorder="1" applyAlignment="1">
      <alignment horizontal="left"/>
    </xf>
    <xf numFmtId="3" fontId="13" fillId="14" borderId="2" xfId="0" applyNumberFormat="1" applyFont="1" applyFill="1" applyBorder="1" applyAlignment="1">
      <alignment horizontal="center"/>
    </xf>
    <xf numFmtId="164" fontId="13" fillId="14" borderId="2" xfId="0" applyNumberFormat="1" applyFont="1" applyFill="1" applyBorder="1" applyAlignment="1">
      <alignment horizontal="center"/>
    </xf>
    <xf numFmtId="165" fontId="13" fillId="14" borderId="2" xfId="0" applyNumberFormat="1" applyFont="1" applyFill="1" applyBorder="1" applyAlignment="1">
      <alignment horizontal="center"/>
    </xf>
    <xf numFmtId="166" fontId="13" fillId="14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167" fontId="15" fillId="11" borderId="2" xfId="0" applyNumberFormat="1" applyFont="1" applyFill="1" applyBorder="1" applyAlignment="1">
      <alignment horizontal="center" vertical="center"/>
    </xf>
    <xf numFmtId="165" fontId="15" fillId="11" borderId="2" xfId="0" applyNumberFormat="1" applyFont="1" applyFill="1" applyBorder="1" applyAlignment="1">
      <alignment horizontal="right" vertical="center"/>
    </xf>
    <xf numFmtId="164" fontId="15" fillId="11" borderId="2" xfId="0" applyNumberFormat="1" applyFont="1" applyFill="1" applyBorder="1" applyAlignment="1">
      <alignment horizontal="right" vertical="center"/>
    </xf>
    <xf numFmtId="166" fontId="15" fillId="11" borderId="2" xfId="0" applyNumberFormat="1" applyFont="1" applyFill="1" applyBorder="1" applyAlignment="1">
      <alignment horizontal="right" vertical="center"/>
    </xf>
    <xf numFmtId="2" fontId="15" fillId="11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167" fontId="15" fillId="12" borderId="2" xfId="0" applyNumberFormat="1" applyFont="1" applyFill="1" applyBorder="1" applyAlignment="1">
      <alignment horizontal="center" vertical="center"/>
    </xf>
    <xf numFmtId="165" fontId="15" fillId="12" borderId="2" xfId="0" applyNumberFormat="1" applyFont="1" applyFill="1" applyBorder="1" applyAlignment="1">
      <alignment horizontal="right" vertical="center"/>
    </xf>
    <xf numFmtId="164" fontId="15" fillId="12" borderId="2" xfId="0" applyNumberFormat="1" applyFont="1" applyFill="1" applyBorder="1" applyAlignment="1">
      <alignment horizontal="right" vertical="center"/>
    </xf>
    <xf numFmtId="166" fontId="15" fillId="12" borderId="2" xfId="0" applyNumberFormat="1" applyFont="1" applyFill="1" applyBorder="1" applyAlignment="1">
      <alignment horizontal="right" vertical="center"/>
    </xf>
    <xf numFmtId="2" fontId="15" fillId="12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167" fontId="15" fillId="14" borderId="2" xfId="0" applyNumberFormat="1" applyFont="1" applyFill="1" applyBorder="1" applyAlignment="1">
      <alignment horizontal="center" vertical="center"/>
    </xf>
    <xf numFmtId="165" fontId="15" fillId="14" borderId="2" xfId="0" applyNumberFormat="1" applyFont="1" applyFill="1" applyBorder="1" applyAlignment="1">
      <alignment horizontal="right" vertical="center"/>
    </xf>
    <xf numFmtId="164" fontId="15" fillId="14" borderId="2" xfId="0" applyNumberFormat="1" applyFont="1" applyFill="1" applyBorder="1" applyAlignment="1">
      <alignment horizontal="right" vertical="center"/>
    </xf>
    <xf numFmtId="166" fontId="15" fillId="14" borderId="2" xfId="0" applyNumberFormat="1" applyFont="1" applyFill="1" applyBorder="1" applyAlignment="1">
      <alignment horizontal="right" vertical="center"/>
    </xf>
    <xf numFmtId="2" fontId="15" fillId="14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167" fontId="15" fillId="13" borderId="2" xfId="0" applyNumberFormat="1" applyFont="1" applyFill="1" applyBorder="1" applyAlignment="1">
      <alignment horizontal="center" vertical="center"/>
    </xf>
    <xf numFmtId="165" fontId="15" fillId="13" borderId="2" xfId="0" applyNumberFormat="1" applyFont="1" applyFill="1" applyBorder="1" applyAlignment="1">
      <alignment horizontal="right" vertical="center"/>
    </xf>
    <xf numFmtId="164" fontId="15" fillId="13" borderId="2" xfId="0" applyNumberFormat="1" applyFont="1" applyFill="1" applyBorder="1" applyAlignment="1">
      <alignment horizontal="right" vertical="center"/>
    </xf>
    <xf numFmtId="166" fontId="15" fillId="13" borderId="2" xfId="0" applyNumberFormat="1" applyFont="1" applyFill="1" applyBorder="1" applyAlignment="1">
      <alignment horizontal="right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165" fontId="13" fillId="16" borderId="2" xfId="0" applyNumberFormat="1" applyFont="1" applyFill="1" applyBorder="1" applyAlignment="1">
      <alignment horizontal="center" vertical="center"/>
    </xf>
    <xf numFmtId="2" fontId="13" fillId="16" borderId="2" xfId="0" applyNumberFormat="1" applyFont="1" applyFill="1" applyBorder="1" applyAlignment="1">
      <alignment horizontal="center" vertical="center"/>
    </xf>
    <xf numFmtId="166" fontId="13" fillId="16" borderId="2" xfId="0" applyNumberFormat="1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165" fontId="13" fillId="17" borderId="2" xfId="0" applyNumberFormat="1" applyFont="1" applyFill="1" applyBorder="1" applyAlignment="1">
      <alignment horizontal="center" vertical="center"/>
    </xf>
    <xf numFmtId="2" fontId="13" fillId="17" borderId="2" xfId="0" applyNumberFormat="1" applyFont="1" applyFill="1" applyBorder="1" applyAlignment="1">
      <alignment horizontal="center" vertical="center"/>
    </xf>
    <xf numFmtId="166" fontId="13" fillId="17" borderId="2" xfId="0" applyNumberFormat="1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165" fontId="18" fillId="18" borderId="2" xfId="0" applyNumberFormat="1" applyFont="1" applyFill="1" applyBorder="1" applyAlignment="1">
      <alignment horizontal="center" vertical="center"/>
    </xf>
    <xf numFmtId="2" fontId="18" fillId="18" borderId="2" xfId="0" applyNumberFormat="1" applyFont="1" applyFill="1" applyBorder="1" applyAlignment="1">
      <alignment horizontal="center" vertical="center"/>
    </xf>
    <xf numFmtId="166" fontId="18" fillId="18" borderId="2" xfId="0" applyNumberFormat="1" applyFont="1" applyFill="1" applyBorder="1" applyAlignment="1">
      <alignment horizontal="center" vertical="center"/>
    </xf>
    <xf numFmtId="0" fontId="17" fillId="18" borderId="2" xfId="0" applyFont="1" applyFill="1" applyBorder="1" applyAlignment="1"/>
    <xf numFmtId="168" fontId="13" fillId="16" borderId="2" xfId="0" applyNumberFormat="1" applyFont="1" applyFill="1" applyBorder="1" applyAlignment="1">
      <alignment horizontal="center" vertical="center"/>
    </xf>
    <xf numFmtId="168" fontId="13" fillId="17" borderId="2" xfId="0" applyNumberFormat="1" applyFont="1" applyFill="1" applyBorder="1" applyAlignment="1">
      <alignment horizontal="center" vertical="center"/>
    </xf>
    <xf numFmtId="168" fontId="18" fillId="18" borderId="2" xfId="0" applyNumberFormat="1" applyFont="1" applyFill="1" applyBorder="1" applyAlignment="1">
      <alignment horizontal="center" vertical="center"/>
    </xf>
    <xf numFmtId="0" fontId="20" fillId="0" borderId="0" xfId="0" applyFont="1" applyAlignment="1"/>
    <xf numFmtId="0" fontId="12" fillId="3" borderId="0" xfId="0" applyFont="1" applyFill="1" applyAlignment="1">
      <alignment horizontal="left" vertical="center"/>
    </xf>
    <xf numFmtId="3" fontId="13" fillId="17" borderId="2" xfId="0" applyNumberFormat="1" applyFont="1" applyFill="1" applyBorder="1" applyAlignment="1">
      <alignment horizontal="center" vertical="center"/>
    </xf>
    <xf numFmtId="3" fontId="13" fillId="16" borderId="2" xfId="0" applyNumberFormat="1" applyFont="1" applyFill="1" applyBorder="1" applyAlignment="1">
      <alignment horizontal="center" vertical="center"/>
    </xf>
    <xf numFmtId="3" fontId="22" fillId="20" borderId="2" xfId="0" applyNumberFormat="1" applyFont="1" applyFill="1" applyBorder="1" applyAlignment="1">
      <alignment horizontal="right" vertical="center"/>
    </xf>
    <xf numFmtId="165" fontId="22" fillId="20" borderId="2" xfId="0" applyNumberFormat="1" applyFont="1" applyFill="1" applyBorder="1" applyAlignment="1">
      <alignment horizontal="right" vertical="center"/>
    </xf>
    <xf numFmtId="2" fontId="22" fillId="20" borderId="2" xfId="0" applyNumberFormat="1" applyFont="1" applyFill="1" applyBorder="1" applyAlignment="1">
      <alignment horizontal="right" vertical="center"/>
    </xf>
    <xf numFmtId="0" fontId="18" fillId="0" borderId="0" xfId="0" applyFont="1" applyAlignment="1"/>
    <xf numFmtId="165" fontId="13" fillId="20" borderId="2" xfId="0" applyNumberFormat="1" applyFont="1" applyFill="1" applyBorder="1" applyAlignment="1">
      <alignment horizontal="right"/>
    </xf>
    <xf numFmtId="2" fontId="13" fillId="20" borderId="2" xfId="0" applyNumberFormat="1" applyFont="1" applyFill="1" applyBorder="1" applyAlignment="1">
      <alignment horizontal="right"/>
    </xf>
    <xf numFmtId="0" fontId="13" fillId="17" borderId="2" xfId="0" applyFont="1" applyFill="1" applyBorder="1" applyAlignment="1">
      <alignment horizontal="left"/>
    </xf>
    <xf numFmtId="2" fontId="24" fillId="12" borderId="2" xfId="0" applyNumberFormat="1" applyFont="1" applyFill="1" applyBorder="1" applyAlignment="1">
      <alignment horizontal="right"/>
    </xf>
    <xf numFmtId="2" fontId="24" fillId="11" borderId="2" xfId="0" applyNumberFormat="1" applyFont="1" applyFill="1" applyBorder="1" applyAlignment="1">
      <alignment horizontal="right"/>
    </xf>
    <xf numFmtId="2" fontId="24" fillId="13" borderId="2" xfId="0" applyNumberFormat="1" applyFont="1" applyFill="1" applyBorder="1" applyAlignment="1">
      <alignment horizontal="right"/>
    </xf>
    <xf numFmtId="0" fontId="13" fillId="16" borderId="2" xfId="0" applyFont="1" applyFill="1" applyBorder="1" applyAlignment="1">
      <alignment horizontal="left"/>
    </xf>
    <xf numFmtId="165" fontId="24" fillId="12" borderId="2" xfId="0" applyNumberFormat="1" applyFont="1" applyFill="1" applyBorder="1" applyAlignment="1">
      <alignment horizontal="right"/>
    </xf>
    <xf numFmtId="165" fontId="24" fillId="11" borderId="2" xfId="0" applyNumberFormat="1" applyFont="1" applyFill="1" applyBorder="1" applyAlignment="1">
      <alignment horizontal="right"/>
    </xf>
    <xf numFmtId="165" fontId="24" fillId="13" borderId="2" xfId="0" applyNumberFormat="1" applyFont="1" applyFill="1" applyBorder="1" applyAlignment="1">
      <alignment horizontal="right"/>
    </xf>
    <xf numFmtId="0" fontId="18" fillId="22" borderId="2" xfId="0" applyFont="1" applyFill="1" applyBorder="1" applyAlignment="1">
      <alignment horizontal="left"/>
    </xf>
    <xf numFmtId="165" fontId="25" fillId="22" borderId="2" xfId="0" applyNumberFormat="1" applyFont="1" applyFill="1" applyBorder="1" applyAlignment="1">
      <alignment horizontal="right"/>
    </xf>
    <xf numFmtId="165" fontId="26" fillId="22" borderId="2" xfId="0" applyNumberFormat="1" applyFont="1" applyFill="1" applyBorder="1" applyAlignment="1">
      <alignment horizontal="right"/>
    </xf>
    <xf numFmtId="165" fontId="27" fillId="22" borderId="2" xfId="0" applyNumberFormat="1" applyFont="1" applyFill="1" applyBorder="1" applyAlignment="1">
      <alignment horizontal="right"/>
    </xf>
    <xf numFmtId="0" fontId="29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65" fontId="13" fillId="23" borderId="2" xfId="0" applyNumberFormat="1" applyFont="1" applyFill="1" applyBorder="1" applyAlignment="1">
      <alignment horizontal="right"/>
    </xf>
    <xf numFmtId="165" fontId="13" fillId="24" borderId="2" xfId="0" applyNumberFormat="1" applyFont="1" applyFill="1" applyBorder="1" applyAlignment="1">
      <alignment horizontal="right"/>
    </xf>
    <xf numFmtId="165" fontId="13" fillId="25" borderId="2" xfId="0" applyNumberFormat="1" applyFont="1" applyFill="1" applyBorder="1" applyAlignment="1">
      <alignment horizontal="right"/>
    </xf>
    <xf numFmtId="165" fontId="13" fillId="26" borderId="2" xfId="0" applyNumberFormat="1" applyFont="1" applyFill="1" applyBorder="1" applyAlignment="1">
      <alignment horizontal="right"/>
    </xf>
    <xf numFmtId="165" fontId="13" fillId="27" borderId="2" xfId="0" applyNumberFormat="1" applyFont="1" applyFill="1" applyBorder="1" applyAlignment="1">
      <alignment horizontal="right"/>
    </xf>
    <xf numFmtId="165" fontId="13" fillId="28" borderId="2" xfId="0" applyNumberFormat="1" applyFont="1" applyFill="1" applyBorder="1" applyAlignment="1">
      <alignment horizontal="right"/>
    </xf>
    <xf numFmtId="165" fontId="13" fillId="29" borderId="2" xfId="0" applyNumberFormat="1" applyFont="1" applyFill="1" applyBorder="1" applyAlignment="1">
      <alignment horizontal="right"/>
    </xf>
    <xf numFmtId="165" fontId="13" fillId="30" borderId="2" xfId="0" applyNumberFormat="1" applyFont="1" applyFill="1" applyBorder="1" applyAlignment="1">
      <alignment horizontal="right"/>
    </xf>
    <xf numFmtId="165" fontId="13" fillId="31" borderId="2" xfId="0" applyNumberFormat="1" applyFont="1" applyFill="1" applyBorder="1" applyAlignment="1">
      <alignment horizontal="right"/>
    </xf>
    <xf numFmtId="165" fontId="13" fillId="32" borderId="2" xfId="0" applyNumberFormat="1" applyFont="1" applyFill="1" applyBorder="1" applyAlignment="1">
      <alignment horizontal="right"/>
    </xf>
    <xf numFmtId="165" fontId="13" fillId="11" borderId="2" xfId="0" applyNumberFormat="1" applyFont="1" applyFill="1" applyBorder="1" applyAlignment="1">
      <alignment horizontal="right"/>
    </xf>
    <xf numFmtId="0" fontId="3" fillId="10" borderId="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1" fillId="19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0" fontId="18" fillId="17" borderId="2" xfId="0" applyFont="1" applyFill="1" applyBorder="1" applyAlignment="1">
      <alignment horizontal="left" vertical="center"/>
    </xf>
    <xf numFmtId="0" fontId="18" fillId="0" borderId="0" xfId="0" applyFont="1" applyBorder="1" applyAlignment="1"/>
    <xf numFmtId="0" fontId="18" fillId="17" borderId="2" xfId="0" applyFont="1" applyFill="1" applyBorder="1" applyAlignment="1"/>
    <xf numFmtId="0" fontId="7" fillId="21" borderId="2" xfId="0" applyFont="1" applyFill="1" applyBorder="1" applyAlignment="1"/>
    <xf numFmtId="0" fontId="23" fillId="19" borderId="0" xfId="0" applyFont="1" applyFill="1" applyBorder="1" applyAlignment="1">
      <alignment horizontal="left" vertical="center"/>
    </xf>
    <xf numFmtId="0" fontId="28" fillId="17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8900"/>
      <rgbColor rgb="FF0000FF"/>
      <rgbColor rgb="FFF9F9F9"/>
      <rgbColor rgb="FFFF00FF"/>
      <rgbColor rgb="FF00FFFF"/>
      <rgbColor rgb="FF9C0006"/>
      <rgbColor rgb="FF008000"/>
      <rgbColor rgb="FF006400"/>
      <rgbColor rgb="FF007800"/>
      <rgbColor rgb="FF800080"/>
      <rgbColor rgb="FF007C00"/>
      <rgbColor rgb="FFD9D9D9"/>
      <rgbColor rgb="FF878787"/>
      <rgbColor rgb="FF9999FF"/>
      <rgbColor rgb="FF7030A0"/>
      <rgbColor rgb="FFFFF2CC"/>
      <rgbColor rgb="FFDDEBF7"/>
      <rgbColor rgb="FF006B00"/>
      <rgbColor rgb="FFFF8080"/>
      <rgbColor rgb="FF2F5496"/>
      <rgbColor rgb="FFBDD7EE"/>
      <rgbColor rgb="FF006700"/>
      <rgbColor rgb="FFFF00FF"/>
      <rgbColor rgb="FFFAFAFA"/>
      <rgbColor rgb="FF00FFFF"/>
      <rgbColor rgb="FF800080"/>
      <rgbColor rgb="FF006F00"/>
      <rgbColor rgb="FF008400"/>
      <rgbColor rgb="FF0000FF"/>
      <rgbColor rgb="FF007300"/>
      <rgbColor rgb="FFEBF3FB"/>
      <rgbColor rgb="FFC6EFCE"/>
      <rgbColor rgb="FFFFEB9C"/>
      <rgbColor rgb="FFF0F0F0"/>
      <rgbColor rgb="FFF4EEFF"/>
      <rgbColor rgb="FFF2F2F2"/>
      <rgbColor rgb="FFFFC7CE"/>
      <rgbColor rgb="FF2E75B6"/>
      <rgbColor rgb="FF4BACC6"/>
      <rgbColor rgb="FF9BBB59"/>
      <rgbColor rgb="FFF8F9FA"/>
      <rgbColor rgb="FFFF9900"/>
      <rgbColor rgb="FFED7D31"/>
      <rgbColor rgb="FF8064A2"/>
      <rgbColor rgb="FF70AD47"/>
      <rgbColor rgb="FF1F3864"/>
      <rgbColor rgb="FF4F81BD"/>
      <rgbColor rgb="FF006100"/>
      <rgbColor rgb="FF595959"/>
      <rgbColor rgb="FF833C00"/>
      <rgbColor rgb="FFC0504D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Loan Issuance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Funded ($)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Charts!$A$4:$A$38</c:f>
              <c:strCache>
                <c:ptCount val="35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2023-07</c:v>
                </c:pt>
                <c:pt idx="30">
                  <c:v>2023-08</c:v>
                </c:pt>
                <c:pt idx="31">
                  <c:v>2023-09</c:v>
                </c:pt>
                <c:pt idx="32">
                  <c:v>2023-10</c:v>
                </c:pt>
                <c:pt idx="33">
                  <c:v>2023-11</c:v>
                </c:pt>
                <c:pt idx="34">
                  <c:v>2023-12</c:v>
                </c:pt>
              </c:strCache>
            </c:strRef>
          </c:cat>
          <c:val>
            <c:numRef>
              <c:f>Charts!$B$4:$B$39</c:f>
              <c:numCache>
                <c:formatCode>General</c:formatCode>
                <c:ptCount val="36"/>
                <c:pt idx="0">
                  <c:v>801188</c:v>
                </c:pt>
                <c:pt idx="1">
                  <c:v>695282</c:v>
                </c:pt>
                <c:pt idx="2">
                  <c:v>531667</c:v>
                </c:pt>
                <c:pt idx="3">
                  <c:v>787121</c:v>
                </c:pt>
                <c:pt idx="4">
                  <c:v>634756</c:v>
                </c:pt>
                <c:pt idx="5">
                  <c:v>481893</c:v>
                </c:pt>
                <c:pt idx="6">
                  <c:v>510200</c:v>
                </c:pt>
                <c:pt idx="7">
                  <c:v>546366</c:v>
                </c:pt>
                <c:pt idx="8">
                  <c:v>515496</c:v>
                </c:pt>
                <c:pt idx="9">
                  <c:v>359820</c:v>
                </c:pt>
                <c:pt idx="10">
                  <c:v>427177</c:v>
                </c:pt>
                <c:pt idx="11">
                  <c:v>425361</c:v>
                </c:pt>
                <c:pt idx="12">
                  <c:v>509775</c:v>
                </c:pt>
                <c:pt idx="13">
                  <c:v>490831</c:v>
                </c:pt>
                <c:pt idx="14">
                  <c:v>349240</c:v>
                </c:pt>
                <c:pt idx="15">
                  <c:v>647344</c:v>
                </c:pt>
                <c:pt idx="16">
                  <c:v>613137</c:v>
                </c:pt>
                <c:pt idx="17">
                  <c:v>457945</c:v>
                </c:pt>
                <c:pt idx="18">
                  <c:v>553111</c:v>
                </c:pt>
                <c:pt idx="19">
                  <c:v>407113</c:v>
                </c:pt>
                <c:pt idx="20">
                  <c:v>524638</c:v>
                </c:pt>
                <c:pt idx="21">
                  <c:v>745056</c:v>
                </c:pt>
                <c:pt idx="22">
                  <c:v>577691</c:v>
                </c:pt>
                <c:pt idx="23">
                  <c:v>804709</c:v>
                </c:pt>
                <c:pt idx="24">
                  <c:v>781776</c:v>
                </c:pt>
                <c:pt idx="25">
                  <c:v>569847</c:v>
                </c:pt>
                <c:pt idx="26">
                  <c:v>849552</c:v>
                </c:pt>
                <c:pt idx="27">
                  <c:v>731409</c:v>
                </c:pt>
                <c:pt idx="28">
                  <c:v>563904</c:v>
                </c:pt>
                <c:pt idx="29">
                  <c:v>543497</c:v>
                </c:pt>
                <c:pt idx="30">
                  <c:v>533054</c:v>
                </c:pt>
                <c:pt idx="31">
                  <c:v>695543</c:v>
                </c:pt>
                <c:pt idx="32">
                  <c:v>471306</c:v>
                </c:pt>
                <c:pt idx="33">
                  <c:v>886443</c:v>
                </c:pt>
                <c:pt idx="34">
                  <c:v>546421</c:v>
                </c:pt>
                <c:pt idx="35">
                  <c:v>685875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2A-4654-A981-209E66D82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05987"/>
        <c:axId val="86165917"/>
      </c:lineChart>
      <c:catAx>
        <c:axId val="9205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65917"/>
        <c:crosses val="autoZero"/>
        <c:auto val="1"/>
        <c:lblAlgn val="ctr"/>
        <c:lblOffset val="100"/>
        <c:noMultiLvlLbl val="0"/>
      </c:catAx>
      <c:valAx>
        <c:axId val="86165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Funded 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5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Count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# Loans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Charts!$E$4:$E$10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Charts!$F$4:$F$10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B-442D-9E85-FC342701E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1200"/>
        <c:axId val="51575443"/>
      </c:barChart>
      <c:catAx>
        <c:axId val="6721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Loan 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75443"/>
        <c:crosses val="autoZero"/>
        <c:auto val="1"/>
        <c:lblAlgn val="ctr"/>
        <c:lblOffset val="100"/>
        <c:noMultiLvlLbl val="0"/>
      </c:catAx>
      <c:valAx>
        <c:axId val="51575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Loans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1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Portfolio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Charts!$J$3</c:f>
              <c:strCache>
                <c:ptCount val="1"/>
                <c:pt idx="0">
                  <c:v># Loans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95A-4BB2-A378-5FFAD404A2E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95A-4BB2-A378-5FFAD404A2E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95A-4BB2-A378-5FFAD404A2E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95A-4BB2-A378-5FFAD404A2E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95A-4BB2-A378-5FFAD404A2E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95A-4BB2-A378-5FFAD404A2E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95A-4BB2-A378-5FFAD404A2E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95A-4BB2-A378-5FFAD404A2E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95A-4BB2-A378-5FFAD404A2E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95A-4BB2-A378-5FFAD404A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Charts!$I$4:$I$8</c:f>
              <c:strCache>
                <c:ptCount val="5"/>
                <c:pt idx="0">
                  <c:v>Charged Off</c:v>
                </c:pt>
                <c:pt idx="1">
                  <c:v>Current</c:v>
                </c:pt>
                <c:pt idx="2">
                  <c:v>Fully Paid</c:v>
                </c:pt>
                <c:pt idx="3">
                  <c:v>In Grace Period</c:v>
                </c:pt>
                <c:pt idx="4">
                  <c:v>Late (31-120 days)</c:v>
                </c:pt>
              </c:strCache>
            </c:strRef>
          </c:cat>
          <c:val>
            <c:numRef>
              <c:f>Charts!$J$4:$J$8</c:f>
              <c:numCache>
                <c:formatCode>General</c:formatCode>
                <c:ptCount val="5"/>
                <c:pt idx="0">
                  <c:v>105</c:v>
                </c:pt>
                <c:pt idx="1">
                  <c:v>310</c:v>
                </c:pt>
                <c:pt idx="2">
                  <c:v>541</c:v>
                </c:pt>
                <c:pt idx="3">
                  <c:v>11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5A-4BB2-A378-5FFAD404A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Funded by Loan Intent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Charts!$O$3</c:f>
              <c:strCache>
                <c:ptCount val="1"/>
                <c:pt idx="0">
                  <c:v>Total Funded ($)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Charts!$M$4:$M$8</c:f>
              <c:strCache>
                <c:ptCount val="5"/>
                <c:pt idx="0">
                  <c:v>Credit Card</c:v>
                </c:pt>
                <c:pt idx="1">
                  <c:v>Debt Consolidation</c:v>
                </c:pt>
                <c:pt idx="2">
                  <c:v>Home Improvement</c:v>
                </c:pt>
                <c:pt idx="3">
                  <c:v>Other</c:v>
                </c:pt>
                <c:pt idx="4">
                  <c:v>Small Business</c:v>
                </c:pt>
              </c:strCache>
            </c:strRef>
          </c:cat>
          <c:val>
            <c:numRef>
              <c:f>Charts!$O$4:$O$8</c:f>
              <c:numCache>
                <c:formatCode>General</c:formatCode>
                <c:ptCount val="5"/>
                <c:pt idx="0">
                  <c:v>4212767</c:v>
                </c:pt>
                <c:pt idx="1">
                  <c:v>3788403</c:v>
                </c:pt>
                <c:pt idx="2">
                  <c:v>4371262</c:v>
                </c:pt>
                <c:pt idx="3">
                  <c:v>4432165</c:v>
                </c:pt>
                <c:pt idx="4">
                  <c:v>4450947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1-49E7-A29E-FC5AA181B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0448"/>
        <c:axId val="9886770"/>
      </c:barChart>
      <c:catAx>
        <c:axId val="71704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Funded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6770"/>
        <c:crosses val="autoZero"/>
        <c:auto val="1"/>
        <c:lblAlgn val="ctr"/>
        <c:lblOffset val="100"/>
        <c:noMultiLvlLbl val="0"/>
      </c:catAx>
      <c:valAx>
        <c:axId val="98867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Loan Intent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70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Funded Amount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Charts!$G$3</c:f>
              <c:strCache>
                <c:ptCount val="1"/>
                <c:pt idx="0">
                  <c:v>Total Funded ($)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Charts!$E$4:$E$10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Charts!$G$4:$G$10</c:f>
              <c:numCache>
                <c:formatCode>General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7-4D01-B58E-0385F741F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9709"/>
        <c:axId val="70693878"/>
      </c:barChart>
      <c:catAx>
        <c:axId val="7729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Loan 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693878"/>
        <c:crosses val="autoZero"/>
        <c:auto val="1"/>
        <c:lblAlgn val="ctr"/>
        <c:lblOffset val="100"/>
        <c:noMultiLvlLbl val="0"/>
      </c:catAx>
      <c:valAx>
        <c:axId val="706938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Funded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9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States by Total Funded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 Analysis'!$L$3</c:f>
              <c:strCache>
                <c:ptCount val="1"/>
                <c:pt idx="0">
                  <c:v>Total Funded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'Geographic Analysis'!$K$4:$K$13</c:f>
              <c:strCache>
                <c:ptCount val="10"/>
                <c:pt idx="0">
                  <c:v>OH</c:v>
                </c:pt>
                <c:pt idx="1">
                  <c:v>GA</c:v>
                </c:pt>
                <c:pt idx="2">
                  <c:v>CA</c:v>
                </c:pt>
                <c:pt idx="3">
                  <c:v>NC</c:v>
                </c:pt>
                <c:pt idx="4">
                  <c:v>MI</c:v>
                </c:pt>
                <c:pt idx="5">
                  <c:v>PA</c:v>
                </c:pt>
                <c:pt idx="6">
                  <c:v>TX</c:v>
                </c:pt>
                <c:pt idx="7">
                  <c:v>IL</c:v>
                </c:pt>
                <c:pt idx="8">
                  <c:v>NY</c:v>
                </c:pt>
                <c:pt idx="9">
                  <c:v>FL</c:v>
                </c:pt>
              </c:strCache>
            </c:strRef>
          </c:cat>
          <c:val>
            <c:numRef>
              <c:f>'Geographic Analysis'!$L$4:$L$13</c:f>
              <c:numCache>
                <c:formatCode>General</c:formatCode>
                <c:ptCount val="10"/>
                <c:pt idx="0">
                  <c:v>2551617</c:v>
                </c:pt>
                <c:pt idx="1">
                  <c:v>2310129</c:v>
                </c:pt>
                <c:pt idx="2">
                  <c:v>2261248</c:v>
                </c:pt>
                <c:pt idx="3">
                  <c:v>2199731</c:v>
                </c:pt>
                <c:pt idx="4">
                  <c:v>2108219</c:v>
                </c:pt>
                <c:pt idx="5">
                  <c:v>2056686</c:v>
                </c:pt>
                <c:pt idx="6">
                  <c:v>2034631</c:v>
                </c:pt>
                <c:pt idx="7">
                  <c:v>2005298</c:v>
                </c:pt>
                <c:pt idx="8">
                  <c:v>1981495</c:v>
                </c:pt>
                <c:pt idx="9">
                  <c:v>1746490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1-4163-85E0-1DFBCA4B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88520"/>
        <c:axId val="34896485"/>
      </c:barChart>
      <c:catAx>
        <c:axId val="397885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Funded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896485"/>
        <c:crosses val="autoZero"/>
        <c:auto val="1"/>
        <c:lblAlgn val="ctr"/>
        <c:lblOffset val="100"/>
        <c:noMultiLvlLbl val="0"/>
      </c:catAx>
      <c:valAx>
        <c:axId val="348964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88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45720</xdr:rowOff>
    </xdr:from>
    <xdr:to>
      <xdr:col>10</xdr:col>
      <xdr:colOff>381000</xdr:colOff>
      <xdr:row>76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34</xdr:row>
      <xdr:rowOff>0</xdr:rowOff>
    </xdr:from>
    <xdr:to>
      <xdr:col>22</xdr:col>
      <xdr:colOff>364320</xdr:colOff>
      <xdr:row>60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78</xdr:row>
      <xdr:rowOff>175260</xdr:rowOff>
    </xdr:from>
    <xdr:to>
      <xdr:col>9</xdr:col>
      <xdr:colOff>411480</xdr:colOff>
      <xdr:row>100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64</xdr:row>
      <xdr:rowOff>53340</xdr:rowOff>
    </xdr:from>
    <xdr:to>
      <xdr:col>21</xdr:col>
      <xdr:colOff>289560</xdr:colOff>
      <xdr:row>92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106</xdr:row>
      <xdr:rowOff>106680</xdr:rowOff>
    </xdr:from>
    <xdr:to>
      <xdr:col>9</xdr:col>
      <xdr:colOff>220980</xdr:colOff>
      <xdr:row>119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22</xdr:col>
      <xdr:colOff>581400</xdr:colOff>
      <xdr:row>45</xdr:row>
      <xdr:rowOff>44280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S79"/>
  <sheetViews>
    <sheetView showGridLines="0" zoomScaleNormal="100" workbookViewId="0">
      <selection sqref="A1:S3"/>
    </sheetView>
  </sheetViews>
  <sheetFormatPr defaultColWidth="8.6640625" defaultRowHeight="14.4" x14ac:dyDescent="0.3"/>
  <cols>
    <col min="1" max="19" width="14" style="15" customWidth="1"/>
  </cols>
  <sheetData>
    <row r="1" spans="1:19" ht="39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39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39.7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21.75" customHeight="1" x14ac:dyDescent="0.3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8" customHeight="1" x14ac:dyDescent="0.3"/>
    <row r="6" spans="1:19" ht="18" customHeight="1" x14ac:dyDescent="0.3">
      <c r="A6" s="12" t="s">
        <v>2</v>
      </c>
      <c r="B6" s="12"/>
      <c r="C6" s="12"/>
      <c r="D6" s="12"/>
      <c r="E6" s="12"/>
      <c r="F6" s="12"/>
      <c r="G6" s="11" t="s">
        <v>3</v>
      </c>
      <c r="H6" s="11"/>
      <c r="I6" s="11"/>
      <c r="J6" s="11"/>
      <c r="K6" s="11"/>
      <c r="L6" s="11"/>
      <c r="M6" s="10" t="s">
        <v>4</v>
      </c>
      <c r="N6" s="10"/>
      <c r="O6" s="10"/>
      <c r="P6" s="10"/>
      <c r="Q6" s="10"/>
      <c r="R6" s="10"/>
    </row>
    <row r="7" spans="1:19" ht="18" customHeight="1" x14ac:dyDescent="0.3">
      <c r="A7" s="9" t="s">
        <v>5</v>
      </c>
      <c r="B7" s="9"/>
      <c r="C7" s="9"/>
      <c r="D7" s="9"/>
      <c r="E7" s="9"/>
      <c r="F7" s="9"/>
      <c r="G7" s="8" t="s">
        <v>6</v>
      </c>
      <c r="H7" s="8"/>
      <c r="I7" s="8"/>
      <c r="J7" s="8"/>
      <c r="K7" s="8"/>
      <c r="L7" s="8"/>
      <c r="M7" s="7" t="s">
        <v>7</v>
      </c>
      <c r="N7" s="7"/>
      <c r="O7" s="7"/>
      <c r="P7" s="7"/>
      <c r="Q7" s="7"/>
      <c r="R7" s="7"/>
    </row>
    <row r="8" spans="1:19" ht="18" customHeight="1" x14ac:dyDescent="0.3">
      <c r="A8" s="9"/>
      <c r="B8" s="9"/>
      <c r="C8" s="9"/>
      <c r="D8" s="9"/>
      <c r="E8" s="9"/>
      <c r="F8" s="9"/>
      <c r="G8" s="8"/>
      <c r="H8" s="8"/>
      <c r="I8" s="8"/>
      <c r="J8" s="8"/>
      <c r="K8" s="8"/>
      <c r="L8" s="8"/>
      <c r="M8" s="7"/>
      <c r="N8" s="7"/>
      <c r="O8" s="7"/>
      <c r="P8" s="7"/>
      <c r="Q8" s="7"/>
      <c r="R8" s="7"/>
    </row>
    <row r="9" spans="1:19" ht="18" customHeight="1" x14ac:dyDescent="0.3">
      <c r="A9" s="6" t="s">
        <v>8</v>
      </c>
      <c r="B9" s="6"/>
      <c r="C9" s="6"/>
      <c r="D9" s="6"/>
      <c r="E9" s="6"/>
      <c r="F9" s="6"/>
      <c r="G9" s="6" t="s">
        <v>9</v>
      </c>
      <c r="H9" s="6"/>
      <c r="I9" s="6"/>
      <c r="J9" s="6"/>
      <c r="K9" s="6"/>
      <c r="L9" s="6"/>
      <c r="M9" s="6" t="s">
        <v>10</v>
      </c>
      <c r="N9" s="6"/>
      <c r="O9" s="6"/>
      <c r="P9" s="6"/>
      <c r="Q9" s="6"/>
      <c r="R9" s="6"/>
    </row>
    <row r="10" spans="1:19" ht="18" customHeight="1" x14ac:dyDescent="0.3"/>
    <row r="11" spans="1:19" ht="18" customHeight="1" x14ac:dyDescent="0.3">
      <c r="A11" s="5" t="s">
        <v>11</v>
      </c>
      <c r="B11" s="5"/>
      <c r="C11" s="5"/>
      <c r="D11" s="5"/>
      <c r="E11" s="5"/>
      <c r="F11" s="5"/>
      <c r="G11" s="4" t="s">
        <v>12</v>
      </c>
      <c r="H11" s="4"/>
      <c r="I11" s="4"/>
      <c r="J11" s="4"/>
      <c r="K11" s="4"/>
      <c r="L11" s="4"/>
      <c r="M11" s="10" t="s">
        <v>13</v>
      </c>
      <c r="N11" s="10"/>
      <c r="O11" s="10"/>
      <c r="P11" s="10"/>
      <c r="Q11" s="10"/>
      <c r="R11" s="10"/>
    </row>
    <row r="12" spans="1:19" ht="18" customHeight="1" x14ac:dyDescent="0.3">
      <c r="A12" s="3" t="s">
        <v>14</v>
      </c>
      <c r="B12" s="3"/>
      <c r="C12" s="3"/>
      <c r="D12" s="3"/>
      <c r="E12" s="3"/>
      <c r="F12" s="3"/>
      <c r="G12" s="2" t="s">
        <v>15</v>
      </c>
      <c r="H12" s="2"/>
      <c r="I12" s="2"/>
      <c r="J12" s="2"/>
      <c r="K12" s="2"/>
      <c r="L12" s="2"/>
      <c r="M12" s="7" t="s">
        <v>16</v>
      </c>
      <c r="N12" s="7"/>
      <c r="O12" s="7"/>
      <c r="P12" s="7"/>
      <c r="Q12" s="7"/>
      <c r="R12" s="7"/>
    </row>
    <row r="13" spans="1:19" ht="18" customHeight="1" x14ac:dyDescent="0.3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7"/>
      <c r="N13" s="7"/>
      <c r="O13" s="7"/>
      <c r="P13" s="7"/>
      <c r="Q13" s="7"/>
      <c r="R13" s="7"/>
    </row>
    <row r="14" spans="1:19" ht="18" customHeight="1" x14ac:dyDescent="0.3">
      <c r="A14" s="6" t="s">
        <v>17</v>
      </c>
      <c r="B14" s="6"/>
      <c r="C14" s="6"/>
      <c r="D14" s="6"/>
      <c r="E14" s="6"/>
      <c r="F14" s="6"/>
      <c r="G14" s="6" t="s">
        <v>18</v>
      </c>
      <c r="H14" s="6"/>
      <c r="I14" s="6"/>
      <c r="J14" s="6"/>
      <c r="K14" s="6"/>
      <c r="L14" s="6"/>
      <c r="M14" s="6" t="s">
        <v>19</v>
      </c>
      <c r="N14" s="6"/>
      <c r="O14" s="6"/>
      <c r="P14" s="6"/>
      <c r="Q14" s="6"/>
      <c r="R14" s="6"/>
    </row>
    <row r="15" spans="1:19" ht="18" customHeight="1" x14ac:dyDescent="0.3"/>
    <row r="16" spans="1:19" ht="18" customHeight="1" x14ac:dyDescent="0.3">
      <c r="A16" s="1" t="s">
        <v>20</v>
      </c>
      <c r="B16" s="1"/>
      <c r="C16" s="1"/>
      <c r="D16" s="1"/>
      <c r="E16" s="1"/>
      <c r="F16" s="1"/>
      <c r="G16" s="1" t="s">
        <v>21</v>
      </c>
      <c r="H16" s="1"/>
      <c r="I16" s="1"/>
      <c r="J16" s="1"/>
      <c r="K16" s="1"/>
      <c r="L16" s="1"/>
      <c r="M16" s="115" t="s">
        <v>22</v>
      </c>
      <c r="N16" s="115"/>
      <c r="O16" s="115"/>
      <c r="P16" s="115"/>
      <c r="Q16" s="115"/>
      <c r="R16" s="115"/>
    </row>
    <row r="17" spans="1:18" ht="18" customHeight="1" x14ac:dyDescent="0.3">
      <c r="A17" s="116" t="s">
        <v>23</v>
      </c>
      <c r="B17" s="116"/>
      <c r="C17" s="116"/>
      <c r="D17" s="116"/>
      <c r="E17" s="116"/>
      <c r="F17" s="116"/>
      <c r="G17" s="116" t="s">
        <v>24</v>
      </c>
      <c r="H17" s="116"/>
      <c r="I17" s="116"/>
      <c r="J17" s="116"/>
      <c r="K17" s="116"/>
      <c r="L17" s="116"/>
      <c r="M17" s="117" t="s">
        <v>25</v>
      </c>
      <c r="N17" s="117"/>
      <c r="O17" s="117"/>
      <c r="P17" s="117"/>
      <c r="Q17" s="117"/>
      <c r="R17" s="117"/>
    </row>
    <row r="18" spans="1:18" ht="18" customHeight="1" x14ac:dyDescent="0.3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7"/>
      <c r="N18" s="117"/>
      <c r="O18" s="117"/>
      <c r="P18" s="117"/>
      <c r="Q18" s="117"/>
      <c r="R18" s="117"/>
    </row>
    <row r="19" spans="1:18" ht="18" customHeight="1" x14ac:dyDescent="0.3">
      <c r="A19" s="6" t="s">
        <v>26</v>
      </c>
      <c r="B19" s="6"/>
      <c r="C19" s="6"/>
      <c r="D19" s="6"/>
      <c r="E19" s="6"/>
      <c r="F19" s="6"/>
      <c r="G19" s="6" t="s">
        <v>27</v>
      </c>
      <c r="H19" s="6"/>
      <c r="I19" s="6"/>
      <c r="J19" s="6"/>
      <c r="K19" s="6"/>
      <c r="L19" s="6"/>
      <c r="M19" s="6" t="s">
        <v>28</v>
      </c>
      <c r="N19" s="6"/>
      <c r="O19" s="6"/>
      <c r="P19" s="6"/>
      <c r="Q19" s="6"/>
      <c r="R19" s="6"/>
    </row>
    <row r="20" spans="1:18" ht="18" customHeight="1" x14ac:dyDescent="0.3"/>
    <row r="21" spans="1:18" ht="18" customHeight="1" x14ac:dyDescent="0.3"/>
    <row r="22" spans="1:18" ht="18" customHeight="1" x14ac:dyDescent="0.3"/>
    <row r="23" spans="1:18" ht="18" customHeight="1" x14ac:dyDescent="0.3">
      <c r="A23" s="118" t="s">
        <v>29</v>
      </c>
      <c r="B23" s="118"/>
      <c r="C23" s="118"/>
      <c r="D23" s="118"/>
      <c r="E23" s="118"/>
      <c r="F23" s="118"/>
      <c r="G23" s="118"/>
      <c r="H23" s="118"/>
      <c r="I23" s="118"/>
      <c r="J23" s="118"/>
    </row>
    <row r="24" spans="1:18" ht="18" customHeight="1" x14ac:dyDescent="0.3">
      <c r="A24" s="16" t="s">
        <v>30</v>
      </c>
      <c r="B24" s="16" t="s">
        <v>31</v>
      </c>
      <c r="C24" s="16" t="s">
        <v>32</v>
      </c>
      <c r="D24" s="16" t="s">
        <v>3</v>
      </c>
      <c r="E24" s="16" t="s">
        <v>33</v>
      </c>
      <c r="F24" s="16" t="s">
        <v>34</v>
      </c>
    </row>
    <row r="25" spans="1:18" ht="18" customHeight="1" x14ac:dyDescent="0.3">
      <c r="A25" s="17" t="s">
        <v>35</v>
      </c>
      <c r="B25" s="18">
        <v>541</v>
      </c>
      <c r="C25" s="19">
        <v>0.54100000000000004</v>
      </c>
      <c r="D25" s="20">
        <v>11729795</v>
      </c>
      <c r="E25" s="20">
        <v>21681.691312384501</v>
      </c>
      <c r="F25" s="21">
        <v>1730082.05</v>
      </c>
    </row>
    <row r="26" spans="1:18" ht="18" customHeight="1" x14ac:dyDescent="0.3">
      <c r="A26" s="22" t="s">
        <v>36</v>
      </c>
      <c r="B26" s="23">
        <v>310</v>
      </c>
      <c r="C26" s="24">
        <v>0.31</v>
      </c>
      <c r="D26" s="25">
        <v>6467779</v>
      </c>
      <c r="E26" s="25">
        <v>20863.8032258065</v>
      </c>
      <c r="F26" s="26">
        <v>-4727245.83</v>
      </c>
    </row>
    <row r="27" spans="1:18" ht="18" customHeight="1" x14ac:dyDescent="0.3">
      <c r="A27" s="27" t="s">
        <v>37</v>
      </c>
      <c r="B27" s="28">
        <v>105</v>
      </c>
      <c r="C27" s="29">
        <v>0.105</v>
      </c>
      <c r="D27" s="30">
        <v>2112176</v>
      </c>
      <c r="E27" s="30">
        <v>20115.961904761902</v>
      </c>
      <c r="F27" s="31">
        <v>-1503227.4</v>
      </c>
    </row>
    <row r="28" spans="1:18" ht="18" customHeight="1" x14ac:dyDescent="0.3">
      <c r="A28" s="32" t="s">
        <v>38</v>
      </c>
      <c r="B28" s="33">
        <v>33</v>
      </c>
      <c r="C28" s="34">
        <v>3.3000000000000002E-2</v>
      </c>
      <c r="D28" s="35">
        <v>697676</v>
      </c>
      <c r="E28" s="35">
        <v>21141.696969697001</v>
      </c>
      <c r="F28" s="36">
        <v>-697676</v>
      </c>
    </row>
    <row r="29" spans="1:18" ht="18" customHeight="1" x14ac:dyDescent="0.3">
      <c r="A29" s="32" t="s">
        <v>39</v>
      </c>
      <c r="B29" s="33">
        <v>11</v>
      </c>
      <c r="C29" s="34">
        <v>1.0999999999999999E-2</v>
      </c>
      <c r="D29" s="35">
        <v>248118</v>
      </c>
      <c r="E29" s="35">
        <v>22556.181818181802</v>
      </c>
      <c r="F29" s="36">
        <v>-248118</v>
      </c>
    </row>
    <row r="30" spans="1:18" ht="18" customHeight="1" x14ac:dyDescent="0.3"/>
    <row r="31" spans="1:18" ht="18" customHeight="1" x14ac:dyDescent="0.3"/>
    <row r="32" spans="1:18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30">
    <mergeCell ref="A23:J23"/>
    <mergeCell ref="A17:F18"/>
    <mergeCell ref="G17:L18"/>
    <mergeCell ref="M17:R18"/>
    <mergeCell ref="A19:F19"/>
    <mergeCell ref="G19:L19"/>
    <mergeCell ref="M19:R19"/>
    <mergeCell ref="A14:F14"/>
    <mergeCell ref="G14:L14"/>
    <mergeCell ref="M14:R14"/>
    <mergeCell ref="A16:F16"/>
    <mergeCell ref="G16:L16"/>
    <mergeCell ref="M16:R16"/>
    <mergeCell ref="A11:F11"/>
    <mergeCell ref="G11:L11"/>
    <mergeCell ref="M11:R11"/>
    <mergeCell ref="A12:F13"/>
    <mergeCell ref="G12:L13"/>
    <mergeCell ref="M12:R13"/>
    <mergeCell ref="A7:F8"/>
    <mergeCell ref="G7:L8"/>
    <mergeCell ref="M7:R8"/>
    <mergeCell ref="A9:F9"/>
    <mergeCell ref="G9:L9"/>
    <mergeCell ref="M9:R9"/>
    <mergeCell ref="A1:S3"/>
    <mergeCell ref="A4:S4"/>
    <mergeCell ref="A6:F6"/>
    <mergeCell ref="G6:L6"/>
    <mergeCell ref="M6:R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2"/>
  <sheetViews>
    <sheetView zoomScaleNormal="100" workbookViewId="0">
      <pane ySplit="2" topLeftCell="A3" activePane="bottomLeft" state="frozen"/>
      <selection pane="bottomLeft" activeCell="J26" sqref="J26"/>
    </sheetView>
  </sheetViews>
  <sheetFormatPr defaultColWidth="8.6640625" defaultRowHeight="14.4" x14ac:dyDescent="0.3"/>
  <cols>
    <col min="1" max="1" width="11.21875" style="15" customWidth="1"/>
    <col min="2" max="2" width="14" style="15" customWidth="1"/>
    <col min="3" max="3" width="17" style="15" customWidth="1"/>
    <col min="4" max="4" width="13.6640625" style="15" customWidth="1"/>
    <col min="5" max="5" width="19.6640625" style="15" customWidth="1"/>
    <col min="6" max="6" width="16.44140625" style="15" customWidth="1"/>
    <col min="7" max="7" width="17.33203125" style="15" customWidth="1"/>
    <col min="8" max="8" width="20" style="15" customWidth="1"/>
    <col min="9" max="9" width="14.5546875" style="15" customWidth="1"/>
    <col min="10" max="10" width="26.6640625" style="15" customWidth="1"/>
    <col min="11" max="11" width="19.6640625" style="15" customWidth="1"/>
    <col min="12" max="12" width="21.88671875" style="15" customWidth="1"/>
    <col min="13" max="13" width="12.88671875" style="15" customWidth="1"/>
    <col min="14" max="14" width="13.109375" style="15" customWidth="1"/>
    <col min="15" max="15" width="27" style="15" customWidth="1"/>
    <col min="16" max="16" width="26.109375" style="15" customWidth="1"/>
  </cols>
  <sheetData>
    <row r="1" spans="1:16" ht="27.75" customHeight="1" x14ac:dyDescent="0.3">
      <c r="A1" s="119" t="s">
        <v>40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ht="18" customHeight="1" x14ac:dyDescent="0.3">
      <c r="A2" s="37" t="s">
        <v>41</v>
      </c>
      <c r="B2" s="37" t="s">
        <v>42</v>
      </c>
      <c r="C2" s="37" t="s">
        <v>43</v>
      </c>
      <c r="D2" s="37" t="s">
        <v>44</v>
      </c>
      <c r="E2" s="37" t="s">
        <v>45</v>
      </c>
      <c r="F2" s="37" t="s">
        <v>46</v>
      </c>
      <c r="G2" s="37" t="s">
        <v>47</v>
      </c>
      <c r="H2" s="37" t="s">
        <v>48</v>
      </c>
      <c r="I2" s="37" t="s">
        <v>49</v>
      </c>
      <c r="J2" s="37" t="s">
        <v>50</v>
      </c>
      <c r="K2" s="37" t="s">
        <v>51</v>
      </c>
      <c r="L2" s="37" t="s">
        <v>52</v>
      </c>
      <c r="M2" s="37" t="s">
        <v>53</v>
      </c>
      <c r="N2" s="37" t="s">
        <v>54</v>
      </c>
      <c r="O2" s="37" t="s">
        <v>55</v>
      </c>
      <c r="P2" s="37" t="s">
        <v>56</v>
      </c>
    </row>
    <row r="3" spans="1:16" ht="15" customHeight="1" x14ac:dyDescent="0.3">
      <c r="A3" s="38" t="s">
        <v>57</v>
      </c>
      <c r="B3" s="39">
        <v>44197</v>
      </c>
      <c r="C3" s="38" t="s">
        <v>58</v>
      </c>
      <c r="D3" s="38" t="s">
        <v>59</v>
      </c>
      <c r="E3" s="40">
        <v>15135</v>
      </c>
      <c r="F3" s="41">
        <v>6.8000000000000005E-2</v>
      </c>
      <c r="G3" s="38">
        <v>60</v>
      </c>
      <c r="H3" s="38" t="s">
        <v>35</v>
      </c>
      <c r="I3" s="38" t="s">
        <v>60</v>
      </c>
      <c r="J3" s="38" t="s">
        <v>61</v>
      </c>
      <c r="K3" s="42">
        <v>50527</v>
      </c>
      <c r="L3" s="38" t="s">
        <v>62</v>
      </c>
      <c r="M3" s="43">
        <v>0.5</v>
      </c>
      <c r="N3" s="43">
        <v>0.57999999999999996</v>
      </c>
      <c r="O3" s="42">
        <v>16164.18</v>
      </c>
      <c r="P3" s="42">
        <v>0</v>
      </c>
    </row>
    <row r="4" spans="1:16" ht="15" customHeight="1" x14ac:dyDescent="0.3">
      <c r="A4" s="38" t="s">
        <v>63</v>
      </c>
      <c r="B4" s="39">
        <v>44197</v>
      </c>
      <c r="C4" s="38" t="s">
        <v>64</v>
      </c>
      <c r="D4" s="38" t="s">
        <v>65</v>
      </c>
      <c r="E4" s="40">
        <v>7295</v>
      </c>
      <c r="F4" s="41">
        <v>0.155</v>
      </c>
      <c r="G4" s="38">
        <v>60</v>
      </c>
      <c r="H4" s="38" t="s">
        <v>35</v>
      </c>
      <c r="I4" s="38" t="s">
        <v>66</v>
      </c>
      <c r="J4" s="38" t="s">
        <v>67</v>
      </c>
      <c r="K4" s="42">
        <v>138959</v>
      </c>
      <c r="L4" s="38" t="s">
        <v>68</v>
      </c>
      <c r="M4" s="43">
        <v>0.1</v>
      </c>
      <c r="N4" s="43">
        <v>0.53</v>
      </c>
      <c r="O4" s="42">
        <v>8425.7199999999993</v>
      </c>
      <c r="P4" s="42">
        <v>0</v>
      </c>
    </row>
    <row r="5" spans="1:16" ht="15" customHeight="1" x14ac:dyDescent="0.3">
      <c r="A5" s="38" t="s">
        <v>69</v>
      </c>
      <c r="B5" s="39">
        <v>44198</v>
      </c>
      <c r="C5" s="38" t="s">
        <v>70</v>
      </c>
      <c r="D5" s="38" t="s">
        <v>59</v>
      </c>
      <c r="E5" s="40">
        <v>31586</v>
      </c>
      <c r="F5" s="41">
        <v>0.128</v>
      </c>
      <c r="G5" s="38">
        <v>60</v>
      </c>
      <c r="H5" s="38" t="s">
        <v>35</v>
      </c>
      <c r="I5" s="38" t="s">
        <v>71</v>
      </c>
      <c r="J5" s="38" t="s">
        <v>72</v>
      </c>
      <c r="K5" s="42">
        <v>129161</v>
      </c>
      <c r="L5" s="38" t="s">
        <v>68</v>
      </c>
      <c r="M5" s="43">
        <v>0.1</v>
      </c>
      <c r="N5" s="43">
        <v>0.63</v>
      </c>
      <c r="O5" s="42">
        <v>35629.01</v>
      </c>
      <c r="P5" s="42">
        <v>0</v>
      </c>
    </row>
    <row r="6" spans="1:16" ht="15" customHeight="1" x14ac:dyDescent="0.3">
      <c r="A6" s="44" t="s">
        <v>73</v>
      </c>
      <c r="B6" s="45">
        <v>44198</v>
      </c>
      <c r="C6" s="44" t="s">
        <v>74</v>
      </c>
      <c r="D6" s="44" t="s">
        <v>75</v>
      </c>
      <c r="E6" s="46">
        <v>12593</v>
      </c>
      <c r="F6" s="47">
        <v>0.246</v>
      </c>
      <c r="G6" s="44">
        <v>60</v>
      </c>
      <c r="H6" s="44" t="s">
        <v>36</v>
      </c>
      <c r="I6" s="44" t="s">
        <v>71</v>
      </c>
      <c r="J6" s="44" t="s">
        <v>76</v>
      </c>
      <c r="K6" s="48">
        <v>59063</v>
      </c>
      <c r="L6" s="44" t="s">
        <v>62</v>
      </c>
      <c r="M6" s="49">
        <v>0.2</v>
      </c>
      <c r="N6" s="49">
        <v>0.56000000000000005</v>
      </c>
      <c r="O6" s="48">
        <v>3295.91</v>
      </c>
      <c r="P6" s="48">
        <v>0</v>
      </c>
    </row>
    <row r="7" spans="1:16" ht="15" customHeight="1" x14ac:dyDescent="0.3">
      <c r="A7" s="44" t="s">
        <v>77</v>
      </c>
      <c r="B7" s="45">
        <v>44200</v>
      </c>
      <c r="C7" s="44" t="s">
        <v>78</v>
      </c>
      <c r="D7" s="44" t="s">
        <v>79</v>
      </c>
      <c r="E7" s="46">
        <v>27035</v>
      </c>
      <c r="F7" s="47">
        <v>0.121</v>
      </c>
      <c r="G7" s="44">
        <v>36</v>
      </c>
      <c r="H7" s="44" t="s">
        <v>36</v>
      </c>
      <c r="I7" s="44" t="s">
        <v>80</v>
      </c>
      <c r="J7" s="44" t="s">
        <v>67</v>
      </c>
      <c r="K7" s="48">
        <v>132421</v>
      </c>
      <c r="L7" s="44" t="s">
        <v>62</v>
      </c>
      <c r="M7" s="49">
        <v>0.15</v>
      </c>
      <c r="N7" s="49">
        <v>0.51</v>
      </c>
      <c r="O7" s="48">
        <v>5329.68</v>
      </c>
      <c r="P7" s="48">
        <v>0</v>
      </c>
    </row>
    <row r="8" spans="1:16" ht="15" customHeight="1" x14ac:dyDescent="0.3">
      <c r="A8" s="50" t="s">
        <v>81</v>
      </c>
      <c r="B8" s="51">
        <v>44200</v>
      </c>
      <c r="C8" s="50" t="s">
        <v>82</v>
      </c>
      <c r="D8" s="50" t="s">
        <v>65</v>
      </c>
      <c r="E8" s="52">
        <v>25611</v>
      </c>
      <c r="F8" s="53">
        <v>0.17</v>
      </c>
      <c r="G8" s="50">
        <v>36</v>
      </c>
      <c r="H8" s="50" t="s">
        <v>39</v>
      </c>
      <c r="I8" s="50" t="s">
        <v>83</v>
      </c>
      <c r="J8" s="50" t="s">
        <v>84</v>
      </c>
      <c r="K8" s="54">
        <v>49692</v>
      </c>
      <c r="L8" s="50" t="s">
        <v>85</v>
      </c>
      <c r="M8" s="55">
        <v>0.25</v>
      </c>
      <c r="N8" s="55">
        <v>0.78</v>
      </c>
      <c r="O8" s="54">
        <v>0</v>
      </c>
      <c r="P8" s="54">
        <v>0</v>
      </c>
    </row>
    <row r="9" spans="1:16" ht="15" customHeight="1" x14ac:dyDescent="0.3">
      <c r="A9" s="56" t="s">
        <v>86</v>
      </c>
      <c r="B9" s="57">
        <v>44201</v>
      </c>
      <c r="C9" s="56" t="s">
        <v>87</v>
      </c>
      <c r="D9" s="56" t="s">
        <v>88</v>
      </c>
      <c r="E9" s="58">
        <v>24821</v>
      </c>
      <c r="F9" s="59">
        <v>0.124</v>
      </c>
      <c r="G9" s="56">
        <v>60</v>
      </c>
      <c r="H9" s="56" t="s">
        <v>37</v>
      </c>
      <c r="I9" s="56" t="s">
        <v>83</v>
      </c>
      <c r="J9" s="56" t="s">
        <v>84</v>
      </c>
      <c r="K9" s="60">
        <v>97753</v>
      </c>
      <c r="L9" s="56" t="s">
        <v>85</v>
      </c>
      <c r="M9" s="61">
        <v>0.23</v>
      </c>
      <c r="N9" s="61">
        <v>0.91</v>
      </c>
      <c r="O9" s="60">
        <v>8889.73</v>
      </c>
      <c r="P9" s="60">
        <v>5061.28</v>
      </c>
    </row>
    <row r="10" spans="1:16" ht="15" customHeight="1" x14ac:dyDescent="0.3">
      <c r="A10" s="44" t="s">
        <v>89</v>
      </c>
      <c r="B10" s="45">
        <v>44201</v>
      </c>
      <c r="C10" s="44" t="s">
        <v>90</v>
      </c>
      <c r="D10" s="44" t="s">
        <v>88</v>
      </c>
      <c r="E10" s="46">
        <v>5358</v>
      </c>
      <c r="F10" s="47">
        <v>0.16</v>
      </c>
      <c r="G10" s="44">
        <v>60</v>
      </c>
      <c r="H10" s="44" t="s">
        <v>36</v>
      </c>
      <c r="I10" s="44" t="s">
        <v>71</v>
      </c>
      <c r="J10" s="44" t="s">
        <v>76</v>
      </c>
      <c r="K10" s="48">
        <v>71830</v>
      </c>
      <c r="L10" s="44" t="s">
        <v>68</v>
      </c>
      <c r="M10" s="49">
        <v>0.35</v>
      </c>
      <c r="N10" s="49">
        <v>0.87</v>
      </c>
      <c r="O10" s="48">
        <v>466.17</v>
      </c>
      <c r="P10" s="48">
        <v>0</v>
      </c>
    </row>
    <row r="11" spans="1:16" ht="15" customHeight="1" x14ac:dyDescent="0.3">
      <c r="A11" s="38" t="s">
        <v>91</v>
      </c>
      <c r="B11" s="39">
        <v>44202</v>
      </c>
      <c r="C11" s="38" t="s">
        <v>92</v>
      </c>
      <c r="D11" s="38" t="s">
        <v>65</v>
      </c>
      <c r="E11" s="40">
        <v>25489</v>
      </c>
      <c r="F11" s="41">
        <v>0.22900000000000001</v>
      </c>
      <c r="G11" s="38">
        <v>36</v>
      </c>
      <c r="H11" s="38" t="s">
        <v>35</v>
      </c>
      <c r="I11" s="38" t="s">
        <v>83</v>
      </c>
      <c r="J11" s="38" t="s">
        <v>76</v>
      </c>
      <c r="K11" s="42">
        <v>130110</v>
      </c>
      <c r="L11" s="38" t="s">
        <v>68</v>
      </c>
      <c r="M11" s="43">
        <v>0.11</v>
      </c>
      <c r="N11" s="43">
        <v>0.83</v>
      </c>
      <c r="O11" s="42">
        <v>31325.98</v>
      </c>
      <c r="P11" s="42">
        <v>0</v>
      </c>
    </row>
    <row r="12" spans="1:16" ht="15" customHeight="1" x14ac:dyDescent="0.3">
      <c r="A12" s="44" t="s">
        <v>93</v>
      </c>
      <c r="B12" s="45">
        <v>44203</v>
      </c>
      <c r="C12" s="44" t="s">
        <v>94</v>
      </c>
      <c r="D12" s="44" t="s">
        <v>65</v>
      </c>
      <c r="E12" s="46">
        <v>39908</v>
      </c>
      <c r="F12" s="47">
        <v>0.16600000000000001</v>
      </c>
      <c r="G12" s="44">
        <v>36</v>
      </c>
      <c r="H12" s="44" t="s">
        <v>36</v>
      </c>
      <c r="I12" s="44" t="s">
        <v>71</v>
      </c>
      <c r="J12" s="44" t="s">
        <v>72</v>
      </c>
      <c r="K12" s="48">
        <v>126199</v>
      </c>
      <c r="L12" s="44" t="s">
        <v>85</v>
      </c>
      <c r="M12" s="49">
        <v>0.15</v>
      </c>
      <c r="N12" s="49">
        <v>0.9</v>
      </c>
      <c r="O12" s="48">
        <v>4986.33</v>
      </c>
      <c r="P12" s="48">
        <v>0</v>
      </c>
    </row>
    <row r="13" spans="1:16" ht="15" customHeight="1" x14ac:dyDescent="0.3">
      <c r="A13" s="38" t="s">
        <v>95</v>
      </c>
      <c r="B13" s="39">
        <v>44204</v>
      </c>
      <c r="C13" s="38" t="s">
        <v>96</v>
      </c>
      <c r="D13" s="38" t="s">
        <v>97</v>
      </c>
      <c r="E13" s="40">
        <v>38574</v>
      </c>
      <c r="F13" s="41">
        <v>0.17100000000000001</v>
      </c>
      <c r="G13" s="38">
        <v>60</v>
      </c>
      <c r="H13" s="38" t="s">
        <v>35</v>
      </c>
      <c r="I13" s="38" t="s">
        <v>71</v>
      </c>
      <c r="J13" s="38" t="s">
        <v>84</v>
      </c>
      <c r="K13" s="42">
        <v>135750</v>
      </c>
      <c r="L13" s="38" t="s">
        <v>62</v>
      </c>
      <c r="M13" s="43">
        <v>0.2</v>
      </c>
      <c r="N13" s="43">
        <v>0.56000000000000005</v>
      </c>
      <c r="O13" s="42">
        <v>45170.15</v>
      </c>
      <c r="P13" s="42">
        <v>0</v>
      </c>
    </row>
    <row r="14" spans="1:16" ht="15" customHeight="1" x14ac:dyDescent="0.3">
      <c r="A14" s="44" t="s">
        <v>98</v>
      </c>
      <c r="B14" s="45">
        <v>44205</v>
      </c>
      <c r="C14" s="44" t="s">
        <v>99</v>
      </c>
      <c r="D14" s="44" t="s">
        <v>88</v>
      </c>
      <c r="E14" s="46">
        <v>8214</v>
      </c>
      <c r="F14" s="47">
        <v>0.23599999999999999</v>
      </c>
      <c r="G14" s="44">
        <v>60</v>
      </c>
      <c r="H14" s="44" t="s">
        <v>36</v>
      </c>
      <c r="I14" s="44" t="s">
        <v>71</v>
      </c>
      <c r="J14" s="44" t="s">
        <v>61</v>
      </c>
      <c r="K14" s="48">
        <v>110764</v>
      </c>
      <c r="L14" s="44" t="s">
        <v>85</v>
      </c>
      <c r="M14" s="49">
        <v>0.14000000000000001</v>
      </c>
      <c r="N14" s="49">
        <v>0.92</v>
      </c>
      <c r="O14" s="48">
        <v>2776.51</v>
      </c>
      <c r="P14" s="48">
        <v>0</v>
      </c>
    </row>
    <row r="15" spans="1:16" ht="15" customHeight="1" x14ac:dyDescent="0.3">
      <c r="A15" s="38" t="s">
        <v>100</v>
      </c>
      <c r="B15" s="39">
        <v>44206</v>
      </c>
      <c r="C15" s="38" t="s">
        <v>101</v>
      </c>
      <c r="D15" s="38" t="s">
        <v>75</v>
      </c>
      <c r="E15" s="40">
        <v>38778</v>
      </c>
      <c r="F15" s="41">
        <v>0.09</v>
      </c>
      <c r="G15" s="38">
        <v>60</v>
      </c>
      <c r="H15" s="38" t="s">
        <v>35</v>
      </c>
      <c r="I15" s="38" t="s">
        <v>71</v>
      </c>
      <c r="J15" s="38" t="s">
        <v>61</v>
      </c>
      <c r="K15" s="42">
        <v>43233</v>
      </c>
      <c r="L15" s="38" t="s">
        <v>85</v>
      </c>
      <c r="M15" s="43">
        <v>0.37</v>
      </c>
      <c r="N15" s="43">
        <v>0.74</v>
      </c>
      <c r="O15" s="42">
        <v>42268.02</v>
      </c>
      <c r="P15" s="42">
        <v>0</v>
      </c>
    </row>
    <row r="16" spans="1:16" ht="15" customHeight="1" x14ac:dyDescent="0.3">
      <c r="A16" s="44" t="s">
        <v>102</v>
      </c>
      <c r="B16" s="45">
        <v>44206</v>
      </c>
      <c r="C16" s="44" t="s">
        <v>103</v>
      </c>
      <c r="D16" s="44" t="s">
        <v>75</v>
      </c>
      <c r="E16" s="46">
        <v>36984</v>
      </c>
      <c r="F16" s="47">
        <v>0.107</v>
      </c>
      <c r="G16" s="44">
        <v>36</v>
      </c>
      <c r="H16" s="44" t="s">
        <v>36</v>
      </c>
      <c r="I16" s="44" t="s">
        <v>83</v>
      </c>
      <c r="J16" s="44" t="s">
        <v>84</v>
      </c>
      <c r="K16" s="48">
        <v>84219</v>
      </c>
      <c r="L16" s="44" t="s">
        <v>62</v>
      </c>
      <c r="M16" s="49">
        <v>0.2</v>
      </c>
      <c r="N16" s="49">
        <v>0.93</v>
      </c>
      <c r="O16" s="48">
        <v>13592.29</v>
      </c>
      <c r="P16" s="48">
        <v>0</v>
      </c>
    </row>
    <row r="17" spans="1:16" ht="15" customHeight="1" x14ac:dyDescent="0.3">
      <c r="A17" s="38" t="s">
        <v>104</v>
      </c>
      <c r="B17" s="39">
        <v>44207</v>
      </c>
      <c r="C17" s="38" t="s">
        <v>105</v>
      </c>
      <c r="D17" s="38" t="s">
        <v>59</v>
      </c>
      <c r="E17" s="40">
        <v>30301</v>
      </c>
      <c r="F17" s="41">
        <v>0.16900000000000001</v>
      </c>
      <c r="G17" s="38">
        <v>60</v>
      </c>
      <c r="H17" s="38" t="s">
        <v>35</v>
      </c>
      <c r="I17" s="38" t="s">
        <v>60</v>
      </c>
      <c r="J17" s="38" t="s">
        <v>67</v>
      </c>
      <c r="K17" s="42">
        <v>106524</v>
      </c>
      <c r="L17" s="38" t="s">
        <v>68</v>
      </c>
      <c r="M17" s="43">
        <v>0.14000000000000001</v>
      </c>
      <c r="N17" s="43">
        <v>0.63</v>
      </c>
      <c r="O17" s="42">
        <v>35421.870000000003</v>
      </c>
      <c r="P17" s="42">
        <v>0</v>
      </c>
    </row>
    <row r="18" spans="1:16" ht="15" customHeight="1" x14ac:dyDescent="0.3">
      <c r="A18" s="38" t="s">
        <v>106</v>
      </c>
      <c r="B18" s="39">
        <v>44208</v>
      </c>
      <c r="C18" s="38" t="s">
        <v>107</v>
      </c>
      <c r="D18" s="38" t="s">
        <v>108</v>
      </c>
      <c r="E18" s="40">
        <v>29541</v>
      </c>
      <c r="F18" s="41">
        <v>0.17299999999999999</v>
      </c>
      <c r="G18" s="38">
        <v>36</v>
      </c>
      <c r="H18" s="38" t="s">
        <v>35</v>
      </c>
      <c r="I18" s="38" t="s">
        <v>71</v>
      </c>
      <c r="J18" s="38" t="s">
        <v>72</v>
      </c>
      <c r="K18" s="42">
        <v>106949</v>
      </c>
      <c r="L18" s="38" t="s">
        <v>85</v>
      </c>
      <c r="M18" s="43">
        <v>0.22</v>
      </c>
      <c r="N18" s="43">
        <v>0.61</v>
      </c>
      <c r="O18" s="42">
        <v>34651.589999999997</v>
      </c>
      <c r="P18" s="42">
        <v>0</v>
      </c>
    </row>
    <row r="19" spans="1:16" ht="15" customHeight="1" x14ac:dyDescent="0.3">
      <c r="A19" s="38" t="s">
        <v>109</v>
      </c>
      <c r="B19" s="39">
        <v>44209</v>
      </c>
      <c r="C19" s="38" t="s">
        <v>110</v>
      </c>
      <c r="D19" s="38" t="s">
        <v>97</v>
      </c>
      <c r="E19" s="40">
        <v>18633</v>
      </c>
      <c r="F19" s="41">
        <v>5.8999999999999997E-2</v>
      </c>
      <c r="G19" s="38">
        <v>60</v>
      </c>
      <c r="H19" s="38" t="s">
        <v>35</v>
      </c>
      <c r="I19" s="38" t="s">
        <v>66</v>
      </c>
      <c r="J19" s="38" t="s">
        <v>76</v>
      </c>
      <c r="K19" s="42">
        <v>95727</v>
      </c>
      <c r="L19" s="38" t="s">
        <v>62</v>
      </c>
      <c r="M19" s="43">
        <v>0.13</v>
      </c>
      <c r="N19" s="43">
        <v>0.76</v>
      </c>
      <c r="O19" s="42">
        <v>19732.349999999999</v>
      </c>
      <c r="P19" s="42">
        <v>0</v>
      </c>
    </row>
    <row r="20" spans="1:16" ht="15" customHeight="1" x14ac:dyDescent="0.3">
      <c r="A20" s="38" t="s">
        <v>111</v>
      </c>
      <c r="B20" s="39">
        <v>44210</v>
      </c>
      <c r="C20" s="38" t="s">
        <v>112</v>
      </c>
      <c r="D20" s="38" t="s">
        <v>113</v>
      </c>
      <c r="E20" s="40">
        <v>24863</v>
      </c>
      <c r="F20" s="41">
        <v>9.6000000000000002E-2</v>
      </c>
      <c r="G20" s="38">
        <v>60</v>
      </c>
      <c r="H20" s="38" t="s">
        <v>35</v>
      </c>
      <c r="I20" s="38" t="s">
        <v>114</v>
      </c>
      <c r="J20" s="38" t="s">
        <v>76</v>
      </c>
      <c r="K20" s="42">
        <v>32382</v>
      </c>
      <c r="L20" s="38" t="s">
        <v>68</v>
      </c>
      <c r="M20" s="43">
        <v>0.48</v>
      </c>
      <c r="N20" s="43">
        <v>0.75</v>
      </c>
      <c r="O20" s="42">
        <v>27249.85</v>
      </c>
      <c r="P20" s="42">
        <v>0</v>
      </c>
    </row>
    <row r="21" spans="1:16" ht="15" customHeight="1" x14ac:dyDescent="0.3">
      <c r="A21" s="38" t="s">
        <v>115</v>
      </c>
      <c r="B21" s="39">
        <v>44211</v>
      </c>
      <c r="C21" s="38" t="s">
        <v>116</v>
      </c>
      <c r="D21" s="38" t="s">
        <v>65</v>
      </c>
      <c r="E21" s="40">
        <v>34400</v>
      </c>
      <c r="F21" s="41">
        <v>8.2000000000000003E-2</v>
      </c>
      <c r="G21" s="38">
        <v>36</v>
      </c>
      <c r="H21" s="38" t="s">
        <v>35</v>
      </c>
      <c r="I21" s="38" t="s">
        <v>60</v>
      </c>
      <c r="J21" s="38" t="s">
        <v>84</v>
      </c>
      <c r="K21" s="42">
        <v>134817</v>
      </c>
      <c r="L21" s="38" t="s">
        <v>85</v>
      </c>
      <c r="M21" s="43">
        <v>0.49</v>
      </c>
      <c r="N21" s="43">
        <v>0.63</v>
      </c>
      <c r="O21" s="42">
        <v>37220.800000000003</v>
      </c>
      <c r="P21" s="42">
        <v>0</v>
      </c>
    </row>
    <row r="22" spans="1:16" ht="15" customHeight="1" x14ac:dyDescent="0.3">
      <c r="A22" s="44" t="s">
        <v>117</v>
      </c>
      <c r="B22" s="45">
        <v>44211</v>
      </c>
      <c r="C22" s="44" t="s">
        <v>118</v>
      </c>
      <c r="D22" s="44" t="s">
        <v>65</v>
      </c>
      <c r="E22" s="46">
        <v>29470</v>
      </c>
      <c r="F22" s="47">
        <v>0.10199999999999999</v>
      </c>
      <c r="G22" s="44">
        <v>36</v>
      </c>
      <c r="H22" s="44" t="s">
        <v>36</v>
      </c>
      <c r="I22" s="44" t="s">
        <v>71</v>
      </c>
      <c r="J22" s="44" t="s">
        <v>61</v>
      </c>
      <c r="K22" s="48">
        <v>108542</v>
      </c>
      <c r="L22" s="44" t="s">
        <v>85</v>
      </c>
      <c r="M22" s="49">
        <v>0.19</v>
      </c>
      <c r="N22" s="49">
        <v>0.88</v>
      </c>
      <c r="O22" s="48">
        <v>10081.43</v>
      </c>
      <c r="P22" s="48">
        <v>0</v>
      </c>
    </row>
    <row r="23" spans="1:16" ht="15" customHeight="1" x14ac:dyDescent="0.3">
      <c r="A23" s="38" t="s">
        <v>119</v>
      </c>
      <c r="B23" s="39">
        <v>44213</v>
      </c>
      <c r="C23" s="38" t="s">
        <v>120</v>
      </c>
      <c r="D23" s="38" t="s">
        <v>59</v>
      </c>
      <c r="E23" s="40">
        <v>2591</v>
      </c>
      <c r="F23" s="41">
        <v>7.5999999999999998E-2</v>
      </c>
      <c r="G23" s="38">
        <v>36</v>
      </c>
      <c r="H23" s="38" t="s">
        <v>35</v>
      </c>
      <c r="I23" s="38" t="s">
        <v>60</v>
      </c>
      <c r="J23" s="38" t="s">
        <v>84</v>
      </c>
      <c r="K23" s="42">
        <v>114748</v>
      </c>
      <c r="L23" s="38" t="s">
        <v>68</v>
      </c>
      <c r="M23" s="43">
        <v>0.22</v>
      </c>
      <c r="N23" s="43">
        <v>0.64</v>
      </c>
      <c r="O23" s="42">
        <v>2787.92</v>
      </c>
      <c r="P23" s="42">
        <v>0</v>
      </c>
    </row>
    <row r="24" spans="1:16" ht="15" customHeight="1" x14ac:dyDescent="0.3">
      <c r="A24" s="44" t="s">
        <v>121</v>
      </c>
      <c r="B24" s="45">
        <v>44214</v>
      </c>
      <c r="C24" s="44" t="s">
        <v>122</v>
      </c>
      <c r="D24" s="44" t="s">
        <v>79</v>
      </c>
      <c r="E24" s="46">
        <v>28286</v>
      </c>
      <c r="F24" s="47">
        <v>0.22600000000000001</v>
      </c>
      <c r="G24" s="44">
        <v>60</v>
      </c>
      <c r="H24" s="44" t="s">
        <v>36</v>
      </c>
      <c r="I24" s="44" t="s">
        <v>83</v>
      </c>
      <c r="J24" s="44" t="s">
        <v>61</v>
      </c>
      <c r="K24" s="48">
        <v>105414</v>
      </c>
      <c r="L24" s="44" t="s">
        <v>85</v>
      </c>
      <c r="M24" s="49">
        <v>0.38</v>
      </c>
      <c r="N24" s="49">
        <v>0.69</v>
      </c>
      <c r="O24" s="48">
        <v>4615.7299999999996</v>
      </c>
      <c r="P24" s="48">
        <v>0</v>
      </c>
    </row>
    <row r="25" spans="1:16" ht="15" customHeight="1" x14ac:dyDescent="0.3">
      <c r="A25" s="38" t="s">
        <v>123</v>
      </c>
      <c r="B25" s="39">
        <v>44214</v>
      </c>
      <c r="C25" s="38" t="s">
        <v>124</v>
      </c>
      <c r="D25" s="38" t="s">
        <v>125</v>
      </c>
      <c r="E25" s="40">
        <v>10017</v>
      </c>
      <c r="F25" s="41">
        <v>6.8000000000000005E-2</v>
      </c>
      <c r="G25" s="38">
        <v>36</v>
      </c>
      <c r="H25" s="38" t="s">
        <v>35</v>
      </c>
      <c r="I25" s="38" t="s">
        <v>71</v>
      </c>
      <c r="J25" s="38" t="s">
        <v>67</v>
      </c>
      <c r="K25" s="42">
        <v>63687</v>
      </c>
      <c r="L25" s="38" t="s">
        <v>62</v>
      </c>
      <c r="M25" s="43">
        <v>0.36</v>
      </c>
      <c r="N25" s="43">
        <v>0.87</v>
      </c>
      <c r="O25" s="42">
        <v>10698.16</v>
      </c>
      <c r="P25" s="42">
        <v>0</v>
      </c>
    </row>
    <row r="26" spans="1:16" ht="15" customHeight="1" x14ac:dyDescent="0.3">
      <c r="A26" s="38" t="s">
        <v>126</v>
      </c>
      <c r="B26" s="39">
        <v>44216</v>
      </c>
      <c r="C26" s="38" t="s">
        <v>127</v>
      </c>
      <c r="D26" s="38" t="s">
        <v>125</v>
      </c>
      <c r="E26" s="40">
        <v>13987</v>
      </c>
      <c r="F26" s="41">
        <v>0.20699999999999999</v>
      </c>
      <c r="G26" s="38">
        <v>36</v>
      </c>
      <c r="H26" s="38" t="s">
        <v>35</v>
      </c>
      <c r="I26" s="38" t="s">
        <v>71</v>
      </c>
      <c r="J26" s="38" t="s">
        <v>67</v>
      </c>
      <c r="K26" s="42">
        <v>38210</v>
      </c>
      <c r="L26" s="38" t="s">
        <v>68</v>
      </c>
      <c r="M26" s="43">
        <v>0.26</v>
      </c>
      <c r="N26" s="43">
        <v>0.6</v>
      </c>
      <c r="O26" s="42">
        <v>16882.310000000001</v>
      </c>
      <c r="P26" s="42">
        <v>0</v>
      </c>
    </row>
    <row r="27" spans="1:16" ht="15" customHeight="1" x14ac:dyDescent="0.3">
      <c r="A27" s="38" t="s">
        <v>128</v>
      </c>
      <c r="B27" s="39">
        <v>44217</v>
      </c>
      <c r="C27" s="38" t="s">
        <v>129</v>
      </c>
      <c r="D27" s="38" t="s">
        <v>108</v>
      </c>
      <c r="E27" s="40">
        <v>32463</v>
      </c>
      <c r="F27" s="41">
        <v>6.4000000000000001E-2</v>
      </c>
      <c r="G27" s="38">
        <v>36</v>
      </c>
      <c r="H27" s="38" t="s">
        <v>35</v>
      </c>
      <c r="I27" s="38" t="s">
        <v>80</v>
      </c>
      <c r="J27" s="38" t="s">
        <v>61</v>
      </c>
      <c r="K27" s="42">
        <v>67548</v>
      </c>
      <c r="L27" s="38" t="s">
        <v>62</v>
      </c>
      <c r="M27" s="43">
        <v>0.37</v>
      </c>
      <c r="N27" s="43">
        <v>0.74</v>
      </c>
      <c r="O27" s="42">
        <v>34540.629999999997</v>
      </c>
      <c r="P27" s="42">
        <v>0</v>
      </c>
    </row>
    <row r="28" spans="1:16" ht="15" customHeight="1" x14ac:dyDescent="0.3">
      <c r="A28" s="38" t="s">
        <v>130</v>
      </c>
      <c r="B28" s="39">
        <v>44218</v>
      </c>
      <c r="C28" s="38" t="s">
        <v>131</v>
      </c>
      <c r="D28" s="38" t="s">
        <v>75</v>
      </c>
      <c r="E28" s="40">
        <v>25027</v>
      </c>
      <c r="F28" s="41">
        <v>0.19900000000000001</v>
      </c>
      <c r="G28" s="38">
        <v>36</v>
      </c>
      <c r="H28" s="38" t="s">
        <v>35</v>
      </c>
      <c r="I28" s="38" t="s">
        <v>71</v>
      </c>
      <c r="J28" s="38" t="s">
        <v>76</v>
      </c>
      <c r="K28" s="42">
        <v>81759</v>
      </c>
      <c r="L28" s="38" t="s">
        <v>68</v>
      </c>
      <c r="M28" s="43">
        <v>0.47</v>
      </c>
      <c r="N28" s="43">
        <v>0.94</v>
      </c>
      <c r="O28" s="42">
        <v>30007.37</v>
      </c>
      <c r="P28" s="42">
        <v>0</v>
      </c>
    </row>
    <row r="29" spans="1:16" ht="15" customHeight="1" x14ac:dyDescent="0.3">
      <c r="A29" s="38" t="s">
        <v>132</v>
      </c>
      <c r="B29" s="39">
        <v>44219</v>
      </c>
      <c r="C29" s="38" t="s">
        <v>133</v>
      </c>
      <c r="D29" s="38" t="s">
        <v>113</v>
      </c>
      <c r="E29" s="40">
        <v>18175</v>
      </c>
      <c r="F29" s="41">
        <v>0.126</v>
      </c>
      <c r="G29" s="38">
        <v>60</v>
      </c>
      <c r="H29" s="38" t="s">
        <v>35</v>
      </c>
      <c r="I29" s="38" t="s">
        <v>60</v>
      </c>
      <c r="J29" s="38" t="s">
        <v>61</v>
      </c>
      <c r="K29" s="42">
        <v>116795</v>
      </c>
      <c r="L29" s="38" t="s">
        <v>68</v>
      </c>
      <c r="M29" s="43">
        <v>0.34</v>
      </c>
      <c r="N29" s="43">
        <v>0.94</v>
      </c>
      <c r="O29" s="42">
        <v>20465.05</v>
      </c>
      <c r="P29" s="42">
        <v>0</v>
      </c>
    </row>
    <row r="30" spans="1:16" ht="15" customHeight="1" x14ac:dyDescent="0.3">
      <c r="A30" s="44" t="s">
        <v>134</v>
      </c>
      <c r="B30" s="45">
        <v>44219</v>
      </c>
      <c r="C30" s="44" t="s">
        <v>135</v>
      </c>
      <c r="D30" s="44" t="s">
        <v>125</v>
      </c>
      <c r="E30" s="46">
        <v>17669</v>
      </c>
      <c r="F30" s="47">
        <v>0.11799999999999999</v>
      </c>
      <c r="G30" s="44">
        <v>36</v>
      </c>
      <c r="H30" s="44" t="s">
        <v>36</v>
      </c>
      <c r="I30" s="44" t="s">
        <v>83</v>
      </c>
      <c r="J30" s="44" t="s">
        <v>72</v>
      </c>
      <c r="K30" s="48">
        <v>96809</v>
      </c>
      <c r="L30" s="44" t="s">
        <v>62</v>
      </c>
      <c r="M30" s="49">
        <v>0.35</v>
      </c>
      <c r="N30" s="49">
        <v>0.78</v>
      </c>
      <c r="O30" s="48">
        <v>7665.57</v>
      </c>
      <c r="P30" s="48">
        <v>0</v>
      </c>
    </row>
    <row r="31" spans="1:16" ht="15" customHeight="1" x14ac:dyDescent="0.3">
      <c r="A31" s="56" t="s">
        <v>136</v>
      </c>
      <c r="B31" s="57">
        <v>44221</v>
      </c>
      <c r="C31" s="56" t="s">
        <v>137</v>
      </c>
      <c r="D31" s="56" t="s">
        <v>138</v>
      </c>
      <c r="E31" s="58">
        <v>9286</v>
      </c>
      <c r="F31" s="59">
        <v>0.20100000000000001</v>
      </c>
      <c r="G31" s="56">
        <v>36</v>
      </c>
      <c r="H31" s="56" t="s">
        <v>37</v>
      </c>
      <c r="I31" s="56" t="s">
        <v>60</v>
      </c>
      <c r="J31" s="56" t="s">
        <v>84</v>
      </c>
      <c r="K31" s="60">
        <v>123664</v>
      </c>
      <c r="L31" s="56" t="s">
        <v>85</v>
      </c>
      <c r="M31" s="61">
        <v>0.37</v>
      </c>
      <c r="N31" s="61">
        <v>0.78</v>
      </c>
      <c r="O31" s="60">
        <v>1932.97</v>
      </c>
      <c r="P31" s="60">
        <v>2167.4899999999998</v>
      </c>
    </row>
    <row r="32" spans="1:16" ht="15" customHeight="1" x14ac:dyDescent="0.3">
      <c r="A32" s="44" t="s">
        <v>139</v>
      </c>
      <c r="B32" s="45">
        <v>44221</v>
      </c>
      <c r="C32" s="44" t="s">
        <v>140</v>
      </c>
      <c r="D32" s="44" t="s">
        <v>65</v>
      </c>
      <c r="E32" s="46">
        <v>27966</v>
      </c>
      <c r="F32" s="47">
        <v>0.08</v>
      </c>
      <c r="G32" s="44">
        <v>60</v>
      </c>
      <c r="H32" s="44" t="s">
        <v>36</v>
      </c>
      <c r="I32" s="44" t="s">
        <v>71</v>
      </c>
      <c r="J32" s="44" t="s">
        <v>72</v>
      </c>
      <c r="K32" s="48">
        <v>60676</v>
      </c>
      <c r="L32" s="44" t="s">
        <v>85</v>
      </c>
      <c r="M32" s="49">
        <v>0.11</v>
      </c>
      <c r="N32" s="49">
        <v>0.56999999999999995</v>
      </c>
      <c r="O32" s="48">
        <v>12642.02</v>
      </c>
      <c r="P32" s="48">
        <v>0</v>
      </c>
    </row>
    <row r="33" spans="1:16" ht="15" customHeight="1" x14ac:dyDescent="0.3">
      <c r="A33" s="44" t="s">
        <v>141</v>
      </c>
      <c r="B33" s="45">
        <v>44223</v>
      </c>
      <c r="C33" s="44" t="s">
        <v>142</v>
      </c>
      <c r="D33" s="44" t="s">
        <v>138</v>
      </c>
      <c r="E33" s="46">
        <v>4972</v>
      </c>
      <c r="F33" s="47">
        <v>8.1000000000000003E-2</v>
      </c>
      <c r="G33" s="44">
        <v>60</v>
      </c>
      <c r="H33" s="44" t="s">
        <v>36</v>
      </c>
      <c r="I33" s="44" t="s">
        <v>60</v>
      </c>
      <c r="J33" s="44" t="s">
        <v>67</v>
      </c>
      <c r="K33" s="48">
        <v>94286</v>
      </c>
      <c r="L33" s="44" t="s">
        <v>62</v>
      </c>
      <c r="M33" s="49">
        <v>0.34</v>
      </c>
      <c r="N33" s="49">
        <v>0.73</v>
      </c>
      <c r="O33" s="48">
        <v>633.66</v>
      </c>
      <c r="P33" s="48">
        <v>0</v>
      </c>
    </row>
    <row r="34" spans="1:16" ht="15" customHeight="1" x14ac:dyDescent="0.3">
      <c r="A34" s="38" t="s">
        <v>143</v>
      </c>
      <c r="B34" s="39">
        <v>44224</v>
      </c>
      <c r="C34" s="38" t="s">
        <v>144</v>
      </c>
      <c r="D34" s="38" t="s">
        <v>138</v>
      </c>
      <c r="E34" s="40">
        <v>29144</v>
      </c>
      <c r="F34" s="41">
        <v>9.9000000000000005E-2</v>
      </c>
      <c r="G34" s="38">
        <v>60</v>
      </c>
      <c r="H34" s="38" t="s">
        <v>35</v>
      </c>
      <c r="I34" s="38" t="s">
        <v>60</v>
      </c>
      <c r="J34" s="38" t="s">
        <v>67</v>
      </c>
      <c r="K34" s="42">
        <v>120022</v>
      </c>
      <c r="L34" s="38" t="s">
        <v>62</v>
      </c>
      <c r="M34" s="43">
        <v>0.12</v>
      </c>
      <c r="N34" s="43">
        <v>0.74</v>
      </c>
      <c r="O34" s="42">
        <v>32029.26</v>
      </c>
      <c r="P34" s="42">
        <v>0</v>
      </c>
    </row>
    <row r="35" spans="1:16" ht="15" customHeight="1" x14ac:dyDescent="0.3">
      <c r="A35" s="38" t="s">
        <v>145</v>
      </c>
      <c r="B35" s="39">
        <v>44224</v>
      </c>
      <c r="C35" s="38" t="s">
        <v>146</v>
      </c>
      <c r="D35" s="38" t="s">
        <v>108</v>
      </c>
      <c r="E35" s="40">
        <v>33779</v>
      </c>
      <c r="F35" s="41">
        <v>9.0999999999999998E-2</v>
      </c>
      <c r="G35" s="38">
        <v>60</v>
      </c>
      <c r="H35" s="38" t="s">
        <v>35</v>
      </c>
      <c r="I35" s="38" t="s">
        <v>60</v>
      </c>
      <c r="J35" s="38" t="s">
        <v>61</v>
      </c>
      <c r="K35" s="42">
        <v>69519</v>
      </c>
      <c r="L35" s="38" t="s">
        <v>68</v>
      </c>
      <c r="M35" s="43">
        <v>0.46</v>
      </c>
      <c r="N35" s="43">
        <v>0.92</v>
      </c>
      <c r="O35" s="42">
        <v>36852.89</v>
      </c>
      <c r="P35" s="42">
        <v>0</v>
      </c>
    </row>
    <row r="36" spans="1:16" ht="15" customHeight="1" x14ac:dyDescent="0.3">
      <c r="A36" s="56" t="s">
        <v>147</v>
      </c>
      <c r="B36" s="57">
        <v>44225</v>
      </c>
      <c r="C36" s="56" t="s">
        <v>148</v>
      </c>
      <c r="D36" s="56" t="s">
        <v>75</v>
      </c>
      <c r="E36" s="58">
        <v>11326</v>
      </c>
      <c r="F36" s="59">
        <v>0.11600000000000001</v>
      </c>
      <c r="G36" s="56">
        <v>60</v>
      </c>
      <c r="H36" s="56" t="s">
        <v>37</v>
      </c>
      <c r="I36" s="56" t="s">
        <v>60</v>
      </c>
      <c r="J36" s="56" t="s">
        <v>72</v>
      </c>
      <c r="K36" s="60">
        <v>109655</v>
      </c>
      <c r="L36" s="56" t="s">
        <v>68</v>
      </c>
      <c r="M36" s="61">
        <v>0.12</v>
      </c>
      <c r="N36" s="61">
        <v>0.71</v>
      </c>
      <c r="O36" s="60">
        <v>3433.56</v>
      </c>
      <c r="P36" s="60">
        <v>1960.48</v>
      </c>
    </row>
    <row r="37" spans="1:16" ht="15" customHeight="1" x14ac:dyDescent="0.3">
      <c r="A37" s="44" t="s">
        <v>149</v>
      </c>
      <c r="B37" s="45">
        <v>44225</v>
      </c>
      <c r="C37" s="44" t="s">
        <v>150</v>
      </c>
      <c r="D37" s="44" t="s">
        <v>75</v>
      </c>
      <c r="E37" s="46">
        <v>31911</v>
      </c>
      <c r="F37" s="47">
        <v>0.17399999999999999</v>
      </c>
      <c r="G37" s="44">
        <v>60</v>
      </c>
      <c r="H37" s="44" t="s">
        <v>36</v>
      </c>
      <c r="I37" s="44" t="s">
        <v>71</v>
      </c>
      <c r="J37" s="44" t="s">
        <v>67</v>
      </c>
      <c r="K37" s="48">
        <v>113948</v>
      </c>
      <c r="L37" s="44" t="s">
        <v>85</v>
      </c>
      <c r="M37" s="49">
        <v>0.11</v>
      </c>
      <c r="N37" s="49">
        <v>0.83</v>
      </c>
      <c r="O37" s="48">
        <v>10885.67</v>
      </c>
      <c r="P37" s="48">
        <v>0</v>
      </c>
    </row>
    <row r="38" spans="1:16" ht="15" customHeight="1" x14ac:dyDescent="0.3">
      <c r="A38" s="44" t="s">
        <v>151</v>
      </c>
      <c r="B38" s="45">
        <v>44228</v>
      </c>
      <c r="C38" s="44" t="s">
        <v>152</v>
      </c>
      <c r="D38" s="44" t="s">
        <v>108</v>
      </c>
      <c r="E38" s="46">
        <v>36262</v>
      </c>
      <c r="F38" s="47">
        <v>5.6000000000000001E-2</v>
      </c>
      <c r="G38" s="44">
        <v>60</v>
      </c>
      <c r="H38" s="44" t="s">
        <v>36</v>
      </c>
      <c r="I38" s="44" t="s">
        <v>66</v>
      </c>
      <c r="J38" s="44" t="s">
        <v>76</v>
      </c>
      <c r="K38" s="48">
        <v>55105</v>
      </c>
      <c r="L38" s="44" t="s">
        <v>85</v>
      </c>
      <c r="M38" s="49">
        <v>0.19</v>
      </c>
      <c r="N38" s="49">
        <v>0.6</v>
      </c>
      <c r="O38" s="48">
        <v>6621.15</v>
      </c>
      <c r="P38" s="48">
        <v>0</v>
      </c>
    </row>
    <row r="39" spans="1:16" ht="15" customHeight="1" x14ac:dyDescent="0.3">
      <c r="A39" s="38" t="s">
        <v>153</v>
      </c>
      <c r="B39" s="39">
        <v>44230</v>
      </c>
      <c r="C39" s="38" t="s">
        <v>154</v>
      </c>
      <c r="D39" s="38" t="s">
        <v>138</v>
      </c>
      <c r="E39" s="40">
        <v>21281</v>
      </c>
      <c r="F39" s="41">
        <v>0.23</v>
      </c>
      <c r="G39" s="38">
        <v>60</v>
      </c>
      <c r="H39" s="38" t="s">
        <v>35</v>
      </c>
      <c r="I39" s="38" t="s">
        <v>114</v>
      </c>
      <c r="J39" s="38" t="s">
        <v>72</v>
      </c>
      <c r="K39" s="42">
        <v>108672</v>
      </c>
      <c r="L39" s="38" t="s">
        <v>85</v>
      </c>
      <c r="M39" s="43">
        <v>0.34</v>
      </c>
      <c r="N39" s="43">
        <v>0.84</v>
      </c>
      <c r="O39" s="42">
        <v>26175.63</v>
      </c>
      <c r="P39" s="42">
        <v>0</v>
      </c>
    </row>
    <row r="40" spans="1:16" ht="15" customHeight="1" x14ac:dyDescent="0.3">
      <c r="A40" s="38" t="s">
        <v>155</v>
      </c>
      <c r="B40" s="39">
        <v>44230</v>
      </c>
      <c r="C40" s="38" t="s">
        <v>156</v>
      </c>
      <c r="D40" s="38" t="s">
        <v>113</v>
      </c>
      <c r="E40" s="40">
        <v>28764</v>
      </c>
      <c r="F40" s="41">
        <v>0.121</v>
      </c>
      <c r="G40" s="38">
        <v>60</v>
      </c>
      <c r="H40" s="38" t="s">
        <v>35</v>
      </c>
      <c r="I40" s="38" t="s">
        <v>80</v>
      </c>
      <c r="J40" s="38" t="s">
        <v>67</v>
      </c>
      <c r="K40" s="42">
        <v>142082</v>
      </c>
      <c r="L40" s="38" t="s">
        <v>62</v>
      </c>
      <c r="M40" s="43">
        <v>0.3</v>
      </c>
      <c r="N40" s="43">
        <v>0.52</v>
      </c>
      <c r="O40" s="42">
        <v>32244.44</v>
      </c>
      <c r="P40" s="42">
        <v>0</v>
      </c>
    </row>
    <row r="41" spans="1:16" ht="15" customHeight="1" x14ac:dyDescent="0.3">
      <c r="A41" s="38" t="s">
        <v>157</v>
      </c>
      <c r="B41" s="39">
        <v>44230</v>
      </c>
      <c r="C41" s="38" t="s">
        <v>158</v>
      </c>
      <c r="D41" s="38" t="s">
        <v>138</v>
      </c>
      <c r="E41" s="40">
        <v>21337</v>
      </c>
      <c r="F41" s="41">
        <v>0.13300000000000001</v>
      </c>
      <c r="G41" s="38">
        <v>36</v>
      </c>
      <c r="H41" s="38" t="s">
        <v>35</v>
      </c>
      <c r="I41" s="38" t="s">
        <v>60</v>
      </c>
      <c r="J41" s="38" t="s">
        <v>84</v>
      </c>
      <c r="K41" s="42">
        <v>142984</v>
      </c>
      <c r="L41" s="38" t="s">
        <v>68</v>
      </c>
      <c r="M41" s="43">
        <v>0.46</v>
      </c>
      <c r="N41" s="43">
        <v>0.89</v>
      </c>
      <c r="O41" s="42">
        <v>24174.82</v>
      </c>
      <c r="P41" s="42">
        <v>0</v>
      </c>
    </row>
    <row r="42" spans="1:16" ht="15" customHeight="1" x14ac:dyDescent="0.3">
      <c r="A42" s="38" t="s">
        <v>159</v>
      </c>
      <c r="B42" s="39">
        <v>44231</v>
      </c>
      <c r="C42" s="38" t="s">
        <v>160</v>
      </c>
      <c r="D42" s="38" t="s">
        <v>88</v>
      </c>
      <c r="E42" s="40">
        <v>1481</v>
      </c>
      <c r="F42" s="41">
        <v>0.22900000000000001</v>
      </c>
      <c r="G42" s="38">
        <v>36</v>
      </c>
      <c r="H42" s="38" t="s">
        <v>35</v>
      </c>
      <c r="I42" s="38" t="s">
        <v>80</v>
      </c>
      <c r="J42" s="38" t="s">
        <v>84</v>
      </c>
      <c r="K42" s="42">
        <v>144690</v>
      </c>
      <c r="L42" s="38" t="s">
        <v>62</v>
      </c>
      <c r="M42" s="43">
        <v>0.11</v>
      </c>
      <c r="N42" s="43">
        <v>0.94</v>
      </c>
      <c r="O42" s="42">
        <v>1820.15</v>
      </c>
      <c r="P42" s="42">
        <v>0</v>
      </c>
    </row>
    <row r="43" spans="1:16" ht="15" customHeight="1" x14ac:dyDescent="0.3">
      <c r="A43" s="38" t="s">
        <v>161</v>
      </c>
      <c r="B43" s="39">
        <v>44231</v>
      </c>
      <c r="C43" s="38" t="s">
        <v>162</v>
      </c>
      <c r="D43" s="38" t="s">
        <v>75</v>
      </c>
      <c r="E43" s="40">
        <v>9712</v>
      </c>
      <c r="F43" s="41">
        <v>0.19800000000000001</v>
      </c>
      <c r="G43" s="38">
        <v>60</v>
      </c>
      <c r="H43" s="38" t="s">
        <v>35</v>
      </c>
      <c r="I43" s="38" t="s">
        <v>83</v>
      </c>
      <c r="J43" s="38" t="s">
        <v>76</v>
      </c>
      <c r="K43" s="42">
        <v>140887</v>
      </c>
      <c r="L43" s="38" t="s">
        <v>62</v>
      </c>
      <c r="M43" s="43">
        <v>0.36</v>
      </c>
      <c r="N43" s="43">
        <v>0.88</v>
      </c>
      <c r="O43" s="42">
        <v>11634.98</v>
      </c>
      <c r="P43" s="42">
        <v>0</v>
      </c>
    </row>
    <row r="44" spans="1:16" ht="15" customHeight="1" x14ac:dyDescent="0.3">
      <c r="A44" s="44" t="s">
        <v>163</v>
      </c>
      <c r="B44" s="45">
        <v>44232</v>
      </c>
      <c r="C44" s="44" t="s">
        <v>164</v>
      </c>
      <c r="D44" s="44" t="s">
        <v>125</v>
      </c>
      <c r="E44" s="46">
        <v>32966</v>
      </c>
      <c r="F44" s="47">
        <v>0.2</v>
      </c>
      <c r="G44" s="44">
        <v>60</v>
      </c>
      <c r="H44" s="44" t="s">
        <v>36</v>
      </c>
      <c r="I44" s="44" t="s">
        <v>60</v>
      </c>
      <c r="J44" s="44" t="s">
        <v>72</v>
      </c>
      <c r="K44" s="48">
        <v>101196</v>
      </c>
      <c r="L44" s="44" t="s">
        <v>68</v>
      </c>
      <c r="M44" s="49">
        <v>0.35</v>
      </c>
      <c r="N44" s="49">
        <v>0.78</v>
      </c>
      <c r="O44" s="48">
        <v>6322.07</v>
      </c>
      <c r="P44" s="48">
        <v>0</v>
      </c>
    </row>
    <row r="45" spans="1:16" ht="15" customHeight="1" x14ac:dyDescent="0.3">
      <c r="A45" s="38" t="s">
        <v>165</v>
      </c>
      <c r="B45" s="39">
        <v>44233</v>
      </c>
      <c r="C45" s="38" t="s">
        <v>166</v>
      </c>
      <c r="D45" s="38" t="s">
        <v>59</v>
      </c>
      <c r="E45" s="40">
        <v>36488</v>
      </c>
      <c r="F45" s="41">
        <v>0.21099999999999999</v>
      </c>
      <c r="G45" s="38">
        <v>36</v>
      </c>
      <c r="H45" s="38" t="s">
        <v>35</v>
      </c>
      <c r="I45" s="38" t="s">
        <v>83</v>
      </c>
      <c r="J45" s="38" t="s">
        <v>84</v>
      </c>
      <c r="K45" s="42">
        <v>146947</v>
      </c>
      <c r="L45" s="38" t="s">
        <v>85</v>
      </c>
      <c r="M45" s="43">
        <v>0.31</v>
      </c>
      <c r="N45" s="43">
        <v>0.76</v>
      </c>
      <c r="O45" s="42">
        <v>44186.97</v>
      </c>
      <c r="P45" s="42">
        <v>0</v>
      </c>
    </row>
    <row r="46" spans="1:16" ht="15" customHeight="1" x14ac:dyDescent="0.3">
      <c r="A46" s="38" t="s">
        <v>167</v>
      </c>
      <c r="B46" s="39">
        <v>44234</v>
      </c>
      <c r="C46" s="38" t="s">
        <v>168</v>
      </c>
      <c r="D46" s="38" t="s">
        <v>108</v>
      </c>
      <c r="E46" s="40">
        <v>34742</v>
      </c>
      <c r="F46" s="41">
        <v>0.124</v>
      </c>
      <c r="G46" s="38">
        <v>60</v>
      </c>
      <c r="H46" s="38" t="s">
        <v>35</v>
      </c>
      <c r="I46" s="38" t="s">
        <v>71</v>
      </c>
      <c r="J46" s="38" t="s">
        <v>61</v>
      </c>
      <c r="K46" s="42">
        <v>123459</v>
      </c>
      <c r="L46" s="38" t="s">
        <v>68</v>
      </c>
      <c r="M46" s="43">
        <v>0.27</v>
      </c>
      <c r="N46" s="43">
        <v>0.87</v>
      </c>
      <c r="O46" s="42">
        <v>39050.01</v>
      </c>
      <c r="P46" s="42">
        <v>0</v>
      </c>
    </row>
    <row r="47" spans="1:16" ht="15" customHeight="1" x14ac:dyDescent="0.3">
      <c r="A47" s="38" t="s">
        <v>169</v>
      </c>
      <c r="B47" s="39">
        <v>44235</v>
      </c>
      <c r="C47" s="38" t="s">
        <v>170</v>
      </c>
      <c r="D47" s="38" t="s">
        <v>125</v>
      </c>
      <c r="E47" s="40">
        <v>5790</v>
      </c>
      <c r="F47" s="41">
        <v>0.182</v>
      </c>
      <c r="G47" s="38">
        <v>36</v>
      </c>
      <c r="H47" s="38" t="s">
        <v>35</v>
      </c>
      <c r="I47" s="38" t="s">
        <v>114</v>
      </c>
      <c r="J47" s="38" t="s">
        <v>67</v>
      </c>
      <c r="K47" s="42">
        <v>129165</v>
      </c>
      <c r="L47" s="38" t="s">
        <v>68</v>
      </c>
      <c r="M47" s="43">
        <v>0.37</v>
      </c>
      <c r="N47" s="43">
        <v>0.84</v>
      </c>
      <c r="O47" s="42">
        <v>6843.78</v>
      </c>
      <c r="P47" s="42">
        <v>0</v>
      </c>
    </row>
    <row r="48" spans="1:16" ht="15" customHeight="1" x14ac:dyDescent="0.3">
      <c r="A48" s="38" t="s">
        <v>171</v>
      </c>
      <c r="B48" s="39">
        <v>44237</v>
      </c>
      <c r="C48" s="38" t="s">
        <v>172</v>
      </c>
      <c r="D48" s="38" t="s">
        <v>125</v>
      </c>
      <c r="E48" s="40">
        <v>12918</v>
      </c>
      <c r="F48" s="41">
        <v>0.158</v>
      </c>
      <c r="G48" s="38">
        <v>60</v>
      </c>
      <c r="H48" s="38" t="s">
        <v>35</v>
      </c>
      <c r="I48" s="38" t="s">
        <v>80</v>
      </c>
      <c r="J48" s="38" t="s">
        <v>76</v>
      </c>
      <c r="K48" s="42">
        <v>88847</v>
      </c>
      <c r="L48" s="38" t="s">
        <v>68</v>
      </c>
      <c r="M48" s="43">
        <v>0.43</v>
      </c>
      <c r="N48" s="43">
        <v>0.54</v>
      </c>
      <c r="O48" s="42">
        <v>14959.04</v>
      </c>
      <c r="P48" s="42">
        <v>0</v>
      </c>
    </row>
    <row r="49" spans="1:16" ht="15" customHeight="1" x14ac:dyDescent="0.3">
      <c r="A49" s="44" t="s">
        <v>173</v>
      </c>
      <c r="B49" s="45">
        <v>44237</v>
      </c>
      <c r="C49" s="44" t="s">
        <v>174</v>
      </c>
      <c r="D49" s="44" t="s">
        <v>88</v>
      </c>
      <c r="E49" s="46">
        <v>12561</v>
      </c>
      <c r="F49" s="47">
        <v>0.14499999999999999</v>
      </c>
      <c r="G49" s="44">
        <v>60</v>
      </c>
      <c r="H49" s="44" t="s">
        <v>36</v>
      </c>
      <c r="I49" s="44" t="s">
        <v>60</v>
      </c>
      <c r="J49" s="44" t="s">
        <v>84</v>
      </c>
      <c r="K49" s="48">
        <v>49520</v>
      </c>
      <c r="L49" s="44" t="s">
        <v>62</v>
      </c>
      <c r="M49" s="49">
        <v>0.28000000000000003</v>
      </c>
      <c r="N49" s="49">
        <v>0.66</v>
      </c>
      <c r="O49" s="48">
        <v>6147.18</v>
      </c>
      <c r="P49" s="48">
        <v>0</v>
      </c>
    </row>
    <row r="50" spans="1:16" ht="15" customHeight="1" x14ac:dyDescent="0.3">
      <c r="A50" s="56" t="s">
        <v>175</v>
      </c>
      <c r="B50" s="57">
        <v>44237</v>
      </c>
      <c r="C50" s="56" t="s">
        <v>176</v>
      </c>
      <c r="D50" s="56" t="s">
        <v>138</v>
      </c>
      <c r="E50" s="58">
        <v>24561</v>
      </c>
      <c r="F50" s="59">
        <v>0.223</v>
      </c>
      <c r="G50" s="56">
        <v>36</v>
      </c>
      <c r="H50" s="56" t="s">
        <v>37</v>
      </c>
      <c r="I50" s="56" t="s">
        <v>83</v>
      </c>
      <c r="J50" s="56" t="s">
        <v>76</v>
      </c>
      <c r="K50" s="60">
        <v>38848</v>
      </c>
      <c r="L50" s="56" t="s">
        <v>68</v>
      </c>
      <c r="M50" s="61">
        <v>0.4</v>
      </c>
      <c r="N50" s="61">
        <v>0.94</v>
      </c>
      <c r="O50" s="60">
        <v>6392.17</v>
      </c>
      <c r="P50" s="60">
        <v>9431.07</v>
      </c>
    </row>
    <row r="51" spans="1:16" ht="15" customHeight="1" x14ac:dyDescent="0.3">
      <c r="A51" s="38" t="s">
        <v>177</v>
      </c>
      <c r="B51" s="39">
        <v>44238</v>
      </c>
      <c r="C51" s="38" t="s">
        <v>178</v>
      </c>
      <c r="D51" s="38" t="s">
        <v>113</v>
      </c>
      <c r="E51" s="40">
        <v>7172</v>
      </c>
      <c r="F51" s="41">
        <v>0.16200000000000001</v>
      </c>
      <c r="G51" s="38">
        <v>60</v>
      </c>
      <c r="H51" s="38" t="s">
        <v>35</v>
      </c>
      <c r="I51" s="38" t="s">
        <v>83</v>
      </c>
      <c r="J51" s="38" t="s">
        <v>84</v>
      </c>
      <c r="K51" s="42">
        <v>89993</v>
      </c>
      <c r="L51" s="38" t="s">
        <v>68</v>
      </c>
      <c r="M51" s="43">
        <v>0.48</v>
      </c>
      <c r="N51" s="43">
        <v>0.78</v>
      </c>
      <c r="O51" s="42">
        <v>8333.86</v>
      </c>
      <c r="P51" s="42">
        <v>0</v>
      </c>
    </row>
    <row r="52" spans="1:16" ht="15" customHeight="1" x14ac:dyDescent="0.3">
      <c r="A52" s="38" t="s">
        <v>179</v>
      </c>
      <c r="B52" s="39">
        <v>44239</v>
      </c>
      <c r="C52" s="38" t="s">
        <v>180</v>
      </c>
      <c r="D52" s="38" t="s">
        <v>113</v>
      </c>
      <c r="E52" s="40">
        <v>38208</v>
      </c>
      <c r="F52" s="41">
        <v>0.20200000000000001</v>
      </c>
      <c r="G52" s="38">
        <v>36</v>
      </c>
      <c r="H52" s="38" t="s">
        <v>35</v>
      </c>
      <c r="I52" s="38" t="s">
        <v>83</v>
      </c>
      <c r="J52" s="38" t="s">
        <v>67</v>
      </c>
      <c r="K52" s="42">
        <v>125408</v>
      </c>
      <c r="L52" s="38" t="s">
        <v>62</v>
      </c>
      <c r="M52" s="43">
        <v>0.48</v>
      </c>
      <c r="N52" s="43">
        <v>0.64</v>
      </c>
      <c r="O52" s="42">
        <v>45926.02</v>
      </c>
      <c r="P52" s="42">
        <v>0</v>
      </c>
    </row>
    <row r="53" spans="1:16" ht="15" customHeight="1" x14ac:dyDescent="0.3">
      <c r="A53" s="50" t="s">
        <v>181</v>
      </c>
      <c r="B53" s="51">
        <v>44243</v>
      </c>
      <c r="C53" s="50" t="s">
        <v>182</v>
      </c>
      <c r="D53" s="50" t="s">
        <v>79</v>
      </c>
      <c r="E53" s="52">
        <v>32116</v>
      </c>
      <c r="F53" s="53">
        <v>7.9000000000000001E-2</v>
      </c>
      <c r="G53" s="50">
        <v>36</v>
      </c>
      <c r="H53" s="50" t="s">
        <v>38</v>
      </c>
      <c r="I53" s="50" t="s">
        <v>60</v>
      </c>
      <c r="J53" s="50" t="s">
        <v>67</v>
      </c>
      <c r="K53" s="54">
        <v>75536</v>
      </c>
      <c r="L53" s="50" t="s">
        <v>62</v>
      </c>
      <c r="M53" s="55">
        <v>0.33</v>
      </c>
      <c r="N53" s="55">
        <v>0.51</v>
      </c>
      <c r="O53" s="54">
        <v>0</v>
      </c>
      <c r="P53" s="54">
        <v>0</v>
      </c>
    </row>
    <row r="54" spans="1:16" ht="15" customHeight="1" x14ac:dyDescent="0.3">
      <c r="A54" s="44" t="s">
        <v>183</v>
      </c>
      <c r="B54" s="45">
        <v>44243</v>
      </c>
      <c r="C54" s="44" t="s">
        <v>184</v>
      </c>
      <c r="D54" s="44" t="s">
        <v>108</v>
      </c>
      <c r="E54" s="46">
        <v>26338</v>
      </c>
      <c r="F54" s="47">
        <v>8.8999999999999996E-2</v>
      </c>
      <c r="G54" s="44">
        <v>36</v>
      </c>
      <c r="H54" s="44" t="s">
        <v>36</v>
      </c>
      <c r="I54" s="44" t="s">
        <v>80</v>
      </c>
      <c r="J54" s="44" t="s">
        <v>61</v>
      </c>
      <c r="K54" s="48">
        <v>44026</v>
      </c>
      <c r="L54" s="44" t="s">
        <v>68</v>
      </c>
      <c r="M54" s="49">
        <v>0.46</v>
      </c>
      <c r="N54" s="49">
        <v>0.5</v>
      </c>
      <c r="O54" s="48">
        <v>8198.4599999999991</v>
      </c>
      <c r="P54" s="48">
        <v>0</v>
      </c>
    </row>
    <row r="55" spans="1:16" ht="15" customHeight="1" x14ac:dyDescent="0.3">
      <c r="A55" s="44" t="s">
        <v>185</v>
      </c>
      <c r="B55" s="45">
        <v>44243</v>
      </c>
      <c r="C55" s="44" t="s">
        <v>186</v>
      </c>
      <c r="D55" s="44" t="s">
        <v>97</v>
      </c>
      <c r="E55" s="46">
        <v>26849</v>
      </c>
      <c r="F55" s="47">
        <v>0.24399999999999999</v>
      </c>
      <c r="G55" s="44">
        <v>36</v>
      </c>
      <c r="H55" s="44" t="s">
        <v>36</v>
      </c>
      <c r="I55" s="44" t="s">
        <v>83</v>
      </c>
      <c r="J55" s="44" t="s">
        <v>61</v>
      </c>
      <c r="K55" s="48">
        <v>75066</v>
      </c>
      <c r="L55" s="44" t="s">
        <v>62</v>
      </c>
      <c r="M55" s="49">
        <v>0.28999999999999998</v>
      </c>
      <c r="N55" s="49">
        <v>0.71</v>
      </c>
      <c r="O55" s="48">
        <v>2888.35</v>
      </c>
      <c r="P55" s="48">
        <v>0</v>
      </c>
    </row>
    <row r="56" spans="1:16" ht="15" customHeight="1" x14ac:dyDescent="0.3">
      <c r="A56" s="38" t="s">
        <v>187</v>
      </c>
      <c r="B56" s="39">
        <v>44243</v>
      </c>
      <c r="C56" s="38" t="s">
        <v>188</v>
      </c>
      <c r="D56" s="38" t="s">
        <v>97</v>
      </c>
      <c r="E56" s="40">
        <v>4083</v>
      </c>
      <c r="F56" s="41">
        <v>0.22600000000000001</v>
      </c>
      <c r="G56" s="38">
        <v>36</v>
      </c>
      <c r="H56" s="38" t="s">
        <v>35</v>
      </c>
      <c r="I56" s="38" t="s">
        <v>83</v>
      </c>
      <c r="J56" s="38" t="s">
        <v>72</v>
      </c>
      <c r="K56" s="42">
        <v>78003</v>
      </c>
      <c r="L56" s="38" t="s">
        <v>68</v>
      </c>
      <c r="M56" s="43">
        <v>0.34</v>
      </c>
      <c r="N56" s="43">
        <v>0.95</v>
      </c>
      <c r="O56" s="42">
        <v>5005.76</v>
      </c>
      <c r="P56" s="42">
        <v>0</v>
      </c>
    </row>
    <row r="57" spans="1:16" ht="15" customHeight="1" x14ac:dyDescent="0.3">
      <c r="A57" s="38" t="s">
        <v>189</v>
      </c>
      <c r="B57" s="39">
        <v>44244</v>
      </c>
      <c r="C57" s="38" t="s">
        <v>190</v>
      </c>
      <c r="D57" s="38" t="s">
        <v>88</v>
      </c>
      <c r="E57" s="40">
        <v>27200</v>
      </c>
      <c r="F57" s="41">
        <v>0.13900000000000001</v>
      </c>
      <c r="G57" s="38">
        <v>36</v>
      </c>
      <c r="H57" s="38" t="s">
        <v>35</v>
      </c>
      <c r="I57" s="38" t="s">
        <v>60</v>
      </c>
      <c r="J57" s="38" t="s">
        <v>72</v>
      </c>
      <c r="K57" s="42">
        <v>133751</v>
      </c>
      <c r="L57" s="38" t="s">
        <v>68</v>
      </c>
      <c r="M57" s="43">
        <v>0.38</v>
      </c>
      <c r="N57" s="43">
        <v>0.6</v>
      </c>
      <c r="O57" s="42">
        <v>30980.799999999999</v>
      </c>
      <c r="P57" s="42">
        <v>0</v>
      </c>
    </row>
    <row r="58" spans="1:16" ht="15" customHeight="1" x14ac:dyDescent="0.3">
      <c r="A58" s="44" t="s">
        <v>191</v>
      </c>
      <c r="B58" s="45">
        <v>44247</v>
      </c>
      <c r="C58" s="44" t="s">
        <v>192</v>
      </c>
      <c r="D58" s="44" t="s">
        <v>113</v>
      </c>
      <c r="E58" s="46">
        <v>34339</v>
      </c>
      <c r="F58" s="47">
        <v>0.20100000000000001</v>
      </c>
      <c r="G58" s="44">
        <v>36</v>
      </c>
      <c r="H58" s="44" t="s">
        <v>36</v>
      </c>
      <c r="I58" s="44" t="s">
        <v>60</v>
      </c>
      <c r="J58" s="44" t="s">
        <v>84</v>
      </c>
      <c r="K58" s="48">
        <v>117959</v>
      </c>
      <c r="L58" s="44" t="s">
        <v>62</v>
      </c>
      <c r="M58" s="49">
        <v>0.45</v>
      </c>
      <c r="N58" s="49">
        <v>0.63</v>
      </c>
      <c r="O58" s="48">
        <v>2002.15</v>
      </c>
      <c r="P58" s="48">
        <v>0</v>
      </c>
    </row>
    <row r="59" spans="1:16" ht="15" customHeight="1" x14ac:dyDescent="0.3">
      <c r="A59" s="44" t="s">
        <v>193</v>
      </c>
      <c r="B59" s="45">
        <v>44247</v>
      </c>
      <c r="C59" s="44" t="s">
        <v>194</v>
      </c>
      <c r="D59" s="44" t="s">
        <v>65</v>
      </c>
      <c r="E59" s="46">
        <v>25837</v>
      </c>
      <c r="F59" s="47">
        <v>7.8E-2</v>
      </c>
      <c r="G59" s="44">
        <v>60</v>
      </c>
      <c r="H59" s="44" t="s">
        <v>36</v>
      </c>
      <c r="I59" s="44" t="s">
        <v>83</v>
      </c>
      <c r="J59" s="44" t="s">
        <v>72</v>
      </c>
      <c r="K59" s="48">
        <v>42392</v>
      </c>
      <c r="L59" s="44" t="s">
        <v>68</v>
      </c>
      <c r="M59" s="49">
        <v>0.44</v>
      </c>
      <c r="N59" s="49">
        <v>0.85</v>
      </c>
      <c r="O59" s="48">
        <v>10999.75</v>
      </c>
      <c r="P59" s="48">
        <v>0</v>
      </c>
    </row>
    <row r="60" spans="1:16" ht="15" customHeight="1" x14ac:dyDescent="0.3">
      <c r="A60" s="44" t="s">
        <v>195</v>
      </c>
      <c r="B60" s="45">
        <v>44247</v>
      </c>
      <c r="C60" s="44" t="s">
        <v>196</v>
      </c>
      <c r="D60" s="44" t="s">
        <v>138</v>
      </c>
      <c r="E60" s="46">
        <v>18774</v>
      </c>
      <c r="F60" s="47">
        <v>0.16900000000000001</v>
      </c>
      <c r="G60" s="44">
        <v>60</v>
      </c>
      <c r="H60" s="44" t="s">
        <v>36</v>
      </c>
      <c r="I60" s="44" t="s">
        <v>60</v>
      </c>
      <c r="J60" s="44" t="s">
        <v>84</v>
      </c>
      <c r="K60" s="48">
        <v>53569</v>
      </c>
      <c r="L60" s="44" t="s">
        <v>68</v>
      </c>
      <c r="M60" s="49">
        <v>0.18</v>
      </c>
      <c r="N60" s="49">
        <v>0.57999999999999996</v>
      </c>
      <c r="O60" s="48">
        <v>2344.62</v>
      </c>
      <c r="P60" s="48">
        <v>0</v>
      </c>
    </row>
    <row r="61" spans="1:16" ht="15" customHeight="1" x14ac:dyDescent="0.3">
      <c r="A61" s="56" t="s">
        <v>197</v>
      </c>
      <c r="B61" s="57">
        <v>44249</v>
      </c>
      <c r="C61" s="56" t="s">
        <v>198</v>
      </c>
      <c r="D61" s="56" t="s">
        <v>138</v>
      </c>
      <c r="E61" s="58">
        <v>1302</v>
      </c>
      <c r="F61" s="59">
        <v>8.3000000000000004E-2</v>
      </c>
      <c r="G61" s="56">
        <v>60</v>
      </c>
      <c r="H61" s="56" t="s">
        <v>37</v>
      </c>
      <c r="I61" s="56" t="s">
        <v>71</v>
      </c>
      <c r="J61" s="56" t="s">
        <v>72</v>
      </c>
      <c r="K61" s="60">
        <v>44079</v>
      </c>
      <c r="L61" s="56" t="s">
        <v>62</v>
      </c>
      <c r="M61" s="61">
        <v>0.44</v>
      </c>
      <c r="N61" s="61">
        <v>0.81</v>
      </c>
      <c r="O61" s="60">
        <v>399.41</v>
      </c>
      <c r="P61" s="60">
        <v>452.5</v>
      </c>
    </row>
    <row r="62" spans="1:16" ht="15" customHeight="1" x14ac:dyDescent="0.3">
      <c r="A62" s="44" t="s">
        <v>199</v>
      </c>
      <c r="B62" s="45">
        <v>44250</v>
      </c>
      <c r="C62" s="44" t="s">
        <v>200</v>
      </c>
      <c r="D62" s="44" t="s">
        <v>59</v>
      </c>
      <c r="E62" s="46">
        <v>27172</v>
      </c>
      <c r="F62" s="47">
        <v>0.125</v>
      </c>
      <c r="G62" s="44">
        <v>60</v>
      </c>
      <c r="H62" s="44" t="s">
        <v>36</v>
      </c>
      <c r="I62" s="44" t="s">
        <v>71</v>
      </c>
      <c r="J62" s="44" t="s">
        <v>72</v>
      </c>
      <c r="K62" s="48">
        <v>138036</v>
      </c>
      <c r="L62" s="44" t="s">
        <v>68</v>
      </c>
      <c r="M62" s="49">
        <v>0.32</v>
      </c>
      <c r="N62" s="49">
        <v>0.59</v>
      </c>
      <c r="O62" s="48">
        <v>11741.28</v>
      </c>
      <c r="P62" s="48">
        <v>0</v>
      </c>
    </row>
    <row r="63" spans="1:16" ht="15" customHeight="1" x14ac:dyDescent="0.3">
      <c r="A63" s="44" t="s">
        <v>201</v>
      </c>
      <c r="B63" s="45">
        <v>44251</v>
      </c>
      <c r="C63" s="44" t="s">
        <v>202</v>
      </c>
      <c r="D63" s="44" t="s">
        <v>88</v>
      </c>
      <c r="E63" s="46">
        <v>6448</v>
      </c>
      <c r="F63" s="47">
        <v>0.127</v>
      </c>
      <c r="G63" s="44">
        <v>36</v>
      </c>
      <c r="H63" s="44" t="s">
        <v>36</v>
      </c>
      <c r="I63" s="44" t="s">
        <v>80</v>
      </c>
      <c r="J63" s="44" t="s">
        <v>76</v>
      </c>
      <c r="K63" s="48">
        <v>100204</v>
      </c>
      <c r="L63" s="44" t="s">
        <v>68</v>
      </c>
      <c r="M63" s="49">
        <v>0.4</v>
      </c>
      <c r="N63" s="49">
        <v>0.9</v>
      </c>
      <c r="O63" s="48">
        <v>1032.68</v>
      </c>
      <c r="P63" s="48">
        <v>0</v>
      </c>
    </row>
    <row r="64" spans="1:16" ht="15" customHeight="1" x14ac:dyDescent="0.3">
      <c r="A64" s="44" t="s">
        <v>203</v>
      </c>
      <c r="B64" s="45">
        <v>44251</v>
      </c>
      <c r="C64" s="44" t="s">
        <v>204</v>
      </c>
      <c r="D64" s="44" t="s">
        <v>65</v>
      </c>
      <c r="E64" s="46">
        <v>32823</v>
      </c>
      <c r="F64" s="47">
        <v>0.11799999999999999</v>
      </c>
      <c r="G64" s="44">
        <v>36</v>
      </c>
      <c r="H64" s="44" t="s">
        <v>36</v>
      </c>
      <c r="I64" s="44" t="s">
        <v>71</v>
      </c>
      <c r="J64" s="44" t="s">
        <v>76</v>
      </c>
      <c r="K64" s="48">
        <v>64484</v>
      </c>
      <c r="L64" s="44" t="s">
        <v>62</v>
      </c>
      <c r="M64" s="49">
        <v>0.37</v>
      </c>
      <c r="N64" s="49">
        <v>0.7</v>
      </c>
      <c r="O64" s="48">
        <v>1788.26</v>
      </c>
      <c r="P64" s="48">
        <v>0</v>
      </c>
    </row>
    <row r="65" spans="1:16" ht="15" customHeight="1" x14ac:dyDescent="0.3">
      <c r="A65" s="38" t="s">
        <v>205</v>
      </c>
      <c r="B65" s="39">
        <v>44252</v>
      </c>
      <c r="C65" s="38" t="s">
        <v>206</v>
      </c>
      <c r="D65" s="38" t="s">
        <v>75</v>
      </c>
      <c r="E65" s="40">
        <v>32324</v>
      </c>
      <c r="F65" s="41">
        <v>0.246</v>
      </c>
      <c r="G65" s="38">
        <v>36</v>
      </c>
      <c r="H65" s="38" t="s">
        <v>35</v>
      </c>
      <c r="I65" s="38" t="s">
        <v>60</v>
      </c>
      <c r="J65" s="38" t="s">
        <v>76</v>
      </c>
      <c r="K65" s="42">
        <v>107273</v>
      </c>
      <c r="L65" s="38" t="s">
        <v>85</v>
      </c>
      <c r="M65" s="43">
        <v>0.13</v>
      </c>
      <c r="N65" s="43">
        <v>0.88</v>
      </c>
      <c r="O65" s="42">
        <v>40275.699999999997</v>
      </c>
      <c r="P65" s="42">
        <v>0</v>
      </c>
    </row>
    <row r="66" spans="1:16" ht="15" customHeight="1" x14ac:dyDescent="0.3">
      <c r="A66" s="44" t="s">
        <v>207</v>
      </c>
      <c r="B66" s="45">
        <v>44254</v>
      </c>
      <c r="C66" s="44" t="s">
        <v>208</v>
      </c>
      <c r="D66" s="44" t="s">
        <v>125</v>
      </c>
      <c r="E66" s="46">
        <v>35839</v>
      </c>
      <c r="F66" s="47">
        <v>8.4000000000000005E-2</v>
      </c>
      <c r="G66" s="44">
        <v>36</v>
      </c>
      <c r="H66" s="44" t="s">
        <v>36</v>
      </c>
      <c r="I66" s="44" t="s">
        <v>80</v>
      </c>
      <c r="J66" s="44" t="s">
        <v>67</v>
      </c>
      <c r="K66" s="48">
        <v>42453</v>
      </c>
      <c r="L66" s="44" t="s">
        <v>85</v>
      </c>
      <c r="M66" s="49">
        <v>0.22</v>
      </c>
      <c r="N66" s="49">
        <v>0.85</v>
      </c>
      <c r="O66" s="48">
        <v>15026.66</v>
      </c>
      <c r="P66" s="48">
        <v>0</v>
      </c>
    </row>
    <row r="67" spans="1:16" ht="15" customHeight="1" x14ac:dyDescent="0.3">
      <c r="A67" s="56" t="s">
        <v>209</v>
      </c>
      <c r="B67" s="57">
        <v>44255</v>
      </c>
      <c r="C67" s="56" t="s">
        <v>210</v>
      </c>
      <c r="D67" s="56" t="s">
        <v>97</v>
      </c>
      <c r="E67" s="58">
        <v>39595</v>
      </c>
      <c r="F67" s="59">
        <v>0.188</v>
      </c>
      <c r="G67" s="56">
        <v>60</v>
      </c>
      <c r="H67" s="56" t="s">
        <v>37</v>
      </c>
      <c r="I67" s="56" t="s">
        <v>71</v>
      </c>
      <c r="J67" s="56" t="s">
        <v>67</v>
      </c>
      <c r="K67" s="60">
        <v>115824</v>
      </c>
      <c r="L67" s="56" t="s">
        <v>62</v>
      </c>
      <c r="M67" s="61">
        <v>0.45</v>
      </c>
      <c r="N67" s="61">
        <v>0.62</v>
      </c>
      <c r="O67" s="60">
        <v>12429.24</v>
      </c>
      <c r="P67" s="60">
        <v>11066.94</v>
      </c>
    </row>
    <row r="68" spans="1:16" ht="15" customHeight="1" x14ac:dyDescent="0.3">
      <c r="A68" s="44" t="s">
        <v>211</v>
      </c>
      <c r="B68" s="45">
        <v>44257</v>
      </c>
      <c r="C68" s="44" t="s">
        <v>212</v>
      </c>
      <c r="D68" s="44" t="s">
        <v>113</v>
      </c>
      <c r="E68" s="46">
        <v>18087</v>
      </c>
      <c r="F68" s="47">
        <v>0.218</v>
      </c>
      <c r="G68" s="44">
        <v>60</v>
      </c>
      <c r="H68" s="44" t="s">
        <v>36</v>
      </c>
      <c r="I68" s="44" t="s">
        <v>83</v>
      </c>
      <c r="J68" s="44" t="s">
        <v>84</v>
      </c>
      <c r="K68" s="48">
        <v>76675</v>
      </c>
      <c r="L68" s="44" t="s">
        <v>85</v>
      </c>
      <c r="M68" s="49">
        <v>0.31</v>
      </c>
      <c r="N68" s="49">
        <v>0.84</v>
      </c>
      <c r="O68" s="48">
        <v>1721.26</v>
      </c>
      <c r="P68" s="48">
        <v>0</v>
      </c>
    </row>
    <row r="69" spans="1:16" ht="15" customHeight="1" x14ac:dyDescent="0.3">
      <c r="A69" s="44" t="s">
        <v>213</v>
      </c>
      <c r="B69" s="45">
        <v>44258</v>
      </c>
      <c r="C69" s="44" t="s">
        <v>214</v>
      </c>
      <c r="D69" s="44" t="s">
        <v>125</v>
      </c>
      <c r="E69" s="46">
        <v>28424</v>
      </c>
      <c r="F69" s="47">
        <v>0.05</v>
      </c>
      <c r="G69" s="44">
        <v>36</v>
      </c>
      <c r="H69" s="44" t="s">
        <v>36</v>
      </c>
      <c r="I69" s="44" t="s">
        <v>60</v>
      </c>
      <c r="J69" s="44" t="s">
        <v>84</v>
      </c>
      <c r="K69" s="48">
        <v>82446</v>
      </c>
      <c r="L69" s="44" t="s">
        <v>62</v>
      </c>
      <c r="M69" s="49">
        <v>0.22</v>
      </c>
      <c r="N69" s="49">
        <v>0.73</v>
      </c>
      <c r="O69" s="48">
        <v>12039.9</v>
      </c>
      <c r="P69" s="48">
        <v>0</v>
      </c>
    </row>
    <row r="70" spans="1:16" ht="15" customHeight="1" x14ac:dyDescent="0.3">
      <c r="A70" s="50" t="s">
        <v>215</v>
      </c>
      <c r="B70" s="51">
        <v>44259</v>
      </c>
      <c r="C70" s="50" t="s">
        <v>216</v>
      </c>
      <c r="D70" s="50" t="s">
        <v>108</v>
      </c>
      <c r="E70" s="52">
        <v>32055</v>
      </c>
      <c r="F70" s="53">
        <v>7.4999999999999997E-2</v>
      </c>
      <c r="G70" s="50">
        <v>36</v>
      </c>
      <c r="H70" s="50" t="s">
        <v>38</v>
      </c>
      <c r="I70" s="50" t="s">
        <v>71</v>
      </c>
      <c r="J70" s="50" t="s">
        <v>61</v>
      </c>
      <c r="K70" s="54">
        <v>123326</v>
      </c>
      <c r="L70" s="50" t="s">
        <v>62</v>
      </c>
      <c r="M70" s="55">
        <v>0.47</v>
      </c>
      <c r="N70" s="55">
        <v>0.59</v>
      </c>
      <c r="O70" s="54">
        <v>0</v>
      </c>
      <c r="P70" s="54">
        <v>0</v>
      </c>
    </row>
    <row r="71" spans="1:16" ht="15" customHeight="1" x14ac:dyDescent="0.3">
      <c r="A71" s="38" t="s">
        <v>217</v>
      </c>
      <c r="B71" s="39">
        <v>44259</v>
      </c>
      <c r="C71" s="38" t="s">
        <v>218</v>
      </c>
      <c r="D71" s="38" t="s">
        <v>108</v>
      </c>
      <c r="E71" s="40">
        <v>6724</v>
      </c>
      <c r="F71" s="41">
        <v>0.19600000000000001</v>
      </c>
      <c r="G71" s="38">
        <v>36</v>
      </c>
      <c r="H71" s="38" t="s">
        <v>35</v>
      </c>
      <c r="I71" s="38" t="s">
        <v>114</v>
      </c>
      <c r="J71" s="38" t="s">
        <v>61</v>
      </c>
      <c r="K71" s="42">
        <v>130744</v>
      </c>
      <c r="L71" s="38" t="s">
        <v>62</v>
      </c>
      <c r="M71" s="43">
        <v>0.32</v>
      </c>
      <c r="N71" s="43">
        <v>0.54</v>
      </c>
      <c r="O71" s="42">
        <v>8041.9</v>
      </c>
      <c r="P71" s="42">
        <v>0</v>
      </c>
    </row>
    <row r="72" spans="1:16" ht="15" customHeight="1" x14ac:dyDescent="0.3">
      <c r="A72" s="38" t="s">
        <v>219</v>
      </c>
      <c r="B72" s="39">
        <v>44261</v>
      </c>
      <c r="C72" s="38" t="s">
        <v>220</v>
      </c>
      <c r="D72" s="38" t="s">
        <v>79</v>
      </c>
      <c r="E72" s="40">
        <v>21491</v>
      </c>
      <c r="F72" s="41">
        <v>0.159</v>
      </c>
      <c r="G72" s="38">
        <v>36</v>
      </c>
      <c r="H72" s="38" t="s">
        <v>35</v>
      </c>
      <c r="I72" s="38" t="s">
        <v>80</v>
      </c>
      <c r="J72" s="38" t="s">
        <v>67</v>
      </c>
      <c r="K72" s="42">
        <v>84319</v>
      </c>
      <c r="L72" s="38" t="s">
        <v>85</v>
      </c>
      <c r="M72" s="43">
        <v>0.14000000000000001</v>
      </c>
      <c r="N72" s="43">
        <v>0.68</v>
      </c>
      <c r="O72" s="42">
        <v>24908.07</v>
      </c>
      <c r="P72" s="42">
        <v>0</v>
      </c>
    </row>
    <row r="73" spans="1:16" ht="15" customHeight="1" x14ac:dyDescent="0.3">
      <c r="A73" s="38" t="s">
        <v>221</v>
      </c>
      <c r="B73" s="39">
        <v>44263</v>
      </c>
      <c r="C73" s="38" t="s">
        <v>222</v>
      </c>
      <c r="D73" s="38" t="s">
        <v>125</v>
      </c>
      <c r="E73" s="40">
        <v>17173</v>
      </c>
      <c r="F73" s="41">
        <v>0.221</v>
      </c>
      <c r="G73" s="38">
        <v>36</v>
      </c>
      <c r="H73" s="38" t="s">
        <v>35</v>
      </c>
      <c r="I73" s="38" t="s">
        <v>71</v>
      </c>
      <c r="J73" s="38" t="s">
        <v>67</v>
      </c>
      <c r="K73" s="42">
        <v>94093</v>
      </c>
      <c r="L73" s="38" t="s">
        <v>68</v>
      </c>
      <c r="M73" s="43">
        <v>0.39</v>
      </c>
      <c r="N73" s="43">
        <v>0.64</v>
      </c>
      <c r="O73" s="42">
        <v>20968.23</v>
      </c>
      <c r="P73" s="42">
        <v>0</v>
      </c>
    </row>
    <row r="74" spans="1:16" ht="15" customHeight="1" x14ac:dyDescent="0.3">
      <c r="A74" s="44" t="s">
        <v>223</v>
      </c>
      <c r="B74" s="45">
        <v>44265</v>
      </c>
      <c r="C74" s="44" t="s">
        <v>224</v>
      </c>
      <c r="D74" s="44" t="s">
        <v>113</v>
      </c>
      <c r="E74" s="46">
        <v>38211</v>
      </c>
      <c r="F74" s="47">
        <v>0.193</v>
      </c>
      <c r="G74" s="44">
        <v>60</v>
      </c>
      <c r="H74" s="44" t="s">
        <v>36</v>
      </c>
      <c r="I74" s="44" t="s">
        <v>80</v>
      </c>
      <c r="J74" s="44" t="s">
        <v>67</v>
      </c>
      <c r="K74" s="48">
        <v>137894</v>
      </c>
      <c r="L74" s="44" t="s">
        <v>85</v>
      </c>
      <c r="M74" s="49">
        <v>0.19</v>
      </c>
      <c r="N74" s="49">
        <v>0.81</v>
      </c>
      <c r="O74" s="48">
        <v>7832.97</v>
      </c>
      <c r="P74" s="48">
        <v>0</v>
      </c>
    </row>
    <row r="75" spans="1:16" ht="15" customHeight="1" x14ac:dyDescent="0.3">
      <c r="A75" s="50" t="s">
        <v>225</v>
      </c>
      <c r="B75" s="51">
        <v>44265</v>
      </c>
      <c r="C75" s="50" t="s">
        <v>226</v>
      </c>
      <c r="D75" s="50" t="s">
        <v>59</v>
      </c>
      <c r="E75" s="52">
        <v>25089</v>
      </c>
      <c r="F75" s="53">
        <v>0.155</v>
      </c>
      <c r="G75" s="50">
        <v>36</v>
      </c>
      <c r="H75" s="50" t="s">
        <v>38</v>
      </c>
      <c r="I75" s="50" t="s">
        <v>83</v>
      </c>
      <c r="J75" s="50" t="s">
        <v>84</v>
      </c>
      <c r="K75" s="54">
        <v>123065</v>
      </c>
      <c r="L75" s="50" t="s">
        <v>68</v>
      </c>
      <c r="M75" s="55">
        <v>0.35</v>
      </c>
      <c r="N75" s="55">
        <v>0.63</v>
      </c>
      <c r="O75" s="54">
        <v>0</v>
      </c>
      <c r="P75" s="54">
        <v>0</v>
      </c>
    </row>
    <row r="76" spans="1:16" ht="15" customHeight="1" x14ac:dyDescent="0.3">
      <c r="A76" s="56" t="s">
        <v>227</v>
      </c>
      <c r="B76" s="57">
        <v>44271</v>
      </c>
      <c r="C76" s="56" t="s">
        <v>228</v>
      </c>
      <c r="D76" s="56" t="s">
        <v>88</v>
      </c>
      <c r="E76" s="58">
        <v>34160</v>
      </c>
      <c r="F76" s="59">
        <v>0.159</v>
      </c>
      <c r="G76" s="56">
        <v>36</v>
      </c>
      <c r="H76" s="56" t="s">
        <v>37</v>
      </c>
      <c r="I76" s="56" t="s">
        <v>71</v>
      </c>
      <c r="J76" s="56" t="s">
        <v>76</v>
      </c>
      <c r="K76" s="60">
        <v>69613</v>
      </c>
      <c r="L76" s="56" t="s">
        <v>85</v>
      </c>
      <c r="M76" s="61">
        <v>0.34</v>
      </c>
      <c r="N76" s="61">
        <v>0.64</v>
      </c>
      <c r="O76" s="60">
        <v>8992.9599999999991</v>
      </c>
      <c r="P76" s="60">
        <v>10741.33</v>
      </c>
    </row>
    <row r="77" spans="1:16" ht="15" customHeight="1" x14ac:dyDescent="0.3">
      <c r="A77" s="38" t="s">
        <v>229</v>
      </c>
      <c r="B77" s="39">
        <v>44271</v>
      </c>
      <c r="C77" s="38" t="s">
        <v>230</v>
      </c>
      <c r="D77" s="38" t="s">
        <v>65</v>
      </c>
      <c r="E77" s="40">
        <v>7441</v>
      </c>
      <c r="F77" s="41">
        <v>0.13900000000000001</v>
      </c>
      <c r="G77" s="38">
        <v>60</v>
      </c>
      <c r="H77" s="38" t="s">
        <v>35</v>
      </c>
      <c r="I77" s="38" t="s">
        <v>71</v>
      </c>
      <c r="J77" s="38" t="s">
        <v>72</v>
      </c>
      <c r="K77" s="42">
        <v>113424</v>
      </c>
      <c r="L77" s="38" t="s">
        <v>62</v>
      </c>
      <c r="M77" s="43">
        <v>0.34</v>
      </c>
      <c r="N77" s="43">
        <v>0.64</v>
      </c>
      <c r="O77" s="42">
        <v>8475.2999999999993</v>
      </c>
      <c r="P77" s="42">
        <v>0</v>
      </c>
    </row>
    <row r="78" spans="1:16" ht="15" customHeight="1" x14ac:dyDescent="0.3">
      <c r="A78" s="38" t="s">
        <v>231</v>
      </c>
      <c r="B78" s="39">
        <v>44271</v>
      </c>
      <c r="C78" s="38" t="s">
        <v>232</v>
      </c>
      <c r="D78" s="38" t="s">
        <v>97</v>
      </c>
      <c r="E78" s="40">
        <v>1125</v>
      </c>
      <c r="F78" s="41">
        <v>0.13</v>
      </c>
      <c r="G78" s="38">
        <v>36</v>
      </c>
      <c r="H78" s="38" t="s">
        <v>35</v>
      </c>
      <c r="I78" s="38" t="s">
        <v>71</v>
      </c>
      <c r="J78" s="38" t="s">
        <v>72</v>
      </c>
      <c r="K78" s="42">
        <v>139388</v>
      </c>
      <c r="L78" s="38" t="s">
        <v>85</v>
      </c>
      <c r="M78" s="43">
        <v>0.37</v>
      </c>
      <c r="N78" s="43">
        <v>0.62</v>
      </c>
      <c r="O78" s="42">
        <v>1271.25</v>
      </c>
      <c r="P78" s="42">
        <v>0</v>
      </c>
    </row>
    <row r="79" spans="1:16" ht="15" customHeight="1" x14ac:dyDescent="0.3">
      <c r="A79" s="44" t="s">
        <v>233</v>
      </c>
      <c r="B79" s="45">
        <v>44271</v>
      </c>
      <c r="C79" s="44" t="s">
        <v>234</v>
      </c>
      <c r="D79" s="44" t="s">
        <v>108</v>
      </c>
      <c r="E79" s="46">
        <v>9264</v>
      </c>
      <c r="F79" s="47">
        <v>5.0999999999999997E-2</v>
      </c>
      <c r="G79" s="44">
        <v>36</v>
      </c>
      <c r="H79" s="44" t="s">
        <v>36</v>
      </c>
      <c r="I79" s="44" t="s">
        <v>80</v>
      </c>
      <c r="J79" s="44" t="s">
        <v>84</v>
      </c>
      <c r="K79" s="48">
        <v>50354</v>
      </c>
      <c r="L79" s="44" t="s">
        <v>68</v>
      </c>
      <c r="M79" s="49">
        <v>0.13</v>
      </c>
      <c r="N79" s="49">
        <v>0.5</v>
      </c>
      <c r="O79" s="48">
        <v>2652.86</v>
      </c>
      <c r="P79" s="48">
        <v>0</v>
      </c>
    </row>
    <row r="80" spans="1:16" ht="15" customHeight="1" x14ac:dyDescent="0.3">
      <c r="A80" s="56" t="s">
        <v>235</v>
      </c>
      <c r="B80" s="57">
        <v>44272</v>
      </c>
      <c r="C80" s="56" t="s">
        <v>236</v>
      </c>
      <c r="D80" s="56" t="s">
        <v>113</v>
      </c>
      <c r="E80" s="58">
        <v>1105</v>
      </c>
      <c r="F80" s="59">
        <v>0.14599999999999999</v>
      </c>
      <c r="G80" s="56">
        <v>60</v>
      </c>
      <c r="H80" s="56" t="s">
        <v>37</v>
      </c>
      <c r="I80" s="56" t="s">
        <v>80</v>
      </c>
      <c r="J80" s="56" t="s">
        <v>67</v>
      </c>
      <c r="K80" s="60">
        <v>85571</v>
      </c>
      <c r="L80" s="56" t="s">
        <v>68</v>
      </c>
      <c r="M80" s="61">
        <v>0.23</v>
      </c>
      <c r="N80" s="61">
        <v>0.7</v>
      </c>
      <c r="O80" s="60">
        <v>417.31</v>
      </c>
      <c r="P80" s="60">
        <v>388.04</v>
      </c>
    </row>
    <row r="81" spans="1:16" ht="15" customHeight="1" x14ac:dyDescent="0.3">
      <c r="A81" s="44" t="s">
        <v>237</v>
      </c>
      <c r="B81" s="45">
        <v>44274</v>
      </c>
      <c r="C81" s="44" t="s">
        <v>238</v>
      </c>
      <c r="D81" s="44" t="s">
        <v>88</v>
      </c>
      <c r="E81" s="46">
        <v>32010</v>
      </c>
      <c r="F81" s="47">
        <v>0.218</v>
      </c>
      <c r="G81" s="44">
        <v>60</v>
      </c>
      <c r="H81" s="44" t="s">
        <v>36</v>
      </c>
      <c r="I81" s="44" t="s">
        <v>60</v>
      </c>
      <c r="J81" s="44" t="s">
        <v>72</v>
      </c>
      <c r="K81" s="48">
        <v>143892</v>
      </c>
      <c r="L81" s="44" t="s">
        <v>85</v>
      </c>
      <c r="M81" s="49">
        <v>0.38</v>
      </c>
      <c r="N81" s="49">
        <v>0.71</v>
      </c>
      <c r="O81" s="48">
        <v>14628.99</v>
      </c>
      <c r="P81" s="48">
        <v>0</v>
      </c>
    </row>
    <row r="82" spans="1:16" ht="15" customHeight="1" x14ac:dyDescent="0.3">
      <c r="A82" s="56" t="s">
        <v>239</v>
      </c>
      <c r="B82" s="57">
        <v>44274</v>
      </c>
      <c r="C82" s="56" t="s">
        <v>240</v>
      </c>
      <c r="D82" s="56" t="s">
        <v>79</v>
      </c>
      <c r="E82" s="58">
        <v>33117</v>
      </c>
      <c r="F82" s="59">
        <v>0.16500000000000001</v>
      </c>
      <c r="G82" s="56">
        <v>60</v>
      </c>
      <c r="H82" s="56" t="s">
        <v>37</v>
      </c>
      <c r="I82" s="56" t="s">
        <v>80</v>
      </c>
      <c r="J82" s="56" t="s">
        <v>67</v>
      </c>
      <c r="K82" s="60">
        <v>40234</v>
      </c>
      <c r="L82" s="56" t="s">
        <v>62</v>
      </c>
      <c r="M82" s="61">
        <v>0.1</v>
      </c>
      <c r="N82" s="61">
        <v>0.81</v>
      </c>
      <c r="O82" s="60">
        <v>7467.2</v>
      </c>
      <c r="P82" s="60">
        <v>5237.4799999999996</v>
      </c>
    </row>
    <row r="83" spans="1:16" ht="15" customHeight="1" x14ac:dyDescent="0.3">
      <c r="A83" s="50" t="s">
        <v>241</v>
      </c>
      <c r="B83" s="51">
        <v>44276</v>
      </c>
      <c r="C83" s="50" t="s">
        <v>242</v>
      </c>
      <c r="D83" s="50" t="s">
        <v>79</v>
      </c>
      <c r="E83" s="52">
        <v>34723</v>
      </c>
      <c r="F83" s="53">
        <v>0.185</v>
      </c>
      <c r="G83" s="50">
        <v>60</v>
      </c>
      <c r="H83" s="50" t="s">
        <v>39</v>
      </c>
      <c r="I83" s="50" t="s">
        <v>83</v>
      </c>
      <c r="J83" s="50" t="s">
        <v>72</v>
      </c>
      <c r="K83" s="54">
        <v>45830</v>
      </c>
      <c r="L83" s="50" t="s">
        <v>68</v>
      </c>
      <c r="M83" s="55">
        <v>0.23</v>
      </c>
      <c r="N83" s="55">
        <v>0.52</v>
      </c>
      <c r="O83" s="54">
        <v>0</v>
      </c>
      <c r="P83" s="54">
        <v>0</v>
      </c>
    </row>
    <row r="84" spans="1:16" ht="15" customHeight="1" x14ac:dyDescent="0.3">
      <c r="A84" s="38" t="s">
        <v>243</v>
      </c>
      <c r="B84" s="39">
        <v>44277</v>
      </c>
      <c r="C84" s="38" t="s">
        <v>244</v>
      </c>
      <c r="D84" s="38" t="s">
        <v>108</v>
      </c>
      <c r="E84" s="40">
        <v>24196</v>
      </c>
      <c r="F84" s="41">
        <v>0.16600000000000001</v>
      </c>
      <c r="G84" s="38">
        <v>60</v>
      </c>
      <c r="H84" s="38" t="s">
        <v>35</v>
      </c>
      <c r="I84" s="38" t="s">
        <v>60</v>
      </c>
      <c r="J84" s="38" t="s">
        <v>76</v>
      </c>
      <c r="K84" s="42">
        <v>102391</v>
      </c>
      <c r="L84" s="38" t="s">
        <v>62</v>
      </c>
      <c r="M84" s="43">
        <v>0.12</v>
      </c>
      <c r="N84" s="43">
        <v>0.68</v>
      </c>
      <c r="O84" s="42">
        <v>28212.54</v>
      </c>
      <c r="P84" s="42">
        <v>0</v>
      </c>
    </row>
    <row r="85" spans="1:16" ht="15" customHeight="1" x14ac:dyDescent="0.3">
      <c r="A85" s="38" t="s">
        <v>245</v>
      </c>
      <c r="B85" s="39">
        <v>44278</v>
      </c>
      <c r="C85" s="38" t="s">
        <v>246</v>
      </c>
      <c r="D85" s="38" t="s">
        <v>108</v>
      </c>
      <c r="E85" s="40">
        <v>8758</v>
      </c>
      <c r="F85" s="41">
        <v>0.20499999999999999</v>
      </c>
      <c r="G85" s="38">
        <v>36</v>
      </c>
      <c r="H85" s="38" t="s">
        <v>35</v>
      </c>
      <c r="I85" s="38" t="s">
        <v>83</v>
      </c>
      <c r="J85" s="38" t="s">
        <v>61</v>
      </c>
      <c r="K85" s="42">
        <v>124813</v>
      </c>
      <c r="L85" s="38" t="s">
        <v>85</v>
      </c>
      <c r="M85" s="43">
        <v>0.28000000000000003</v>
      </c>
      <c r="N85" s="43">
        <v>0.91</v>
      </c>
      <c r="O85" s="42">
        <v>10553.39</v>
      </c>
      <c r="P85" s="42">
        <v>0</v>
      </c>
    </row>
    <row r="86" spans="1:16" ht="15" customHeight="1" x14ac:dyDescent="0.3">
      <c r="A86" s="56" t="s">
        <v>247</v>
      </c>
      <c r="B86" s="57">
        <v>44279</v>
      </c>
      <c r="C86" s="56" t="s">
        <v>248</v>
      </c>
      <c r="D86" s="56" t="s">
        <v>65</v>
      </c>
      <c r="E86" s="58">
        <v>10847</v>
      </c>
      <c r="F86" s="59">
        <v>0.21</v>
      </c>
      <c r="G86" s="56">
        <v>36</v>
      </c>
      <c r="H86" s="56" t="s">
        <v>37</v>
      </c>
      <c r="I86" s="56" t="s">
        <v>71</v>
      </c>
      <c r="J86" s="56" t="s">
        <v>67</v>
      </c>
      <c r="K86" s="60">
        <v>61480</v>
      </c>
      <c r="L86" s="56" t="s">
        <v>68</v>
      </c>
      <c r="M86" s="61">
        <v>0.32</v>
      </c>
      <c r="N86" s="61">
        <v>0.61</v>
      </c>
      <c r="O86" s="60">
        <v>1374.33</v>
      </c>
      <c r="P86" s="60">
        <v>4848.7</v>
      </c>
    </row>
    <row r="87" spans="1:16" ht="15" customHeight="1" x14ac:dyDescent="0.3">
      <c r="A87" s="56" t="s">
        <v>249</v>
      </c>
      <c r="B87" s="57">
        <v>44282</v>
      </c>
      <c r="C87" s="56" t="s">
        <v>250</v>
      </c>
      <c r="D87" s="56" t="s">
        <v>88</v>
      </c>
      <c r="E87" s="58">
        <v>12556</v>
      </c>
      <c r="F87" s="59">
        <v>0.11</v>
      </c>
      <c r="G87" s="56">
        <v>60</v>
      </c>
      <c r="H87" s="56" t="s">
        <v>37</v>
      </c>
      <c r="I87" s="56" t="s">
        <v>66</v>
      </c>
      <c r="J87" s="56" t="s">
        <v>67</v>
      </c>
      <c r="K87" s="60">
        <v>126493</v>
      </c>
      <c r="L87" s="56" t="s">
        <v>85</v>
      </c>
      <c r="M87" s="61">
        <v>0.23</v>
      </c>
      <c r="N87" s="61">
        <v>0.52</v>
      </c>
      <c r="O87" s="60">
        <v>3922.58</v>
      </c>
      <c r="P87" s="60">
        <v>3494.67</v>
      </c>
    </row>
    <row r="88" spans="1:16" ht="15" customHeight="1" x14ac:dyDescent="0.3">
      <c r="A88" s="38" t="s">
        <v>251</v>
      </c>
      <c r="B88" s="39">
        <v>44283</v>
      </c>
      <c r="C88" s="38" t="s">
        <v>252</v>
      </c>
      <c r="D88" s="38" t="s">
        <v>113</v>
      </c>
      <c r="E88" s="40">
        <v>7406</v>
      </c>
      <c r="F88" s="41">
        <v>0.11600000000000001</v>
      </c>
      <c r="G88" s="38">
        <v>60</v>
      </c>
      <c r="H88" s="38" t="s">
        <v>35</v>
      </c>
      <c r="I88" s="38" t="s">
        <v>66</v>
      </c>
      <c r="J88" s="38" t="s">
        <v>84</v>
      </c>
      <c r="K88" s="42">
        <v>90652</v>
      </c>
      <c r="L88" s="38" t="s">
        <v>62</v>
      </c>
      <c r="M88" s="43">
        <v>0.41</v>
      </c>
      <c r="N88" s="43">
        <v>0.87</v>
      </c>
      <c r="O88" s="42">
        <v>8265.1</v>
      </c>
      <c r="P88" s="42">
        <v>0</v>
      </c>
    </row>
    <row r="89" spans="1:16" ht="15" customHeight="1" x14ac:dyDescent="0.3">
      <c r="A89" s="38" t="s">
        <v>253</v>
      </c>
      <c r="B89" s="39">
        <v>44284</v>
      </c>
      <c r="C89" s="38" t="s">
        <v>254</v>
      </c>
      <c r="D89" s="38" t="s">
        <v>59</v>
      </c>
      <c r="E89" s="40">
        <v>16646</v>
      </c>
      <c r="F89" s="41">
        <v>0.14000000000000001</v>
      </c>
      <c r="G89" s="38">
        <v>36</v>
      </c>
      <c r="H89" s="38" t="s">
        <v>35</v>
      </c>
      <c r="I89" s="38" t="s">
        <v>60</v>
      </c>
      <c r="J89" s="38" t="s">
        <v>67</v>
      </c>
      <c r="K89" s="42">
        <v>124636</v>
      </c>
      <c r="L89" s="38" t="s">
        <v>68</v>
      </c>
      <c r="M89" s="43">
        <v>0.33</v>
      </c>
      <c r="N89" s="43">
        <v>0.69</v>
      </c>
      <c r="O89" s="42">
        <v>18976.439999999999</v>
      </c>
      <c r="P89" s="42">
        <v>0</v>
      </c>
    </row>
    <row r="90" spans="1:16" ht="15" customHeight="1" x14ac:dyDescent="0.3">
      <c r="A90" s="38" t="s">
        <v>255</v>
      </c>
      <c r="B90" s="39">
        <v>44285</v>
      </c>
      <c r="C90" s="38" t="s">
        <v>256</v>
      </c>
      <c r="D90" s="38" t="s">
        <v>59</v>
      </c>
      <c r="E90" s="40">
        <v>39467</v>
      </c>
      <c r="F90" s="41">
        <v>0.186</v>
      </c>
      <c r="G90" s="38">
        <v>60</v>
      </c>
      <c r="H90" s="38" t="s">
        <v>35</v>
      </c>
      <c r="I90" s="38" t="s">
        <v>257</v>
      </c>
      <c r="J90" s="38" t="s">
        <v>76</v>
      </c>
      <c r="K90" s="42">
        <v>91413</v>
      </c>
      <c r="L90" s="38" t="s">
        <v>62</v>
      </c>
      <c r="M90" s="43">
        <v>0.42</v>
      </c>
      <c r="N90" s="43">
        <v>0.55000000000000004</v>
      </c>
      <c r="O90" s="42">
        <v>46807.86</v>
      </c>
      <c r="P90" s="42">
        <v>0</v>
      </c>
    </row>
    <row r="91" spans="1:16" ht="15" customHeight="1" x14ac:dyDescent="0.3">
      <c r="A91" s="38" t="s">
        <v>258</v>
      </c>
      <c r="B91" s="39">
        <v>44286</v>
      </c>
      <c r="C91" s="38" t="s">
        <v>259</v>
      </c>
      <c r="D91" s="38" t="s">
        <v>138</v>
      </c>
      <c r="E91" s="40">
        <v>6109</v>
      </c>
      <c r="F91" s="41">
        <v>0.10100000000000001</v>
      </c>
      <c r="G91" s="38">
        <v>60</v>
      </c>
      <c r="H91" s="38" t="s">
        <v>35</v>
      </c>
      <c r="I91" s="38" t="s">
        <v>80</v>
      </c>
      <c r="J91" s="38" t="s">
        <v>67</v>
      </c>
      <c r="K91" s="42">
        <v>128000</v>
      </c>
      <c r="L91" s="38" t="s">
        <v>85</v>
      </c>
      <c r="M91" s="43">
        <v>0.28999999999999998</v>
      </c>
      <c r="N91" s="43">
        <v>0.79</v>
      </c>
      <c r="O91" s="42">
        <v>6726.01</v>
      </c>
      <c r="P91" s="42">
        <v>0</v>
      </c>
    </row>
    <row r="92" spans="1:16" ht="15" customHeight="1" x14ac:dyDescent="0.3">
      <c r="A92" s="44" t="s">
        <v>260</v>
      </c>
      <c r="B92" s="45">
        <v>44286</v>
      </c>
      <c r="C92" s="44" t="s">
        <v>261</v>
      </c>
      <c r="D92" s="44" t="s">
        <v>108</v>
      </c>
      <c r="E92" s="46">
        <v>36993</v>
      </c>
      <c r="F92" s="47">
        <v>0.17699999999999999</v>
      </c>
      <c r="G92" s="44">
        <v>36</v>
      </c>
      <c r="H92" s="44" t="s">
        <v>36</v>
      </c>
      <c r="I92" s="44" t="s">
        <v>83</v>
      </c>
      <c r="J92" s="44" t="s">
        <v>76</v>
      </c>
      <c r="K92" s="48">
        <v>137228</v>
      </c>
      <c r="L92" s="44" t="s">
        <v>85</v>
      </c>
      <c r="M92" s="49">
        <v>0.46</v>
      </c>
      <c r="N92" s="49">
        <v>0.6</v>
      </c>
      <c r="O92" s="48">
        <v>4398.51</v>
      </c>
      <c r="P92" s="48">
        <v>0</v>
      </c>
    </row>
    <row r="93" spans="1:16" ht="15" customHeight="1" x14ac:dyDescent="0.3">
      <c r="A93" s="44" t="s">
        <v>262</v>
      </c>
      <c r="B93" s="45">
        <v>44286</v>
      </c>
      <c r="C93" s="44" t="s">
        <v>263</v>
      </c>
      <c r="D93" s="44" t="s">
        <v>108</v>
      </c>
      <c r="E93" s="46">
        <v>28490</v>
      </c>
      <c r="F93" s="47">
        <v>0.14000000000000001</v>
      </c>
      <c r="G93" s="44">
        <v>60</v>
      </c>
      <c r="H93" s="44" t="s">
        <v>36</v>
      </c>
      <c r="I93" s="44" t="s">
        <v>257</v>
      </c>
      <c r="J93" s="44" t="s">
        <v>84</v>
      </c>
      <c r="K93" s="48">
        <v>115103</v>
      </c>
      <c r="L93" s="44" t="s">
        <v>68</v>
      </c>
      <c r="M93" s="49">
        <v>0.34</v>
      </c>
      <c r="N93" s="49">
        <v>0.89</v>
      </c>
      <c r="O93" s="48">
        <v>4446.13</v>
      </c>
      <c r="P93" s="48">
        <v>0</v>
      </c>
    </row>
    <row r="94" spans="1:16" ht="15" customHeight="1" x14ac:dyDescent="0.3">
      <c r="A94" s="56" t="s">
        <v>264</v>
      </c>
      <c r="B94" s="57">
        <v>44287</v>
      </c>
      <c r="C94" s="56" t="s">
        <v>265</v>
      </c>
      <c r="D94" s="56" t="s">
        <v>97</v>
      </c>
      <c r="E94" s="58">
        <v>29380</v>
      </c>
      <c r="F94" s="59">
        <v>0.20799999999999999</v>
      </c>
      <c r="G94" s="56">
        <v>36</v>
      </c>
      <c r="H94" s="56" t="s">
        <v>37</v>
      </c>
      <c r="I94" s="56" t="s">
        <v>71</v>
      </c>
      <c r="J94" s="56" t="s">
        <v>67</v>
      </c>
      <c r="K94" s="60">
        <v>55479</v>
      </c>
      <c r="L94" s="56" t="s">
        <v>85</v>
      </c>
      <c r="M94" s="61">
        <v>0.22</v>
      </c>
      <c r="N94" s="61">
        <v>0.93</v>
      </c>
      <c r="O94" s="60">
        <v>10642.35</v>
      </c>
      <c r="P94" s="60">
        <v>10361.469999999999</v>
      </c>
    </row>
    <row r="95" spans="1:16" ht="15" customHeight="1" x14ac:dyDescent="0.3">
      <c r="A95" s="38" t="s">
        <v>266</v>
      </c>
      <c r="B95" s="39">
        <v>44288</v>
      </c>
      <c r="C95" s="38" t="s">
        <v>267</v>
      </c>
      <c r="D95" s="38" t="s">
        <v>79</v>
      </c>
      <c r="E95" s="40">
        <v>16850</v>
      </c>
      <c r="F95" s="41">
        <v>0.10199999999999999</v>
      </c>
      <c r="G95" s="38">
        <v>36</v>
      </c>
      <c r="H95" s="38" t="s">
        <v>35</v>
      </c>
      <c r="I95" s="38" t="s">
        <v>60</v>
      </c>
      <c r="J95" s="38" t="s">
        <v>84</v>
      </c>
      <c r="K95" s="42">
        <v>121881</v>
      </c>
      <c r="L95" s="38" t="s">
        <v>62</v>
      </c>
      <c r="M95" s="43">
        <v>0.21</v>
      </c>
      <c r="N95" s="43">
        <v>0.81</v>
      </c>
      <c r="O95" s="42">
        <v>18568.7</v>
      </c>
      <c r="P95" s="42">
        <v>0</v>
      </c>
    </row>
    <row r="96" spans="1:16" ht="15" customHeight="1" x14ac:dyDescent="0.3">
      <c r="A96" s="44" t="s">
        <v>268</v>
      </c>
      <c r="B96" s="45">
        <v>44289</v>
      </c>
      <c r="C96" s="44" t="s">
        <v>269</v>
      </c>
      <c r="D96" s="44" t="s">
        <v>113</v>
      </c>
      <c r="E96" s="46">
        <v>5033</v>
      </c>
      <c r="F96" s="47">
        <v>0.219</v>
      </c>
      <c r="G96" s="44">
        <v>36</v>
      </c>
      <c r="H96" s="44" t="s">
        <v>36</v>
      </c>
      <c r="I96" s="44" t="s">
        <v>60</v>
      </c>
      <c r="J96" s="44" t="s">
        <v>76</v>
      </c>
      <c r="K96" s="48">
        <v>133124</v>
      </c>
      <c r="L96" s="44" t="s">
        <v>68</v>
      </c>
      <c r="M96" s="49">
        <v>0.39</v>
      </c>
      <c r="N96" s="49">
        <v>0.82</v>
      </c>
      <c r="O96" s="48">
        <v>1105.3900000000001</v>
      </c>
      <c r="P96" s="48">
        <v>0</v>
      </c>
    </row>
    <row r="97" spans="1:16" ht="15" customHeight="1" x14ac:dyDescent="0.3">
      <c r="A97" s="38" t="s">
        <v>270</v>
      </c>
      <c r="B97" s="39">
        <v>44290</v>
      </c>
      <c r="C97" s="38" t="s">
        <v>271</v>
      </c>
      <c r="D97" s="38" t="s">
        <v>125</v>
      </c>
      <c r="E97" s="40">
        <v>29602</v>
      </c>
      <c r="F97" s="41">
        <v>0.19500000000000001</v>
      </c>
      <c r="G97" s="38">
        <v>36</v>
      </c>
      <c r="H97" s="38" t="s">
        <v>35</v>
      </c>
      <c r="I97" s="38" t="s">
        <v>80</v>
      </c>
      <c r="J97" s="38" t="s">
        <v>72</v>
      </c>
      <c r="K97" s="42">
        <v>89821</v>
      </c>
      <c r="L97" s="38" t="s">
        <v>68</v>
      </c>
      <c r="M97" s="43">
        <v>0.49</v>
      </c>
      <c r="N97" s="43">
        <v>0.86</v>
      </c>
      <c r="O97" s="42">
        <v>35374.39</v>
      </c>
      <c r="P97" s="42">
        <v>0</v>
      </c>
    </row>
    <row r="98" spans="1:16" ht="15" customHeight="1" x14ac:dyDescent="0.3">
      <c r="A98" s="38" t="s">
        <v>272</v>
      </c>
      <c r="B98" s="39">
        <v>44291</v>
      </c>
      <c r="C98" s="38" t="s">
        <v>273</v>
      </c>
      <c r="D98" s="38" t="s">
        <v>65</v>
      </c>
      <c r="E98" s="40">
        <v>14598</v>
      </c>
      <c r="F98" s="41">
        <v>0.126</v>
      </c>
      <c r="G98" s="38">
        <v>36</v>
      </c>
      <c r="H98" s="38" t="s">
        <v>35</v>
      </c>
      <c r="I98" s="38" t="s">
        <v>83</v>
      </c>
      <c r="J98" s="38" t="s">
        <v>84</v>
      </c>
      <c r="K98" s="42">
        <v>87021</v>
      </c>
      <c r="L98" s="38" t="s">
        <v>85</v>
      </c>
      <c r="M98" s="43">
        <v>0.4</v>
      </c>
      <c r="N98" s="43">
        <v>0.53</v>
      </c>
      <c r="O98" s="42">
        <v>16437.349999999999</v>
      </c>
      <c r="P98" s="42">
        <v>0</v>
      </c>
    </row>
    <row r="99" spans="1:16" ht="15" customHeight="1" x14ac:dyDescent="0.3">
      <c r="A99" s="56" t="s">
        <v>274</v>
      </c>
      <c r="B99" s="57">
        <v>44291</v>
      </c>
      <c r="C99" s="56" t="s">
        <v>275</v>
      </c>
      <c r="D99" s="56" t="s">
        <v>97</v>
      </c>
      <c r="E99" s="58">
        <v>35447</v>
      </c>
      <c r="F99" s="59">
        <v>0.13</v>
      </c>
      <c r="G99" s="56">
        <v>36</v>
      </c>
      <c r="H99" s="56" t="s">
        <v>37</v>
      </c>
      <c r="I99" s="56" t="s">
        <v>83</v>
      </c>
      <c r="J99" s="56" t="s">
        <v>76</v>
      </c>
      <c r="K99" s="60">
        <v>73919</v>
      </c>
      <c r="L99" s="56" t="s">
        <v>85</v>
      </c>
      <c r="M99" s="61">
        <v>0.36</v>
      </c>
      <c r="N99" s="61">
        <v>0.88</v>
      </c>
      <c r="O99" s="60">
        <v>8869.57</v>
      </c>
      <c r="P99" s="60">
        <v>8023.15</v>
      </c>
    </row>
    <row r="100" spans="1:16" ht="15" customHeight="1" x14ac:dyDescent="0.3">
      <c r="A100" s="38" t="s">
        <v>276</v>
      </c>
      <c r="B100" s="39">
        <v>44291</v>
      </c>
      <c r="C100" s="38" t="s">
        <v>277</v>
      </c>
      <c r="D100" s="38" t="s">
        <v>138</v>
      </c>
      <c r="E100" s="40">
        <v>17001</v>
      </c>
      <c r="F100" s="41">
        <v>0.17899999999999999</v>
      </c>
      <c r="G100" s="38">
        <v>60</v>
      </c>
      <c r="H100" s="38" t="s">
        <v>35</v>
      </c>
      <c r="I100" s="38" t="s">
        <v>66</v>
      </c>
      <c r="J100" s="38" t="s">
        <v>61</v>
      </c>
      <c r="K100" s="42">
        <v>142863</v>
      </c>
      <c r="L100" s="38" t="s">
        <v>85</v>
      </c>
      <c r="M100" s="43">
        <v>0.31</v>
      </c>
      <c r="N100" s="43">
        <v>0.61</v>
      </c>
      <c r="O100" s="42">
        <v>20044.18</v>
      </c>
      <c r="P100" s="42">
        <v>0</v>
      </c>
    </row>
    <row r="101" spans="1:16" ht="15" customHeight="1" x14ac:dyDescent="0.3">
      <c r="A101" s="38" t="s">
        <v>278</v>
      </c>
      <c r="B101" s="39">
        <v>44292</v>
      </c>
      <c r="C101" s="38" t="s">
        <v>279</v>
      </c>
      <c r="D101" s="38" t="s">
        <v>88</v>
      </c>
      <c r="E101" s="40">
        <v>30781</v>
      </c>
      <c r="F101" s="41">
        <v>0.23100000000000001</v>
      </c>
      <c r="G101" s="38">
        <v>36</v>
      </c>
      <c r="H101" s="38" t="s">
        <v>35</v>
      </c>
      <c r="I101" s="38" t="s">
        <v>60</v>
      </c>
      <c r="J101" s="38" t="s">
        <v>72</v>
      </c>
      <c r="K101" s="42">
        <v>94418</v>
      </c>
      <c r="L101" s="38" t="s">
        <v>85</v>
      </c>
      <c r="M101" s="43">
        <v>0.23</v>
      </c>
      <c r="N101" s="43">
        <v>0.53</v>
      </c>
      <c r="O101" s="42">
        <v>37891.410000000003</v>
      </c>
      <c r="P101" s="42">
        <v>0</v>
      </c>
    </row>
    <row r="102" spans="1:16" ht="15" customHeight="1" x14ac:dyDescent="0.3">
      <c r="A102" s="38" t="s">
        <v>280</v>
      </c>
      <c r="B102" s="39">
        <v>44292</v>
      </c>
      <c r="C102" s="38" t="s">
        <v>281</v>
      </c>
      <c r="D102" s="38" t="s">
        <v>59</v>
      </c>
      <c r="E102" s="40">
        <v>36435</v>
      </c>
      <c r="F102" s="41">
        <v>0.17299999999999999</v>
      </c>
      <c r="G102" s="38">
        <v>36</v>
      </c>
      <c r="H102" s="38" t="s">
        <v>35</v>
      </c>
      <c r="I102" s="38" t="s">
        <v>60</v>
      </c>
      <c r="J102" s="38" t="s">
        <v>76</v>
      </c>
      <c r="K102" s="42">
        <v>89049</v>
      </c>
      <c r="L102" s="38" t="s">
        <v>68</v>
      </c>
      <c r="M102" s="43">
        <v>0.38</v>
      </c>
      <c r="N102" s="43">
        <v>0.87</v>
      </c>
      <c r="O102" s="42">
        <v>42738.26</v>
      </c>
      <c r="P102" s="42">
        <v>0</v>
      </c>
    </row>
    <row r="103" spans="1:16" ht="15" customHeight="1" x14ac:dyDescent="0.3">
      <c r="A103" s="44" t="s">
        <v>282</v>
      </c>
      <c r="B103" s="45">
        <v>44292</v>
      </c>
      <c r="C103" s="44" t="s">
        <v>283</v>
      </c>
      <c r="D103" s="44" t="s">
        <v>138</v>
      </c>
      <c r="E103" s="46">
        <v>33371</v>
      </c>
      <c r="F103" s="47">
        <v>0.17100000000000001</v>
      </c>
      <c r="G103" s="44">
        <v>36</v>
      </c>
      <c r="H103" s="44" t="s">
        <v>36</v>
      </c>
      <c r="I103" s="44" t="s">
        <v>71</v>
      </c>
      <c r="J103" s="44" t="s">
        <v>84</v>
      </c>
      <c r="K103" s="48">
        <v>44011</v>
      </c>
      <c r="L103" s="44" t="s">
        <v>85</v>
      </c>
      <c r="M103" s="49">
        <v>0.21</v>
      </c>
      <c r="N103" s="49">
        <v>0.89</v>
      </c>
      <c r="O103" s="48">
        <v>1803.79</v>
      </c>
      <c r="P103" s="48">
        <v>0</v>
      </c>
    </row>
    <row r="104" spans="1:16" ht="15" customHeight="1" x14ac:dyDescent="0.3">
      <c r="A104" s="38" t="s">
        <v>284</v>
      </c>
      <c r="B104" s="39">
        <v>44294</v>
      </c>
      <c r="C104" s="38" t="s">
        <v>285</v>
      </c>
      <c r="D104" s="38" t="s">
        <v>125</v>
      </c>
      <c r="E104" s="40">
        <v>10110</v>
      </c>
      <c r="F104" s="41">
        <v>6.3E-2</v>
      </c>
      <c r="G104" s="38">
        <v>60</v>
      </c>
      <c r="H104" s="38" t="s">
        <v>35</v>
      </c>
      <c r="I104" s="38" t="s">
        <v>80</v>
      </c>
      <c r="J104" s="38" t="s">
        <v>84</v>
      </c>
      <c r="K104" s="42">
        <v>111972</v>
      </c>
      <c r="L104" s="38" t="s">
        <v>62</v>
      </c>
      <c r="M104" s="43">
        <v>0.36</v>
      </c>
      <c r="N104" s="43">
        <v>0.84</v>
      </c>
      <c r="O104" s="42">
        <v>10746.93</v>
      </c>
      <c r="P104" s="42">
        <v>0</v>
      </c>
    </row>
    <row r="105" spans="1:16" ht="15" customHeight="1" x14ac:dyDescent="0.3">
      <c r="A105" s="44" t="s">
        <v>286</v>
      </c>
      <c r="B105" s="45">
        <v>44295</v>
      </c>
      <c r="C105" s="44" t="s">
        <v>287</v>
      </c>
      <c r="D105" s="44" t="s">
        <v>113</v>
      </c>
      <c r="E105" s="46">
        <v>29831</v>
      </c>
      <c r="F105" s="47">
        <v>0.17599999999999999</v>
      </c>
      <c r="G105" s="44">
        <v>60</v>
      </c>
      <c r="H105" s="44" t="s">
        <v>36</v>
      </c>
      <c r="I105" s="44" t="s">
        <v>60</v>
      </c>
      <c r="J105" s="44" t="s">
        <v>67</v>
      </c>
      <c r="K105" s="48">
        <v>32103</v>
      </c>
      <c r="L105" s="44" t="s">
        <v>85</v>
      </c>
      <c r="M105" s="49">
        <v>0.11</v>
      </c>
      <c r="N105" s="49">
        <v>0.87</v>
      </c>
      <c r="O105" s="48">
        <v>3320.34</v>
      </c>
      <c r="P105" s="48">
        <v>0</v>
      </c>
    </row>
    <row r="106" spans="1:16" ht="15" customHeight="1" x14ac:dyDescent="0.3">
      <c r="A106" s="38" t="s">
        <v>288</v>
      </c>
      <c r="B106" s="39">
        <v>44295</v>
      </c>
      <c r="C106" s="38" t="s">
        <v>289</v>
      </c>
      <c r="D106" s="38" t="s">
        <v>79</v>
      </c>
      <c r="E106" s="40">
        <v>38198</v>
      </c>
      <c r="F106" s="41">
        <v>0.19900000000000001</v>
      </c>
      <c r="G106" s="38">
        <v>36</v>
      </c>
      <c r="H106" s="38" t="s">
        <v>35</v>
      </c>
      <c r="I106" s="38" t="s">
        <v>83</v>
      </c>
      <c r="J106" s="38" t="s">
        <v>84</v>
      </c>
      <c r="K106" s="42">
        <v>65931</v>
      </c>
      <c r="L106" s="38" t="s">
        <v>85</v>
      </c>
      <c r="M106" s="43">
        <v>0.35</v>
      </c>
      <c r="N106" s="43">
        <v>0.76</v>
      </c>
      <c r="O106" s="42">
        <v>45799.4</v>
      </c>
      <c r="P106" s="42">
        <v>0</v>
      </c>
    </row>
    <row r="107" spans="1:16" ht="15" customHeight="1" x14ac:dyDescent="0.3">
      <c r="A107" s="38" t="s">
        <v>290</v>
      </c>
      <c r="B107" s="39">
        <v>44295</v>
      </c>
      <c r="C107" s="38" t="s">
        <v>291</v>
      </c>
      <c r="D107" s="38" t="s">
        <v>108</v>
      </c>
      <c r="E107" s="40">
        <v>35080</v>
      </c>
      <c r="F107" s="41">
        <v>0.17499999999999999</v>
      </c>
      <c r="G107" s="38">
        <v>36</v>
      </c>
      <c r="H107" s="38" t="s">
        <v>35</v>
      </c>
      <c r="I107" s="38" t="s">
        <v>83</v>
      </c>
      <c r="J107" s="38" t="s">
        <v>76</v>
      </c>
      <c r="K107" s="42">
        <v>91114</v>
      </c>
      <c r="L107" s="38" t="s">
        <v>68</v>
      </c>
      <c r="M107" s="43">
        <v>0.46</v>
      </c>
      <c r="N107" s="43">
        <v>0.53</v>
      </c>
      <c r="O107" s="42">
        <v>41219</v>
      </c>
      <c r="P107" s="42">
        <v>0</v>
      </c>
    </row>
    <row r="108" spans="1:16" ht="15" customHeight="1" x14ac:dyDescent="0.3">
      <c r="A108" s="44" t="s">
        <v>292</v>
      </c>
      <c r="B108" s="45">
        <v>44299</v>
      </c>
      <c r="C108" s="44" t="s">
        <v>293</v>
      </c>
      <c r="D108" s="44" t="s">
        <v>65</v>
      </c>
      <c r="E108" s="46">
        <v>16398</v>
      </c>
      <c r="F108" s="47">
        <v>0.21199999999999999</v>
      </c>
      <c r="G108" s="44">
        <v>36</v>
      </c>
      <c r="H108" s="44" t="s">
        <v>36</v>
      </c>
      <c r="I108" s="44" t="s">
        <v>60</v>
      </c>
      <c r="J108" s="44" t="s">
        <v>76</v>
      </c>
      <c r="K108" s="48">
        <v>147946</v>
      </c>
      <c r="L108" s="44" t="s">
        <v>62</v>
      </c>
      <c r="M108" s="49">
        <v>0.12</v>
      </c>
      <c r="N108" s="49">
        <v>0.6</v>
      </c>
      <c r="O108" s="48">
        <v>1868.19</v>
      </c>
      <c r="P108" s="48">
        <v>0</v>
      </c>
    </row>
    <row r="109" spans="1:16" ht="15" customHeight="1" x14ac:dyDescent="0.3">
      <c r="A109" s="38" t="s">
        <v>294</v>
      </c>
      <c r="B109" s="39">
        <v>44300</v>
      </c>
      <c r="C109" s="38" t="s">
        <v>295</v>
      </c>
      <c r="D109" s="38" t="s">
        <v>97</v>
      </c>
      <c r="E109" s="40">
        <v>26425</v>
      </c>
      <c r="F109" s="41">
        <v>0.13700000000000001</v>
      </c>
      <c r="G109" s="38">
        <v>36</v>
      </c>
      <c r="H109" s="38" t="s">
        <v>35</v>
      </c>
      <c r="I109" s="38" t="s">
        <v>71</v>
      </c>
      <c r="J109" s="38" t="s">
        <v>61</v>
      </c>
      <c r="K109" s="42">
        <v>146525</v>
      </c>
      <c r="L109" s="38" t="s">
        <v>68</v>
      </c>
      <c r="M109" s="43">
        <v>0.36</v>
      </c>
      <c r="N109" s="43">
        <v>0.87</v>
      </c>
      <c r="O109" s="42">
        <v>30045.22</v>
      </c>
      <c r="P109" s="42">
        <v>0</v>
      </c>
    </row>
    <row r="110" spans="1:16" ht="15" customHeight="1" x14ac:dyDescent="0.3">
      <c r="A110" s="38" t="s">
        <v>296</v>
      </c>
      <c r="B110" s="39">
        <v>44300</v>
      </c>
      <c r="C110" s="38" t="s">
        <v>297</v>
      </c>
      <c r="D110" s="38" t="s">
        <v>88</v>
      </c>
      <c r="E110" s="40">
        <v>4713</v>
      </c>
      <c r="F110" s="41">
        <v>0.16700000000000001</v>
      </c>
      <c r="G110" s="38">
        <v>60</v>
      </c>
      <c r="H110" s="38" t="s">
        <v>35</v>
      </c>
      <c r="I110" s="38" t="s">
        <v>83</v>
      </c>
      <c r="J110" s="38" t="s">
        <v>72</v>
      </c>
      <c r="K110" s="42">
        <v>125184</v>
      </c>
      <c r="L110" s="38" t="s">
        <v>62</v>
      </c>
      <c r="M110" s="43">
        <v>0.47</v>
      </c>
      <c r="N110" s="43">
        <v>0.8</v>
      </c>
      <c r="O110" s="42">
        <v>5500.07</v>
      </c>
      <c r="P110" s="42">
        <v>0</v>
      </c>
    </row>
    <row r="111" spans="1:16" ht="15" customHeight="1" x14ac:dyDescent="0.3">
      <c r="A111" s="38" t="s">
        <v>298</v>
      </c>
      <c r="B111" s="39">
        <v>44301</v>
      </c>
      <c r="C111" s="38" t="s">
        <v>299</v>
      </c>
      <c r="D111" s="38" t="s">
        <v>79</v>
      </c>
      <c r="E111" s="40">
        <v>39663</v>
      </c>
      <c r="F111" s="41">
        <v>0.185</v>
      </c>
      <c r="G111" s="38">
        <v>36</v>
      </c>
      <c r="H111" s="38" t="s">
        <v>35</v>
      </c>
      <c r="I111" s="38" t="s">
        <v>66</v>
      </c>
      <c r="J111" s="38" t="s">
        <v>84</v>
      </c>
      <c r="K111" s="42">
        <v>58378</v>
      </c>
      <c r="L111" s="38" t="s">
        <v>62</v>
      </c>
      <c r="M111" s="43">
        <v>0.16</v>
      </c>
      <c r="N111" s="43">
        <v>0.87</v>
      </c>
      <c r="O111" s="42">
        <v>47000.66</v>
      </c>
      <c r="P111" s="42">
        <v>0</v>
      </c>
    </row>
    <row r="112" spans="1:16" ht="15" customHeight="1" x14ac:dyDescent="0.3">
      <c r="A112" s="44" t="s">
        <v>300</v>
      </c>
      <c r="B112" s="45">
        <v>44303</v>
      </c>
      <c r="C112" s="44" t="s">
        <v>301</v>
      </c>
      <c r="D112" s="44" t="s">
        <v>138</v>
      </c>
      <c r="E112" s="46">
        <v>4712</v>
      </c>
      <c r="F112" s="47">
        <v>0.125</v>
      </c>
      <c r="G112" s="44">
        <v>36</v>
      </c>
      <c r="H112" s="44" t="s">
        <v>36</v>
      </c>
      <c r="I112" s="44" t="s">
        <v>71</v>
      </c>
      <c r="J112" s="44" t="s">
        <v>84</v>
      </c>
      <c r="K112" s="48">
        <v>46279</v>
      </c>
      <c r="L112" s="44" t="s">
        <v>62</v>
      </c>
      <c r="M112" s="49">
        <v>0.22</v>
      </c>
      <c r="N112" s="49">
        <v>0.95</v>
      </c>
      <c r="O112" s="48">
        <v>1012.2</v>
      </c>
      <c r="P112" s="48">
        <v>0</v>
      </c>
    </row>
    <row r="113" spans="1:16" ht="15" customHeight="1" x14ac:dyDescent="0.3">
      <c r="A113" s="44" t="s">
        <v>302</v>
      </c>
      <c r="B113" s="45">
        <v>44305</v>
      </c>
      <c r="C113" s="44" t="s">
        <v>303</v>
      </c>
      <c r="D113" s="44" t="s">
        <v>97</v>
      </c>
      <c r="E113" s="46">
        <v>14178</v>
      </c>
      <c r="F113" s="47">
        <v>0.23100000000000001</v>
      </c>
      <c r="G113" s="44">
        <v>60</v>
      </c>
      <c r="H113" s="44" t="s">
        <v>36</v>
      </c>
      <c r="I113" s="44" t="s">
        <v>60</v>
      </c>
      <c r="J113" s="44" t="s">
        <v>61</v>
      </c>
      <c r="K113" s="48">
        <v>80799</v>
      </c>
      <c r="L113" s="44" t="s">
        <v>68</v>
      </c>
      <c r="M113" s="49">
        <v>0.15</v>
      </c>
      <c r="N113" s="49">
        <v>0.64</v>
      </c>
      <c r="O113" s="48">
        <v>1947.61</v>
      </c>
      <c r="P113" s="48">
        <v>0</v>
      </c>
    </row>
    <row r="114" spans="1:16" ht="15" customHeight="1" x14ac:dyDescent="0.3">
      <c r="A114" s="44" t="s">
        <v>304</v>
      </c>
      <c r="B114" s="45">
        <v>44305</v>
      </c>
      <c r="C114" s="44" t="s">
        <v>305</v>
      </c>
      <c r="D114" s="44" t="s">
        <v>97</v>
      </c>
      <c r="E114" s="46">
        <v>25826</v>
      </c>
      <c r="F114" s="47">
        <v>0.157</v>
      </c>
      <c r="G114" s="44">
        <v>60</v>
      </c>
      <c r="H114" s="44" t="s">
        <v>36</v>
      </c>
      <c r="I114" s="44" t="s">
        <v>60</v>
      </c>
      <c r="J114" s="44" t="s">
        <v>72</v>
      </c>
      <c r="K114" s="48">
        <v>113014</v>
      </c>
      <c r="L114" s="44" t="s">
        <v>85</v>
      </c>
      <c r="M114" s="49">
        <v>0.1</v>
      </c>
      <c r="N114" s="49">
        <v>0.53</v>
      </c>
      <c r="O114" s="48">
        <v>2961.24</v>
      </c>
      <c r="P114" s="48">
        <v>0</v>
      </c>
    </row>
    <row r="115" spans="1:16" ht="15" customHeight="1" x14ac:dyDescent="0.3">
      <c r="A115" s="44" t="s">
        <v>306</v>
      </c>
      <c r="B115" s="45">
        <v>44307</v>
      </c>
      <c r="C115" s="44" t="s">
        <v>307</v>
      </c>
      <c r="D115" s="44" t="s">
        <v>79</v>
      </c>
      <c r="E115" s="46">
        <v>5431</v>
      </c>
      <c r="F115" s="47">
        <v>0.17</v>
      </c>
      <c r="G115" s="44">
        <v>60</v>
      </c>
      <c r="H115" s="44" t="s">
        <v>36</v>
      </c>
      <c r="I115" s="44" t="s">
        <v>257</v>
      </c>
      <c r="J115" s="44" t="s">
        <v>61</v>
      </c>
      <c r="K115" s="48">
        <v>123095</v>
      </c>
      <c r="L115" s="44" t="s">
        <v>68</v>
      </c>
      <c r="M115" s="49">
        <v>0.21</v>
      </c>
      <c r="N115" s="49">
        <v>0.7</v>
      </c>
      <c r="O115" s="48">
        <v>590.38</v>
      </c>
      <c r="P115" s="48">
        <v>0</v>
      </c>
    </row>
    <row r="116" spans="1:16" ht="15" customHeight="1" x14ac:dyDescent="0.3">
      <c r="A116" s="44" t="s">
        <v>308</v>
      </c>
      <c r="B116" s="45">
        <v>44307</v>
      </c>
      <c r="C116" s="44" t="s">
        <v>309</v>
      </c>
      <c r="D116" s="44" t="s">
        <v>97</v>
      </c>
      <c r="E116" s="46">
        <v>31659</v>
      </c>
      <c r="F116" s="47">
        <v>0.23899999999999999</v>
      </c>
      <c r="G116" s="44">
        <v>60</v>
      </c>
      <c r="H116" s="44" t="s">
        <v>36</v>
      </c>
      <c r="I116" s="44" t="s">
        <v>60</v>
      </c>
      <c r="J116" s="44" t="s">
        <v>61</v>
      </c>
      <c r="K116" s="48">
        <v>39018</v>
      </c>
      <c r="L116" s="44" t="s">
        <v>62</v>
      </c>
      <c r="M116" s="49">
        <v>0.39</v>
      </c>
      <c r="N116" s="49">
        <v>0.92</v>
      </c>
      <c r="O116" s="48">
        <v>13280.94</v>
      </c>
      <c r="P116" s="48">
        <v>0</v>
      </c>
    </row>
    <row r="117" spans="1:16" ht="15" customHeight="1" x14ac:dyDescent="0.3">
      <c r="A117" s="38" t="s">
        <v>310</v>
      </c>
      <c r="B117" s="39">
        <v>44307</v>
      </c>
      <c r="C117" s="38" t="s">
        <v>311</v>
      </c>
      <c r="D117" s="38" t="s">
        <v>65</v>
      </c>
      <c r="E117" s="40">
        <v>25596</v>
      </c>
      <c r="F117" s="41">
        <v>7.5999999999999998E-2</v>
      </c>
      <c r="G117" s="38">
        <v>36</v>
      </c>
      <c r="H117" s="38" t="s">
        <v>35</v>
      </c>
      <c r="I117" s="38" t="s">
        <v>71</v>
      </c>
      <c r="J117" s="38" t="s">
        <v>67</v>
      </c>
      <c r="K117" s="42">
        <v>109414</v>
      </c>
      <c r="L117" s="38" t="s">
        <v>62</v>
      </c>
      <c r="M117" s="43">
        <v>0.2</v>
      </c>
      <c r="N117" s="43">
        <v>0.9</v>
      </c>
      <c r="O117" s="42">
        <v>27541.3</v>
      </c>
      <c r="P117" s="42">
        <v>0</v>
      </c>
    </row>
    <row r="118" spans="1:16" ht="15" customHeight="1" x14ac:dyDescent="0.3">
      <c r="A118" s="56" t="s">
        <v>312</v>
      </c>
      <c r="B118" s="57">
        <v>44309</v>
      </c>
      <c r="C118" s="56" t="s">
        <v>313</v>
      </c>
      <c r="D118" s="56" t="s">
        <v>97</v>
      </c>
      <c r="E118" s="58">
        <v>4810</v>
      </c>
      <c r="F118" s="59">
        <v>8.5999999999999993E-2</v>
      </c>
      <c r="G118" s="56">
        <v>60</v>
      </c>
      <c r="H118" s="56" t="s">
        <v>37</v>
      </c>
      <c r="I118" s="56" t="s">
        <v>71</v>
      </c>
      <c r="J118" s="56" t="s">
        <v>67</v>
      </c>
      <c r="K118" s="60">
        <v>79522</v>
      </c>
      <c r="L118" s="56" t="s">
        <v>68</v>
      </c>
      <c r="M118" s="61">
        <v>0.33</v>
      </c>
      <c r="N118" s="61">
        <v>0.86</v>
      </c>
      <c r="O118" s="60">
        <v>1802.03</v>
      </c>
      <c r="P118" s="60">
        <v>798.06</v>
      </c>
    </row>
    <row r="119" spans="1:16" ht="15" customHeight="1" x14ac:dyDescent="0.3">
      <c r="A119" s="38" t="s">
        <v>314</v>
      </c>
      <c r="B119" s="39">
        <v>44309</v>
      </c>
      <c r="C119" s="38" t="s">
        <v>315</v>
      </c>
      <c r="D119" s="38" t="s">
        <v>75</v>
      </c>
      <c r="E119" s="40">
        <v>39520</v>
      </c>
      <c r="F119" s="41">
        <v>0.23599999999999999</v>
      </c>
      <c r="G119" s="38">
        <v>36</v>
      </c>
      <c r="H119" s="38" t="s">
        <v>35</v>
      </c>
      <c r="I119" s="38" t="s">
        <v>66</v>
      </c>
      <c r="J119" s="38" t="s">
        <v>61</v>
      </c>
      <c r="K119" s="42">
        <v>143502</v>
      </c>
      <c r="L119" s="38" t="s">
        <v>62</v>
      </c>
      <c r="M119" s="43">
        <v>0.23</v>
      </c>
      <c r="N119" s="43">
        <v>0.77</v>
      </c>
      <c r="O119" s="42">
        <v>48846.720000000001</v>
      </c>
      <c r="P119" s="42">
        <v>0</v>
      </c>
    </row>
    <row r="120" spans="1:16" ht="15" customHeight="1" x14ac:dyDescent="0.3">
      <c r="A120" s="38" t="s">
        <v>316</v>
      </c>
      <c r="B120" s="39">
        <v>44310</v>
      </c>
      <c r="C120" s="38" t="s">
        <v>317</v>
      </c>
      <c r="D120" s="38" t="s">
        <v>59</v>
      </c>
      <c r="E120" s="40">
        <v>31158</v>
      </c>
      <c r="F120" s="41">
        <v>7.5999999999999998E-2</v>
      </c>
      <c r="G120" s="38">
        <v>36</v>
      </c>
      <c r="H120" s="38" t="s">
        <v>35</v>
      </c>
      <c r="I120" s="38" t="s">
        <v>60</v>
      </c>
      <c r="J120" s="38" t="s">
        <v>84</v>
      </c>
      <c r="K120" s="42">
        <v>63776</v>
      </c>
      <c r="L120" s="38" t="s">
        <v>68</v>
      </c>
      <c r="M120" s="43">
        <v>0.21</v>
      </c>
      <c r="N120" s="43">
        <v>0.71</v>
      </c>
      <c r="O120" s="42">
        <v>33526.01</v>
      </c>
      <c r="P120" s="42">
        <v>0</v>
      </c>
    </row>
    <row r="121" spans="1:16" ht="15" customHeight="1" x14ac:dyDescent="0.3">
      <c r="A121" s="38" t="s">
        <v>318</v>
      </c>
      <c r="B121" s="39">
        <v>44311</v>
      </c>
      <c r="C121" s="38" t="s">
        <v>319</v>
      </c>
      <c r="D121" s="38" t="s">
        <v>75</v>
      </c>
      <c r="E121" s="40">
        <v>27589</v>
      </c>
      <c r="F121" s="41">
        <v>0.186</v>
      </c>
      <c r="G121" s="38">
        <v>60</v>
      </c>
      <c r="H121" s="38" t="s">
        <v>35</v>
      </c>
      <c r="I121" s="38" t="s">
        <v>60</v>
      </c>
      <c r="J121" s="38" t="s">
        <v>72</v>
      </c>
      <c r="K121" s="42">
        <v>55517</v>
      </c>
      <c r="L121" s="38" t="s">
        <v>85</v>
      </c>
      <c r="M121" s="43">
        <v>0.21</v>
      </c>
      <c r="N121" s="43">
        <v>0.63</v>
      </c>
      <c r="O121" s="42">
        <v>32720.55</v>
      </c>
      <c r="P121" s="42">
        <v>0</v>
      </c>
    </row>
    <row r="122" spans="1:16" ht="15" customHeight="1" x14ac:dyDescent="0.3">
      <c r="A122" s="44" t="s">
        <v>320</v>
      </c>
      <c r="B122" s="45">
        <v>44313</v>
      </c>
      <c r="C122" s="44" t="s">
        <v>321</v>
      </c>
      <c r="D122" s="44" t="s">
        <v>79</v>
      </c>
      <c r="E122" s="46">
        <v>27029</v>
      </c>
      <c r="F122" s="47">
        <v>8.3000000000000004E-2</v>
      </c>
      <c r="G122" s="44">
        <v>36</v>
      </c>
      <c r="H122" s="44" t="s">
        <v>36</v>
      </c>
      <c r="I122" s="44" t="s">
        <v>114</v>
      </c>
      <c r="J122" s="44" t="s">
        <v>61</v>
      </c>
      <c r="K122" s="48">
        <v>66182</v>
      </c>
      <c r="L122" s="44" t="s">
        <v>85</v>
      </c>
      <c r="M122" s="49">
        <v>0.46</v>
      </c>
      <c r="N122" s="49">
        <v>0.88</v>
      </c>
      <c r="O122" s="48">
        <v>7993.68</v>
      </c>
      <c r="P122" s="48">
        <v>0</v>
      </c>
    </row>
    <row r="123" spans="1:16" ht="15" customHeight="1" x14ac:dyDescent="0.3">
      <c r="A123" s="44" t="s">
        <v>322</v>
      </c>
      <c r="B123" s="45">
        <v>44313</v>
      </c>
      <c r="C123" s="44" t="s">
        <v>323</v>
      </c>
      <c r="D123" s="44" t="s">
        <v>65</v>
      </c>
      <c r="E123" s="46">
        <v>8629</v>
      </c>
      <c r="F123" s="47">
        <v>0.223</v>
      </c>
      <c r="G123" s="44">
        <v>36</v>
      </c>
      <c r="H123" s="44" t="s">
        <v>36</v>
      </c>
      <c r="I123" s="44" t="s">
        <v>60</v>
      </c>
      <c r="J123" s="44" t="s">
        <v>84</v>
      </c>
      <c r="K123" s="48">
        <v>144816</v>
      </c>
      <c r="L123" s="44" t="s">
        <v>62</v>
      </c>
      <c r="M123" s="49">
        <v>0.17</v>
      </c>
      <c r="N123" s="49">
        <v>0.87</v>
      </c>
      <c r="O123" s="48">
        <v>510.03</v>
      </c>
      <c r="P123" s="48">
        <v>0</v>
      </c>
    </row>
    <row r="124" spans="1:16" ht="15" customHeight="1" x14ac:dyDescent="0.3">
      <c r="A124" s="56" t="s">
        <v>324</v>
      </c>
      <c r="B124" s="57">
        <v>44314</v>
      </c>
      <c r="C124" s="56" t="s">
        <v>325</v>
      </c>
      <c r="D124" s="56" t="s">
        <v>97</v>
      </c>
      <c r="E124" s="58">
        <v>35566</v>
      </c>
      <c r="F124" s="59">
        <v>0.21099999999999999</v>
      </c>
      <c r="G124" s="56">
        <v>36</v>
      </c>
      <c r="H124" s="56" t="s">
        <v>37</v>
      </c>
      <c r="I124" s="56" t="s">
        <v>60</v>
      </c>
      <c r="J124" s="56" t="s">
        <v>61</v>
      </c>
      <c r="K124" s="60">
        <v>108840</v>
      </c>
      <c r="L124" s="56" t="s">
        <v>68</v>
      </c>
      <c r="M124" s="61">
        <v>0.22</v>
      </c>
      <c r="N124" s="61">
        <v>0.7</v>
      </c>
      <c r="O124" s="60">
        <v>8919.67</v>
      </c>
      <c r="P124" s="60">
        <v>8978.74</v>
      </c>
    </row>
    <row r="125" spans="1:16" ht="15" customHeight="1" x14ac:dyDescent="0.3">
      <c r="A125" s="38" t="s">
        <v>326</v>
      </c>
      <c r="B125" s="39">
        <v>44314</v>
      </c>
      <c r="C125" s="38" t="s">
        <v>327</v>
      </c>
      <c r="D125" s="38" t="s">
        <v>65</v>
      </c>
      <c r="E125" s="40">
        <v>28420</v>
      </c>
      <c r="F125" s="41">
        <v>7.8E-2</v>
      </c>
      <c r="G125" s="38">
        <v>36</v>
      </c>
      <c r="H125" s="38" t="s">
        <v>35</v>
      </c>
      <c r="I125" s="38" t="s">
        <v>257</v>
      </c>
      <c r="J125" s="38" t="s">
        <v>72</v>
      </c>
      <c r="K125" s="42">
        <v>97568</v>
      </c>
      <c r="L125" s="38" t="s">
        <v>68</v>
      </c>
      <c r="M125" s="43">
        <v>0.28000000000000003</v>
      </c>
      <c r="N125" s="43">
        <v>0.56000000000000005</v>
      </c>
      <c r="O125" s="42">
        <v>30636.76</v>
      </c>
      <c r="P125" s="42">
        <v>0</v>
      </c>
    </row>
    <row r="126" spans="1:16" ht="15" customHeight="1" x14ac:dyDescent="0.3">
      <c r="A126" s="38" t="s">
        <v>328</v>
      </c>
      <c r="B126" s="39">
        <v>44316</v>
      </c>
      <c r="C126" s="38" t="s">
        <v>329</v>
      </c>
      <c r="D126" s="38" t="s">
        <v>125</v>
      </c>
      <c r="E126" s="40">
        <v>28082</v>
      </c>
      <c r="F126" s="41">
        <v>0.22900000000000001</v>
      </c>
      <c r="G126" s="38">
        <v>36</v>
      </c>
      <c r="H126" s="38" t="s">
        <v>35</v>
      </c>
      <c r="I126" s="38" t="s">
        <v>83</v>
      </c>
      <c r="J126" s="38" t="s">
        <v>67</v>
      </c>
      <c r="K126" s="42">
        <v>102567</v>
      </c>
      <c r="L126" s="38" t="s">
        <v>85</v>
      </c>
      <c r="M126" s="43">
        <v>0.46</v>
      </c>
      <c r="N126" s="43">
        <v>0.59</v>
      </c>
      <c r="O126" s="42">
        <v>34512.78</v>
      </c>
      <c r="P126" s="42">
        <v>0</v>
      </c>
    </row>
    <row r="127" spans="1:16" ht="15" customHeight="1" x14ac:dyDescent="0.3">
      <c r="A127" s="44" t="s">
        <v>330</v>
      </c>
      <c r="B127" s="45">
        <v>44318</v>
      </c>
      <c r="C127" s="44" t="s">
        <v>331</v>
      </c>
      <c r="D127" s="44" t="s">
        <v>138</v>
      </c>
      <c r="E127" s="46">
        <v>13875</v>
      </c>
      <c r="F127" s="47">
        <v>0.215</v>
      </c>
      <c r="G127" s="44">
        <v>36</v>
      </c>
      <c r="H127" s="44" t="s">
        <v>36</v>
      </c>
      <c r="I127" s="44" t="s">
        <v>60</v>
      </c>
      <c r="J127" s="44" t="s">
        <v>61</v>
      </c>
      <c r="K127" s="48">
        <v>79810</v>
      </c>
      <c r="L127" s="44" t="s">
        <v>68</v>
      </c>
      <c r="M127" s="49">
        <v>0.33</v>
      </c>
      <c r="N127" s="49">
        <v>0.7</v>
      </c>
      <c r="O127" s="48">
        <v>2689.37</v>
      </c>
      <c r="P127" s="48">
        <v>0</v>
      </c>
    </row>
    <row r="128" spans="1:16" ht="15" customHeight="1" x14ac:dyDescent="0.3">
      <c r="A128" s="38" t="s">
        <v>332</v>
      </c>
      <c r="B128" s="39">
        <v>44319</v>
      </c>
      <c r="C128" s="38" t="s">
        <v>333</v>
      </c>
      <c r="D128" s="38" t="s">
        <v>65</v>
      </c>
      <c r="E128" s="40">
        <v>25574</v>
      </c>
      <c r="F128" s="41">
        <v>0.17</v>
      </c>
      <c r="G128" s="38">
        <v>36</v>
      </c>
      <c r="H128" s="38" t="s">
        <v>35</v>
      </c>
      <c r="I128" s="38" t="s">
        <v>80</v>
      </c>
      <c r="J128" s="38" t="s">
        <v>61</v>
      </c>
      <c r="K128" s="42">
        <v>132638</v>
      </c>
      <c r="L128" s="38" t="s">
        <v>85</v>
      </c>
      <c r="M128" s="43">
        <v>0.17</v>
      </c>
      <c r="N128" s="43">
        <v>0.66</v>
      </c>
      <c r="O128" s="42">
        <v>29921.58</v>
      </c>
      <c r="P128" s="42">
        <v>0</v>
      </c>
    </row>
    <row r="129" spans="1:16" ht="15" customHeight="1" x14ac:dyDescent="0.3">
      <c r="A129" s="44" t="s">
        <v>334</v>
      </c>
      <c r="B129" s="45">
        <v>44322</v>
      </c>
      <c r="C129" s="44" t="s">
        <v>335</v>
      </c>
      <c r="D129" s="44" t="s">
        <v>138</v>
      </c>
      <c r="E129" s="46">
        <v>30259</v>
      </c>
      <c r="F129" s="47">
        <v>5.8999999999999997E-2</v>
      </c>
      <c r="G129" s="44">
        <v>36</v>
      </c>
      <c r="H129" s="44" t="s">
        <v>36</v>
      </c>
      <c r="I129" s="44" t="s">
        <v>80</v>
      </c>
      <c r="J129" s="44" t="s">
        <v>72</v>
      </c>
      <c r="K129" s="48">
        <v>102779</v>
      </c>
      <c r="L129" s="44" t="s">
        <v>62</v>
      </c>
      <c r="M129" s="49">
        <v>0.37</v>
      </c>
      <c r="N129" s="49">
        <v>0.69</v>
      </c>
      <c r="O129" s="48">
        <v>2968.33</v>
      </c>
      <c r="P129" s="48">
        <v>0</v>
      </c>
    </row>
    <row r="130" spans="1:16" ht="15" customHeight="1" x14ac:dyDescent="0.3">
      <c r="A130" s="44" t="s">
        <v>336</v>
      </c>
      <c r="B130" s="45">
        <v>44322</v>
      </c>
      <c r="C130" s="44" t="s">
        <v>337</v>
      </c>
      <c r="D130" s="44" t="s">
        <v>88</v>
      </c>
      <c r="E130" s="46">
        <v>28598</v>
      </c>
      <c r="F130" s="47">
        <v>0.115</v>
      </c>
      <c r="G130" s="44">
        <v>60</v>
      </c>
      <c r="H130" s="44" t="s">
        <v>36</v>
      </c>
      <c r="I130" s="44" t="s">
        <v>114</v>
      </c>
      <c r="J130" s="44" t="s">
        <v>76</v>
      </c>
      <c r="K130" s="48">
        <v>63885</v>
      </c>
      <c r="L130" s="44" t="s">
        <v>85</v>
      </c>
      <c r="M130" s="49">
        <v>0.14000000000000001</v>
      </c>
      <c r="N130" s="49">
        <v>0.7</v>
      </c>
      <c r="O130" s="48">
        <v>4701.45</v>
      </c>
      <c r="P130" s="48">
        <v>0</v>
      </c>
    </row>
    <row r="131" spans="1:16" ht="15" customHeight="1" x14ac:dyDescent="0.3">
      <c r="A131" s="38" t="s">
        <v>338</v>
      </c>
      <c r="B131" s="39">
        <v>44323</v>
      </c>
      <c r="C131" s="38" t="s">
        <v>339</v>
      </c>
      <c r="D131" s="38" t="s">
        <v>88</v>
      </c>
      <c r="E131" s="40">
        <v>39067</v>
      </c>
      <c r="F131" s="41">
        <v>0.16300000000000001</v>
      </c>
      <c r="G131" s="38">
        <v>36</v>
      </c>
      <c r="H131" s="38" t="s">
        <v>35</v>
      </c>
      <c r="I131" s="38" t="s">
        <v>71</v>
      </c>
      <c r="J131" s="38" t="s">
        <v>61</v>
      </c>
      <c r="K131" s="42">
        <v>143776</v>
      </c>
      <c r="L131" s="38" t="s">
        <v>85</v>
      </c>
      <c r="M131" s="43">
        <v>0.22</v>
      </c>
      <c r="N131" s="43">
        <v>0.51</v>
      </c>
      <c r="O131" s="42">
        <v>45434.92</v>
      </c>
      <c r="P131" s="42">
        <v>0</v>
      </c>
    </row>
    <row r="132" spans="1:16" ht="15" customHeight="1" x14ac:dyDescent="0.3">
      <c r="A132" s="44" t="s">
        <v>340</v>
      </c>
      <c r="B132" s="45">
        <v>44324</v>
      </c>
      <c r="C132" s="44" t="s">
        <v>341</v>
      </c>
      <c r="D132" s="44" t="s">
        <v>108</v>
      </c>
      <c r="E132" s="46">
        <v>4631</v>
      </c>
      <c r="F132" s="47">
        <v>0.14199999999999999</v>
      </c>
      <c r="G132" s="44">
        <v>36</v>
      </c>
      <c r="H132" s="44" t="s">
        <v>36</v>
      </c>
      <c r="I132" s="44" t="s">
        <v>83</v>
      </c>
      <c r="J132" s="44" t="s">
        <v>67</v>
      </c>
      <c r="K132" s="48">
        <v>132928</v>
      </c>
      <c r="L132" s="44" t="s">
        <v>68</v>
      </c>
      <c r="M132" s="49">
        <v>0.45</v>
      </c>
      <c r="N132" s="49">
        <v>0.53</v>
      </c>
      <c r="O132" s="48">
        <v>1702.69</v>
      </c>
      <c r="P132" s="48">
        <v>0</v>
      </c>
    </row>
    <row r="133" spans="1:16" ht="15" customHeight="1" x14ac:dyDescent="0.3">
      <c r="A133" s="38" t="s">
        <v>342</v>
      </c>
      <c r="B133" s="39">
        <v>44324</v>
      </c>
      <c r="C133" s="38" t="s">
        <v>343</v>
      </c>
      <c r="D133" s="38" t="s">
        <v>75</v>
      </c>
      <c r="E133" s="40">
        <v>23534</v>
      </c>
      <c r="F133" s="41">
        <v>0.13400000000000001</v>
      </c>
      <c r="G133" s="38">
        <v>60</v>
      </c>
      <c r="H133" s="38" t="s">
        <v>35</v>
      </c>
      <c r="I133" s="38" t="s">
        <v>83</v>
      </c>
      <c r="J133" s="38" t="s">
        <v>76</v>
      </c>
      <c r="K133" s="42">
        <v>73469</v>
      </c>
      <c r="L133" s="38" t="s">
        <v>85</v>
      </c>
      <c r="M133" s="43">
        <v>0.2</v>
      </c>
      <c r="N133" s="43">
        <v>0.61</v>
      </c>
      <c r="O133" s="42">
        <v>26687.56</v>
      </c>
      <c r="P133" s="42">
        <v>0</v>
      </c>
    </row>
    <row r="134" spans="1:16" ht="15" customHeight="1" x14ac:dyDescent="0.3">
      <c r="A134" s="50" t="s">
        <v>344</v>
      </c>
      <c r="B134" s="51">
        <v>44324</v>
      </c>
      <c r="C134" s="50" t="s">
        <v>345</v>
      </c>
      <c r="D134" s="50" t="s">
        <v>65</v>
      </c>
      <c r="E134" s="52">
        <v>26121</v>
      </c>
      <c r="F134" s="53">
        <v>0.188</v>
      </c>
      <c r="G134" s="50">
        <v>60</v>
      </c>
      <c r="H134" s="50" t="s">
        <v>39</v>
      </c>
      <c r="I134" s="50" t="s">
        <v>80</v>
      </c>
      <c r="J134" s="50" t="s">
        <v>61</v>
      </c>
      <c r="K134" s="54">
        <v>59432</v>
      </c>
      <c r="L134" s="50" t="s">
        <v>85</v>
      </c>
      <c r="M134" s="55">
        <v>0.15</v>
      </c>
      <c r="N134" s="55">
        <v>0.54</v>
      </c>
      <c r="O134" s="54">
        <v>0</v>
      </c>
      <c r="P134" s="54">
        <v>0</v>
      </c>
    </row>
    <row r="135" spans="1:16" ht="15" customHeight="1" x14ac:dyDescent="0.3">
      <c r="A135" s="38" t="s">
        <v>346</v>
      </c>
      <c r="B135" s="39">
        <v>44326</v>
      </c>
      <c r="C135" s="38" t="s">
        <v>347</v>
      </c>
      <c r="D135" s="38" t="s">
        <v>113</v>
      </c>
      <c r="E135" s="40">
        <v>11754</v>
      </c>
      <c r="F135" s="41">
        <v>0.104</v>
      </c>
      <c r="G135" s="38">
        <v>60</v>
      </c>
      <c r="H135" s="38" t="s">
        <v>35</v>
      </c>
      <c r="I135" s="38" t="s">
        <v>60</v>
      </c>
      <c r="J135" s="38" t="s">
        <v>76</v>
      </c>
      <c r="K135" s="42">
        <v>91576</v>
      </c>
      <c r="L135" s="38" t="s">
        <v>68</v>
      </c>
      <c r="M135" s="43">
        <v>0.35</v>
      </c>
      <c r="N135" s="43">
        <v>0.62</v>
      </c>
      <c r="O135" s="42">
        <v>12976.42</v>
      </c>
      <c r="P135" s="42">
        <v>0</v>
      </c>
    </row>
    <row r="136" spans="1:16" ht="15" customHeight="1" x14ac:dyDescent="0.3">
      <c r="A136" s="44" t="s">
        <v>348</v>
      </c>
      <c r="B136" s="45">
        <v>44327</v>
      </c>
      <c r="C136" s="44" t="s">
        <v>349</v>
      </c>
      <c r="D136" s="44" t="s">
        <v>108</v>
      </c>
      <c r="E136" s="46">
        <v>30402</v>
      </c>
      <c r="F136" s="47">
        <v>0.22800000000000001</v>
      </c>
      <c r="G136" s="44">
        <v>36</v>
      </c>
      <c r="H136" s="44" t="s">
        <v>36</v>
      </c>
      <c r="I136" s="44" t="s">
        <v>60</v>
      </c>
      <c r="J136" s="44" t="s">
        <v>76</v>
      </c>
      <c r="K136" s="48">
        <v>34234</v>
      </c>
      <c r="L136" s="44" t="s">
        <v>68</v>
      </c>
      <c r="M136" s="49">
        <v>0.41</v>
      </c>
      <c r="N136" s="49">
        <v>0.55000000000000004</v>
      </c>
      <c r="O136" s="48">
        <v>3813.31</v>
      </c>
      <c r="P136" s="48">
        <v>0</v>
      </c>
    </row>
    <row r="137" spans="1:16" ht="15" customHeight="1" x14ac:dyDescent="0.3">
      <c r="A137" s="38" t="s">
        <v>350</v>
      </c>
      <c r="B137" s="39">
        <v>44328</v>
      </c>
      <c r="C137" s="38" t="s">
        <v>351</v>
      </c>
      <c r="D137" s="38" t="s">
        <v>138</v>
      </c>
      <c r="E137" s="40">
        <v>32910</v>
      </c>
      <c r="F137" s="41">
        <v>5.0999999999999997E-2</v>
      </c>
      <c r="G137" s="38">
        <v>36</v>
      </c>
      <c r="H137" s="38" t="s">
        <v>35</v>
      </c>
      <c r="I137" s="38" t="s">
        <v>71</v>
      </c>
      <c r="J137" s="38" t="s">
        <v>76</v>
      </c>
      <c r="K137" s="42">
        <v>39221</v>
      </c>
      <c r="L137" s="38" t="s">
        <v>62</v>
      </c>
      <c r="M137" s="43">
        <v>0.47</v>
      </c>
      <c r="N137" s="43">
        <v>0.53</v>
      </c>
      <c r="O137" s="42">
        <v>34588.410000000003</v>
      </c>
      <c r="P137" s="42">
        <v>0</v>
      </c>
    </row>
    <row r="138" spans="1:16" ht="15" customHeight="1" x14ac:dyDescent="0.3">
      <c r="A138" s="38" t="s">
        <v>352</v>
      </c>
      <c r="B138" s="39">
        <v>44329</v>
      </c>
      <c r="C138" s="38" t="s">
        <v>353</v>
      </c>
      <c r="D138" s="38" t="s">
        <v>59</v>
      </c>
      <c r="E138" s="40">
        <v>14669</v>
      </c>
      <c r="F138" s="41">
        <v>0.20200000000000001</v>
      </c>
      <c r="G138" s="38">
        <v>36</v>
      </c>
      <c r="H138" s="38" t="s">
        <v>35</v>
      </c>
      <c r="I138" s="38" t="s">
        <v>80</v>
      </c>
      <c r="J138" s="38" t="s">
        <v>61</v>
      </c>
      <c r="K138" s="42">
        <v>114214</v>
      </c>
      <c r="L138" s="38" t="s">
        <v>62</v>
      </c>
      <c r="M138" s="43">
        <v>0.35</v>
      </c>
      <c r="N138" s="43">
        <v>0.5</v>
      </c>
      <c r="O138" s="42">
        <v>17632.14</v>
      </c>
      <c r="P138" s="42">
        <v>0</v>
      </c>
    </row>
    <row r="139" spans="1:16" ht="15" customHeight="1" x14ac:dyDescent="0.3">
      <c r="A139" s="44" t="s">
        <v>354</v>
      </c>
      <c r="B139" s="45">
        <v>44330</v>
      </c>
      <c r="C139" s="44" t="s">
        <v>355</v>
      </c>
      <c r="D139" s="44" t="s">
        <v>113</v>
      </c>
      <c r="E139" s="46">
        <v>1956</v>
      </c>
      <c r="F139" s="47">
        <v>8.3000000000000004E-2</v>
      </c>
      <c r="G139" s="44">
        <v>36</v>
      </c>
      <c r="H139" s="44" t="s">
        <v>36</v>
      </c>
      <c r="I139" s="44" t="s">
        <v>83</v>
      </c>
      <c r="J139" s="44" t="s">
        <v>61</v>
      </c>
      <c r="K139" s="48">
        <v>134383</v>
      </c>
      <c r="L139" s="44" t="s">
        <v>68</v>
      </c>
      <c r="M139" s="49">
        <v>0.24</v>
      </c>
      <c r="N139" s="49">
        <v>0.91</v>
      </c>
      <c r="O139" s="48">
        <v>899.87</v>
      </c>
      <c r="P139" s="48">
        <v>0</v>
      </c>
    </row>
    <row r="140" spans="1:16" ht="15" customHeight="1" x14ac:dyDescent="0.3">
      <c r="A140" s="38" t="s">
        <v>356</v>
      </c>
      <c r="B140" s="39">
        <v>44331</v>
      </c>
      <c r="C140" s="38" t="s">
        <v>357</v>
      </c>
      <c r="D140" s="38" t="s">
        <v>97</v>
      </c>
      <c r="E140" s="40">
        <v>28935</v>
      </c>
      <c r="F140" s="41">
        <v>7.1999999999999995E-2</v>
      </c>
      <c r="G140" s="38">
        <v>60</v>
      </c>
      <c r="H140" s="38" t="s">
        <v>35</v>
      </c>
      <c r="I140" s="38" t="s">
        <v>60</v>
      </c>
      <c r="J140" s="38" t="s">
        <v>76</v>
      </c>
      <c r="K140" s="42">
        <v>107299</v>
      </c>
      <c r="L140" s="38" t="s">
        <v>62</v>
      </c>
      <c r="M140" s="43">
        <v>0.38</v>
      </c>
      <c r="N140" s="43">
        <v>0.83</v>
      </c>
      <c r="O140" s="42">
        <v>31018.32</v>
      </c>
      <c r="P140" s="42">
        <v>0</v>
      </c>
    </row>
    <row r="141" spans="1:16" ht="15" customHeight="1" x14ac:dyDescent="0.3">
      <c r="A141" s="38" t="s">
        <v>358</v>
      </c>
      <c r="B141" s="39">
        <v>44334</v>
      </c>
      <c r="C141" s="38" t="s">
        <v>359</v>
      </c>
      <c r="D141" s="38" t="s">
        <v>125</v>
      </c>
      <c r="E141" s="40">
        <v>16577</v>
      </c>
      <c r="F141" s="41">
        <v>5.1999999999999998E-2</v>
      </c>
      <c r="G141" s="38">
        <v>60</v>
      </c>
      <c r="H141" s="38" t="s">
        <v>35</v>
      </c>
      <c r="I141" s="38" t="s">
        <v>114</v>
      </c>
      <c r="J141" s="38" t="s">
        <v>76</v>
      </c>
      <c r="K141" s="42">
        <v>142824</v>
      </c>
      <c r="L141" s="38" t="s">
        <v>68</v>
      </c>
      <c r="M141" s="43">
        <v>0.14000000000000001</v>
      </c>
      <c r="N141" s="43">
        <v>0.72</v>
      </c>
      <c r="O141" s="42">
        <v>17439</v>
      </c>
      <c r="P141" s="42">
        <v>0</v>
      </c>
    </row>
    <row r="142" spans="1:16" ht="15" customHeight="1" x14ac:dyDescent="0.3">
      <c r="A142" s="44" t="s">
        <v>360</v>
      </c>
      <c r="B142" s="45">
        <v>44335</v>
      </c>
      <c r="C142" s="44" t="s">
        <v>361</v>
      </c>
      <c r="D142" s="44" t="s">
        <v>108</v>
      </c>
      <c r="E142" s="46">
        <v>8227</v>
      </c>
      <c r="F142" s="47">
        <v>0.11700000000000001</v>
      </c>
      <c r="G142" s="44">
        <v>60</v>
      </c>
      <c r="H142" s="44" t="s">
        <v>36</v>
      </c>
      <c r="I142" s="44" t="s">
        <v>71</v>
      </c>
      <c r="J142" s="44" t="s">
        <v>76</v>
      </c>
      <c r="K142" s="48">
        <v>87767</v>
      </c>
      <c r="L142" s="44" t="s">
        <v>85</v>
      </c>
      <c r="M142" s="49">
        <v>0.27</v>
      </c>
      <c r="N142" s="49">
        <v>0.51</v>
      </c>
      <c r="O142" s="48">
        <v>2597.8000000000002</v>
      </c>
      <c r="P142" s="48">
        <v>0</v>
      </c>
    </row>
    <row r="143" spans="1:16" ht="15" customHeight="1" x14ac:dyDescent="0.3">
      <c r="A143" s="38" t="s">
        <v>362</v>
      </c>
      <c r="B143" s="39">
        <v>44336</v>
      </c>
      <c r="C143" s="38" t="s">
        <v>363</v>
      </c>
      <c r="D143" s="38" t="s">
        <v>79</v>
      </c>
      <c r="E143" s="40">
        <v>10852</v>
      </c>
      <c r="F143" s="41">
        <v>5.6000000000000001E-2</v>
      </c>
      <c r="G143" s="38">
        <v>60</v>
      </c>
      <c r="H143" s="38" t="s">
        <v>35</v>
      </c>
      <c r="I143" s="38" t="s">
        <v>71</v>
      </c>
      <c r="J143" s="38" t="s">
        <v>61</v>
      </c>
      <c r="K143" s="42">
        <v>52800</v>
      </c>
      <c r="L143" s="38" t="s">
        <v>62</v>
      </c>
      <c r="M143" s="43">
        <v>0.12</v>
      </c>
      <c r="N143" s="43">
        <v>0.79</v>
      </c>
      <c r="O143" s="42">
        <v>11459.71</v>
      </c>
      <c r="P143" s="42">
        <v>0</v>
      </c>
    </row>
    <row r="144" spans="1:16" ht="15" customHeight="1" x14ac:dyDescent="0.3">
      <c r="A144" s="44" t="s">
        <v>364</v>
      </c>
      <c r="B144" s="45">
        <v>44337</v>
      </c>
      <c r="C144" s="44" t="s">
        <v>365</v>
      </c>
      <c r="D144" s="44" t="s">
        <v>88</v>
      </c>
      <c r="E144" s="46">
        <v>11699</v>
      </c>
      <c r="F144" s="47">
        <v>0.223</v>
      </c>
      <c r="G144" s="44">
        <v>60</v>
      </c>
      <c r="H144" s="44" t="s">
        <v>36</v>
      </c>
      <c r="I144" s="44" t="s">
        <v>80</v>
      </c>
      <c r="J144" s="44" t="s">
        <v>76</v>
      </c>
      <c r="K144" s="48">
        <v>137411</v>
      </c>
      <c r="L144" s="44" t="s">
        <v>62</v>
      </c>
      <c r="M144" s="49">
        <v>0.47</v>
      </c>
      <c r="N144" s="49">
        <v>0.85</v>
      </c>
      <c r="O144" s="48">
        <v>2660.54</v>
      </c>
      <c r="P144" s="48">
        <v>0</v>
      </c>
    </row>
    <row r="145" spans="1:16" ht="15" customHeight="1" x14ac:dyDescent="0.3">
      <c r="A145" s="38" t="s">
        <v>366</v>
      </c>
      <c r="B145" s="39">
        <v>44339</v>
      </c>
      <c r="C145" s="38" t="s">
        <v>367</v>
      </c>
      <c r="D145" s="38" t="s">
        <v>138</v>
      </c>
      <c r="E145" s="40">
        <v>15210</v>
      </c>
      <c r="F145" s="41">
        <v>9.1999999999999998E-2</v>
      </c>
      <c r="G145" s="38">
        <v>60</v>
      </c>
      <c r="H145" s="38" t="s">
        <v>35</v>
      </c>
      <c r="I145" s="38" t="s">
        <v>83</v>
      </c>
      <c r="J145" s="38" t="s">
        <v>76</v>
      </c>
      <c r="K145" s="42">
        <v>74757</v>
      </c>
      <c r="L145" s="38" t="s">
        <v>62</v>
      </c>
      <c r="M145" s="43">
        <v>0.46</v>
      </c>
      <c r="N145" s="43">
        <v>0.83</v>
      </c>
      <c r="O145" s="42">
        <v>16609.32</v>
      </c>
      <c r="P145" s="42">
        <v>0</v>
      </c>
    </row>
    <row r="146" spans="1:16" ht="15" customHeight="1" x14ac:dyDescent="0.3">
      <c r="A146" s="50" t="s">
        <v>368</v>
      </c>
      <c r="B146" s="51">
        <v>44340</v>
      </c>
      <c r="C146" s="50" t="s">
        <v>369</v>
      </c>
      <c r="D146" s="50" t="s">
        <v>88</v>
      </c>
      <c r="E146" s="52">
        <v>15899</v>
      </c>
      <c r="F146" s="53">
        <v>0.19900000000000001</v>
      </c>
      <c r="G146" s="50">
        <v>60</v>
      </c>
      <c r="H146" s="50" t="s">
        <v>39</v>
      </c>
      <c r="I146" s="50" t="s">
        <v>66</v>
      </c>
      <c r="J146" s="50" t="s">
        <v>67</v>
      </c>
      <c r="K146" s="54">
        <v>50324</v>
      </c>
      <c r="L146" s="50" t="s">
        <v>62</v>
      </c>
      <c r="M146" s="55">
        <v>0.17</v>
      </c>
      <c r="N146" s="55">
        <v>0.62</v>
      </c>
      <c r="O146" s="54">
        <v>0</v>
      </c>
      <c r="P146" s="54">
        <v>0</v>
      </c>
    </row>
    <row r="147" spans="1:16" ht="15" customHeight="1" x14ac:dyDescent="0.3">
      <c r="A147" s="38" t="s">
        <v>370</v>
      </c>
      <c r="B147" s="39">
        <v>44340</v>
      </c>
      <c r="C147" s="38" t="s">
        <v>371</v>
      </c>
      <c r="D147" s="38" t="s">
        <v>79</v>
      </c>
      <c r="E147" s="40">
        <v>33413</v>
      </c>
      <c r="F147" s="41">
        <v>9.1999999999999998E-2</v>
      </c>
      <c r="G147" s="38">
        <v>36</v>
      </c>
      <c r="H147" s="38" t="s">
        <v>35</v>
      </c>
      <c r="I147" s="38" t="s">
        <v>80</v>
      </c>
      <c r="J147" s="38" t="s">
        <v>84</v>
      </c>
      <c r="K147" s="42">
        <v>118031</v>
      </c>
      <c r="L147" s="38" t="s">
        <v>68</v>
      </c>
      <c r="M147" s="43">
        <v>0.21</v>
      </c>
      <c r="N147" s="43">
        <v>0.88</v>
      </c>
      <c r="O147" s="42">
        <v>36487</v>
      </c>
      <c r="P147" s="42">
        <v>0</v>
      </c>
    </row>
    <row r="148" spans="1:16" ht="15" customHeight="1" x14ac:dyDescent="0.3">
      <c r="A148" s="38" t="s">
        <v>372</v>
      </c>
      <c r="B148" s="39">
        <v>44340</v>
      </c>
      <c r="C148" s="38" t="s">
        <v>373</v>
      </c>
      <c r="D148" s="38" t="s">
        <v>79</v>
      </c>
      <c r="E148" s="40">
        <v>19440</v>
      </c>
      <c r="F148" s="41">
        <v>0.192</v>
      </c>
      <c r="G148" s="38">
        <v>36</v>
      </c>
      <c r="H148" s="38" t="s">
        <v>35</v>
      </c>
      <c r="I148" s="38" t="s">
        <v>114</v>
      </c>
      <c r="J148" s="38" t="s">
        <v>72</v>
      </c>
      <c r="K148" s="42">
        <v>65903</v>
      </c>
      <c r="L148" s="38" t="s">
        <v>62</v>
      </c>
      <c r="M148" s="43">
        <v>0.17</v>
      </c>
      <c r="N148" s="43">
        <v>0.89</v>
      </c>
      <c r="O148" s="42">
        <v>23172.48</v>
      </c>
      <c r="P148" s="42">
        <v>0</v>
      </c>
    </row>
    <row r="149" spans="1:16" ht="15" customHeight="1" x14ac:dyDescent="0.3">
      <c r="A149" s="44" t="s">
        <v>374</v>
      </c>
      <c r="B149" s="45">
        <v>44341</v>
      </c>
      <c r="C149" s="44" t="s">
        <v>375</v>
      </c>
      <c r="D149" s="44" t="s">
        <v>97</v>
      </c>
      <c r="E149" s="46">
        <v>26519</v>
      </c>
      <c r="F149" s="47">
        <v>0.19600000000000001</v>
      </c>
      <c r="G149" s="44">
        <v>36</v>
      </c>
      <c r="H149" s="44" t="s">
        <v>36</v>
      </c>
      <c r="I149" s="44" t="s">
        <v>60</v>
      </c>
      <c r="J149" s="44" t="s">
        <v>61</v>
      </c>
      <c r="K149" s="48">
        <v>125402</v>
      </c>
      <c r="L149" s="44" t="s">
        <v>68</v>
      </c>
      <c r="M149" s="49">
        <v>0.12</v>
      </c>
      <c r="N149" s="49">
        <v>0.7</v>
      </c>
      <c r="O149" s="48">
        <v>11613.67</v>
      </c>
      <c r="P149" s="48">
        <v>0</v>
      </c>
    </row>
    <row r="150" spans="1:16" ht="15" customHeight="1" x14ac:dyDescent="0.3">
      <c r="A150" s="38" t="s">
        <v>376</v>
      </c>
      <c r="B150" s="39">
        <v>44341</v>
      </c>
      <c r="C150" s="38" t="s">
        <v>377</v>
      </c>
      <c r="D150" s="38" t="s">
        <v>88</v>
      </c>
      <c r="E150" s="40">
        <v>11106</v>
      </c>
      <c r="F150" s="41">
        <v>0.109</v>
      </c>
      <c r="G150" s="38">
        <v>36</v>
      </c>
      <c r="H150" s="38" t="s">
        <v>35</v>
      </c>
      <c r="I150" s="38" t="s">
        <v>66</v>
      </c>
      <c r="J150" s="38" t="s">
        <v>84</v>
      </c>
      <c r="K150" s="42">
        <v>125500</v>
      </c>
      <c r="L150" s="38" t="s">
        <v>85</v>
      </c>
      <c r="M150" s="43">
        <v>0.13</v>
      </c>
      <c r="N150" s="43">
        <v>0.56000000000000005</v>
      </c>
      <c r="O150" s="42">
        <v>12316.55</v>
      </c>
      <c r="P150" s="42">
        <v>0</v>
      </c>
    </row>
    <row r="151" spans="1:16" ht="15" customHeight="1" x14ac:dyDescent="0.3">
      <c r="A151" s="38" t="s">
        <v>378</v>
      </c>
      <c r="B151" s="39">
        <v>44342</v>
      </c>
      <c r="C151" s="38" t="s">
        <v>379</v>
      </c>
      <c r="D151" s="38" t="s">
        <v>125</v>
      </c>
      <c r="E151" s="40">
        <v>37142</v>
      </c>
      <c r="F151" s="41">
        <v>0.14000000000000001</v>
      </c>
      <c r="G151" s="38">
        <v>36</v>
      </c>
      <c r="H151" s="38" t="s">
        <v>35</v>
      </c>
      <c r="I151" s="38" t="s">
        <v>83</v>
      </c>
      <c r="J151" s="38" t="s">
        <v>76</v>
      </c>
      <c r="K151" s="42">
        <v>116694</v>
      </c>
      <c r="L151" s="38" t="s">
        <v>85</v>
      </c>
      <c r="M151" s="43">
        <v>0.43</v>
      </c>
      <c r="N151" s="43">
        <v>0.53</v>
      </c>
      <c r="O151" s="42">
        <v>42341.88</v>
      </c>
      <c r="P151" s="42">
        <v>0</v>
      </c>
    </row>
    <row r="152" spans="1:16" ht="15" customHeight="1" x14ac:dyDescent="0.3">
      <c r="A152" s="50" t="s">
        <v>380</v>
      </c>
      <c r="B152" s="51">
        <v>44343</v>
      </c>
      <c r="C152" s="50" t="s">
        <v>381</v>
      </c>
      <c r="D152" s="50" t="s">
        <v>97</v>
      </c>
      <c r="E152" s="52">
        <v>25282</v>
      </c>
      <c r="F152" s="53">
        <v>0.18</v>
      </c>
      <c r="G152" s="50">
        <v>60</v>
      </c>
      <c r="H152" s="50" t="s">
        <v>38</v>
      </c>
      <c r="I152" s="50" t="s">
        <v>83</v>
      </c>
      <c r="J152" s="50" t="s">
        <v>61</v>
      </c>
      <c r="K152" s="54">
        <v>92901</v>
      </c>
      <c r="L152" s="50" t="s">
        <v>85</v>
      </c>
      <c r="M152" s="55">
        <v>0.12</v>
      </c>
      <c r="N152" s="55">
        <v>0.57999999999999996</v>
      </c>
      <c r="O152" s="54">
        <v>0</v>
      </c>
      <c r="P152" s="54">
        <v>0</v>
      </c>
    </row>
    <row r="153" spans="1:16" ht="15" customHeight="1" x14ac:dyDescent="0.3">
      <c r="A153" s="44" t="s">
        <v>382</v>
      </c>
      <c r="B153" s="45">
        <v>44343</v>
      </c>
      <c r="C153" s="44" t="s">
        <v>383</v>
      </c>
      <c r="D153" s="44" t="s">
        <v>79</v>
      </c>
      <c r="E153" s="46">
        <v>24895</v>
      </c>
      <c r="F153" s="47">
        <v>6.3E-2</v>
      </c>
      <c r="G153" s="44">
        <v>36</v>
      </c>
      <c r="H153" s="44" t="s">
        <v>36</v>
      </c>
      <c r="I153" s="44" t="s">
        <v>83</v>
      </c>
      <c r="J153" s="44" t="s">
        <v>67</v>
      </c>
      <c r="K153" s="48">
        <v>103493</v>
      </c>
      <c r="L153" s="44" t="s">
        <v>85</v>
      </c>
      <c r="M153" s="49">
        <v>0.38</v>
      </c>
      <c r="N153" s="49">
        <v>0.88</v>
      </c>
      <c r="O153" s="48">
        <v>1971.07</v>
      </c>
      <c r="P153" s="48">
        <v>0</v>
      </c>
    </row>
    <row r="154" spans="1:16" ht="15" customHeight="1" x14ac:dyDescent="0.3">
      <c r="A154" s="38" t="s">
        <v>384</v>
      </c>
      <c r="B154" s="39">
        <v>44344</v>
      </c>
      <c r="C154" s="38" t="s">
        <v>385</v>
      </c>
      <c r="D154" s="38" t="s">
        <v>88</v>
      </c>
      <c r="E154" s="40">
        <v>18347</v>
      </c>
      <c r="F154" s="41">
        <v>0.183</v>
      </c>
      <c r="G154" s="38">
        <v>36</v>
      </c>
      <c r="H154" s="38" t="s">
        <v>35</v>
      </c>
      <c r="I154" s="38" t="s">
        <v>114</v>
      </c>
      <c r="J154" s="38" t="s">
        <v>72</v>
      </c>
      <c r="K154" s="42">
        <v>104711</v>
      </c>
      <c r="L154" s="38" t="s">
        <v>62</v>
      </c>
      <c r="M154" s="43">
        <v>0.28999999999999998</v>
      </c>
      <c r="N154" s="43">
        <v>0.55000000000000004</v>
      </c>
      <c r="O154" s="42">
        <v>21704.5</v>
      </c>
      <c r="P154" s="42">
        <v>0</v>
      </c>
    </row>
    <row r="155" spans="1:16" ht="15" customHeight="1" x14ac:dyDescent="0.3">
      <c r="A155" s="38" t="s">
        <v>386</v>
      </c>
      <c r="B155" s="39">
        <v>44346</v>
      </c>
      <c r="C155" s="38" t="s">
        <v>387</v>
      </c>
      <c r="D155" s="38" t="s">
        <v>65</v>
      </c>
      <c r="E155" s="40">
        <v>26821</v>
      </c>
      <c r="F155" s="41">
        <v>7.4999999999999997E-2</v>
      </c>
      <c r="G155" s="38">
        <v>60</v>
      </c>
      <c r="H155" s="38" t="s">
        <v>35</v>
      </c>
      <c r="I155" s="38" t="s">
        <v>83</v>
      </c>
      <c r="J155" s="38" t="s">
        <v>72</v>
      </c>
      <c r="K155" s="42">
        <v>35741</v>
      </c>
      <c r="L155" s="38" t="s">
        <v>85</v>
      </c>
      <c r="M155" s="43">
        <v>0.44</v>
      </c>
      <c r="N155" s="43">
        <v>0.62</v>
      </c>
      <c r="O155" s="42">
        <v>28832.57</v>
      </c>
      <c r="P155" s="42">
        <v>0</v>
      </c>
    </row>
    <row r="156" spans="1:16" ht="15" customHeight="1" x14ac:dyDescent="0.3">
      <c r="A156" s="38" t="s">
        <v>388</v>
      </c>
      <c r="B156" s="39">
        <v>44347</v>
      </c>
      <c r="C156" s="38" t="s">
        <v>389</v>
      </c>
      <c r="D156" s="38" t="s">
        <v>75</v>
      </c>
      <c r="E156" s="40">
        <v>5481</v>
      </c>
      <c r="F156" s="41">
        <v>0.156</v>
      </c>
      <c r="G156" s="38">
        <v>36</v>
      </c>
      <c r="H156" s="38" t="s">
        <v>35</v>
      </c>
      <c r="I156" s="38" t="s">
        <v>114</v>
      </c>
      <c r="J156" s="38" t="s">
        <v>76</v>
      </c>
      <c r="K156" s="42">
        <v>125676</v>
      </c>
      <c r="L156" s="38" t="s">
        <v>68</v>
      </c>
      <c r="M156" s="43">
        <v>0.27</v>
      </c>
      <c r="N156" s="43">
        <v>0.89</v>
      </c>
      <c r="O156" s="42">
        <v>6336.04</v>
      </c>
      <c r="P156" s="42">
        <v>0</v>
      </c>
    </row>
    <row r="157" spans="1:16" ht="15" customHeight="1" x14ac:dyDescent="0.3">
      <c r="A157" s="38" t="s">
        <v>390</v>
      </c>
      <c r="B157" s="39">
        <v>44347</v>
      </c>
      <c r="C157" s="38" t="s">
        <v>391</v>
      </c>
      <c r="D157" s="38" t="s">
        <v>79</v>
      </c>
      <c r="E157" s="40">
        <v>15561</v>
      </c>
      <c r="F157" s="41">
        <v>0.187</v>
      </c>
      <c r="G157" s="38">
        <v>36</v>
      </c>
      <c r="H157" s="38" t="s">
        <v>35</v>
      </c>
      <c r="I157" s="38" t="s">
        <v>60</v>
      </c>
      <c r="J157" s="38" t="s">
        <v>76</v>
      </c>
      <c r="K157" s="42">
        <v>55939</v>
      </c>
      <c r="L157" s="38" t="s">
        <v>68</v>
      </c>
      <c r="M157" s="43">
        <v>0.26</v>
      </c>
      <c r="N157" s="43">
        <v>0.66</v>
      </c>
      <c r="O157" s="42">
        <v>18470.91</v>
      </c>
      <c r="P157" s="42">
        <v>0</v>
      </c>
    </row>
    <row r="158" spans="1:16" ht="15" customHeight="1" x14ac:dyDescent="0.3">
      <c r="A158" s="38" t="s">
        <v>392</v>
      </c>
      <c r="B158" s="39">
        <v>44348</v>
      </c>
      <c r="C158" s="38" t="s">
        <v>393</v>
      </c>
      <c r="D158" s="38" t="s">
        <v>113</v>
      </c>
      <c r="E158" s="40">
        <v>31448</v>
      </c>
      <c r="F158" s="41">
        <v>9.5000000000000001E-2</v>
      </c>
      <c r="G158" s="38">
        <v>36</v>
      </c>
      <c r="H158" s="38" t="s">
        <v>35</v>
      </c>
      <c r="I158" s="38" t="s">
        <v>71</v>
      </c>
      <c r="J158" s="38" t="s">
        <v>76</v>
      </c>
      <c r="K158" s="42">
        <v>101246</v>
      </c>
      <c r="L158" s="38" t="s">
        <v>85</v>
      </c>
      <c r="M158" s="43">
        <v>0.16</v>
      </c>
      <c r="N158" s="43">
        <v>0.81</v>
      </c>
      <c r="O158" s="42">
        <v>34435.56</v>
      </c>
      <c r="P158" s="42">
        <v>0</v>
      </c>
    </row>
    <row r="159" spans="1:16" ht="15" customHeight="1" x14ac:dyDescent="0.3">
      <c r="A159" s="44" t="s">
        <v>394</v>
      </c>
      <c r="B159" s="45">
        <v>44349</v>
      </c>
      <c r="C159" s="44" t="s">
        <v>395</v>
      </c>
      <c r="D159" s="44" t="s">
        <v>59</v>
      </c>
      <c r="E159" s="46">
        <v>8906</v>
      </c>
      <c r="F159" s="47">
        <v>0.06</v>
      </c>
      <c r="G159" s="44">
        <v>36</v>
      </c>
      <c r="H159" s="44" t="s">
        <v>36</v>
      </c>
      <c r="I159" s="44" t="s">
        <v>80</v>
      </c>
      <c r="J159" s="44" t="s">
        <v>67</v>
      </c>
      <c r="K159" s="48">
        <v>95901</v>
      </c>
      <c r="L159" s="44" t="s">
        <v>68</v>
      </c>
      <c r="M159" s="49">
        <v>0.5</v>
      </c>
      <c r="N159" s="49">
        <v>0.72</v>
      </c>
      <c r="O159" s="48">
        <v>2971.76</v>
      </c>
      <c r="P159" s="48">
        <v>0</v>
      </c>
    </row>
    <row r="160" spans="1:16" ht="15" customHeight="1" x14ac:dyDescent="0.3">
      <c r="A160" s="50" t="s">
        <v>396</v>
      </c>
      <c r="B160" s="51">
        <v>44350</v>
      </c>
      <c r="C160" s="50" t="s">
        <v>397</v>
      </c>
      <c r="D160" s="50" t="s">
        <v>97</v>
      </c>
      <c r="E160" s="52">
        <v>1968</v>
      </c>
      <c r="F160" s="53">
        <v>0.17899999999999999</v>
      </c>
      <c r="G160" s="50">
        <v>36</v>
      </c>
      <c r="H160" s="50" t="s">
        <v>38</v>
      </c>
      <c r="I160" s="50" t="s">
        <v>83</v>
      </c>
      <c r="J160" s="50" t="s">
        <v>72</v>
      </c>
      <c r="K160" s="54">
        <v>139373</v>
      </c>
      <c r="L160" s="50" t="s">
        <v>62</v>
      </c>
      <c r="M160" s="55">
        <v>0.28000000000000003</v>
      </c>
      <c r="N160" s="55">
        <v>0.7</v>
      </c>
      <c r="O160" s="54">
        <v>0</v>
      </c>
      <c r="P160" s="54">
        <v>0</v>
      </c>
    </row>
    <row r="161" spans="1:16" ht="15" customHeight="1" x14ac:dyDescent="0.3">
      <c r="A161" s="38" t="s">
        <v>398</v>
      </c>
      <c r="B161" s="39">
        <v>44350</v>
      </c>
      <c r="C161" s="38" t="s">
        <v>399</v>
      </c>
      <c r="D161" s="38" t="s">
        <v>65</v>
      </c>
      <c r="E161" s="40">
        <v>12722</v>
      </c>
      <c r="F161" s="41">
        <v>7.3999999999999996E-2</v>
      </c>
      <c r="G161" s="38">
        <v>60</v>
      </c>
      <c r="H161" s="38" t="s">
        <v>35</v>
      </c>
      <c r="I161" s="38" t="s">
        <v>66</v>
      </c>
      <c r="J161" s="38" t="s">
        <v>76</v>
      </c>
      <c r="K161" s="42">
        <v>46999</v>
      </c>
      <c r="L161" s="38" t="s">
        <v>85</v>
      </c>
      <c r="M161" s="43">
        <v>0.19</v>
      </c>
      <c r="N161" s="43">
        <v>0.88</v>
      </c>
      <c r="O161" s="42">
        <v>13663.43</v>
      </c>
      <c r="P161" s="42">
        <v>0</v>
      </c>
    </row>
    <row r="162" spans="1:16" ht="15" customHeight="1" x14ac:dyDescent="0.3">
      <c r="A162" s="38" t="s">
        <v>400</v>
      </c>
      <c r="B162" s="39">
        <v>44351</v>
      </c>
      <c r="C162" s="38" t="s">
        <v>401</v>
      </c>
      <c r="D162" s="38" t="s">
        <v>97</v>
      </c>
      <c r="E162" s="40">
        <v>37766</v>
      </c>
      <c r="F162" s="41">
        <v>0.20799999999999999</v>
      </c>
      <c r="G162" s="38">
        <v>60</v>
      </c>
      <c r="H162" s="38" t="s">
        <v>35</v>
      </c>
      <c r="I162" s="38" t="s">
        <v>80</v>
      </c>
      <c r="J162" s="38" t="s">
        <v>67</v>
      </c>
      <c r="K162" s="42">
        <v>66607</v>
      </c>
      <c r="L162" s="38" t="s">
        <v>85</v>
      </c>
      <c r="M162" s="43">
        <v>0.34</v>
      </c>
      <c r="N162" s="43">
        <v>0.67</v>
      </c>
      <c r="O162" s="42">
        <v>45621.33</v>
      </c>
      <c r="P162" s="42">
        <v>0</v>
      </c>
    </row>
    <row r="163" spans="1:16" ht="15" customHeight="1" x14ac:dyDescent="0.3">
      <c r="A163" s="44" t="s">
        <v>402</v>
      </c>
      <c r="B163" s="45">
        <v>44352</v>
      </c>
      <c r="C163" s="44" t="s">
        <v>403</v>
      </c>
      <c r="D163" s="44" t="s">
        <v>88</v>
      </c>
      <c r="E163" s="46">
        <v>12138</v>
      </c>
      <c r="F163" s="47">
        <v>0.186</v>
      </c>
      <c r="G163" s="44">
        <v>60</v>
      </c>
      <c r="H163" s="44" t="s">
        <v>36</v>
      </c>
      <c r="I163" s="44" t="s">
        <v>66</v>
      </c>
      <c r="J163" s="44" t="s">
        <v>84</v>
      </c>
      <c r="K163" s="48">
        <v>84195</v>
      </c>
      <c r="L163" s="44" t="s">
        <v>62</v>
      </c>
      <c r="M163" s="49">
        <v>0.44</v>
      </c>
      <c r="N163" s="49">
        <v>0.87</v>
      </c>
      <c r="O163" s="48">
        <v>3469.25</v>
      </c>
      <c r="P163" s="48">
        <v>0</v>
      </c>
    </row>
    <row r="164" spans="1:16" ht="15" customHeight="1" x14ac:dyDescent="0.3">
      <c r="A164" s="38" t="s">
        <v>404</v>
      </c>
      <c r="B164" s="39">
        <v>44353</v>
      </c>
      <c r="C164" s="38" t="s">
        <v>405</v>
      </c>
      <c r="D164" s="38" t="s">
        <v>65</v>
      </c>
      <c r="E164" s="40">
        <v>9533</v>
      </c>
      <c r="F164" s="41">
        <v>0.223</v>
      </c>
      <c r="G164" s="38">
        <v>36</v>
      </c>
      <c r="H164" s="38" t="s">
        <v>35</v>
      </c>
      <c r="I164" s="38" t="s">
        <v>83</v>
      </c>
      <c r="J164" s="38" t="s">
        <v>67</v>
      </c>
      <c r="K164" s="42">
        <v>85021</v>
      </c>
      <c r="L164" s="38" t="s">
        <v>62</v>
      </c>
      <c r="M164" s="43">
        <v>0.19</v>
      </c>
      <c r="N164" s="43">
        <v>0.76</v>
      </c>
      <c r="O164" s="42">
        <v>11658.86</v>
      </c>
      <c r="P164" s="42">
        <v>0</v>
      </c>
    </row>
    <row r="165" spans="1:16" ht="15" customHeight="1" x14ac:dyDescent="0.3">
      <c r="A165" s="38" t="s">
        <v>406</v>
      </c>
      <c r="B165" s="39">
        <v>44354</v>
      </c>
      <c r="C165" s="38" t="s">
        <v>407</v>
      </c>
      <c r="D165" s="38" t="s">
        <v>113</v>
      </c>
      <c r="E165" s="40">
        <v>12303</v>
      </c>
      <c r="F165" s="41">
        <v>0.22600000000000001</v>
      </c>
      <c r="G165" s="38">
        <v>60</v>
      </c>
      <c r="H165" s="38" t="s">
        <v>35</v>
      </c>
      <c r="I165" s="38" t="s">
        <v>71</v>
      </c>
      <c r="J165" s="38" t="s">
        <v>67</v>
      </c>
      <c r="K165" s="42">
        <v>93344</v>
      </c>
      <c r="L165" s="38" t="s">
        <v>62</v>
      </c>
      <c r="M165" s="43">
        <v>0.14000000000000001</v>
      </c>
      <c r="N165" s="43">
        <v>0.88</v>
      </c>
      <c r="O165" s="42">
        <v>15083.48</v>
      </c>
      <c r="P165" s="42">
        <v>0</v>
      </c>
    </row>
    <row r="166" spans="1:16" ht="15" customHeight="1" x14ac:dyDescent="0.3">
      <c r="A166" s="38" t="s">
        <v>408</v>
      </c>
      <c r="B166" s="39">
        <v>44356</v>
      </c>
      <c r="C166" s="38" t="s">
        <v>409</v>
      </c>
      <c r="D166" s="38" t="s">
        <v>79</v>
      </c>
      <c r="E166" s="40">
        <v>21017</v>
      </c>
      <c r="F166" s="41">
        <v>0.155</v>
      </c>
      <c r="G166" s="38">
        <v>36</v>
      </c>
      <c r="H166" s="38" t="s">
        <v>35</v>
      </c>
      <c r="I166" s="38" t="s">
        <v>71</v>
      </c>
      <c r="J166" s="38" t="s">
        <v>67</v>
      </c>
      <c r="K166" s="42">
        <v>55380</v>
      </c>
      <c r="L166" s="38" t="s">
        <v>68</v>
      </c>
      <c r="M166" s="43">
        <v>0.41</v>
      </c>
      <c r="N166" s="43">
        <v>0.64</v>
      </c>
      <c r="O166" s="42">
        <v>24274.639999999999</v>
      </c>
      <c r="P166" s="42">
        <v>0</v>
      </c>
    </row>
    <row r="167" spans="1:16" ht="15" customHeight="1" x14ac:dyDescent="0.3">
      <c r="A167" s="38" t="s">
        <v>410</v>
      </c>
      <c r="B167" s="39">
        <v>44357</v>
      </c>
      <c r="C167" s="38" t="s">
        <v>411</v>
      </c>
      <c r="D167" s="38" t="s">
        <v>59</v>
      </c>
      <c r="E167" s="40">
        <v>18764</v>
      </c>
      <c r="F167" s="41">
        <v>9.5000000000000001E-2</v>
      </c>
      <c r="G167" s="38">
        <v>36</v>
      </c>
      <c r="H167" s="38" t="s">
        <v>35</v>
      </c>
      <c r="I167" s="38" t="s">
        <v>114</v>
      </c>
      <c r="J167" s="38" t="s">
        <v>76</v>
      </c>
      <c r="K167" s="42">
        <v>108278</v>
      </c>
      <c r="L167" s="38" t="s">
        <v>85</v>
      </c>
      <c r="M167" s="43">
        <v>0.24</v>
      </c>
      <c r="N167" s="43">
        <v>0.76</v>
      </c>
      <c r="O167" s="42">
        <v>20546.580000000002</v>
      </c>
      <c r="P167" s="42">
        <v>0</v>
      </c>
    </row>
    <row r="168" spans="1:16" ht="15" customHeight="1" x14ac:dyDescent="0.3">
      <c r="A168" s="44" t="s">
        <v>412</v>
      </c>
      <c r="B168" s="45">
        <v>44358</v>
      </c>
      <c r="C168" s="44" t="s">
        <v>413</v>
      </c>
      <c r="D168" s="44" t="s">
        <v>88</v>
      </c>
      <c r="E168" s="46">
        <v>1060</v>
      </c>
      <c r="F168" s="47">
        <v>0.17299999999999999</v>
      </c>
      <c r="G168" s="44">
        <v>60</v>
      </c>
      <c r="H168" s="44" t="s">
        <v>36</v>
      </c>
      <c r="I168" s="44" t="s">
        <v>83</v>
      </c>
      <c r="J168" s="44" t="s">
        <v>76</v>
      </c>
      <c r="K168" s="48">
        <v>54123</v>
      </c>
      <c r="L168" s="44" t="s">
        <v>62</v>
      </c>
      <c r="M168" s="49">
        <v>0.49</v>
      </c>
      <c r="N168" s="49">
        <v>0.59</v>
      </c>
      <c r="O168" s="48">
        <v>339.55</v>
      </c>
      <c r="P168" s="48">
        <v>0</v>
      </c>
    </row>
    <row r="169" spans="1:16" ht="15" customHeight="1" x14ac:dyDescent="0.3">
      <c r="A169" s="44" t="s">
        <v>414</v>
      </c>
      <c r="B169" s="45">
        <v>44358</v>
      </c>
      <c r="C169" s="44" t="s">
        <v>415</v>
      </c>
      <c r="D169" s="44" t="s">
        <v>79</v>
      </c>
      <c r="E169" s="46">
        <v>10074</v>
      </c>
      <c r="F169" s="47">
        <v>0.13700000000000001</v>
      </c>
      <c r="G169" s="44">
        <v>36</v>
      </c>
      <c r="H169" s="44" t="s">
        <v>36</v>
      </c>
      <c r="I169" s="44" t="s">
        <v>60</v>
      </c>
      <c r="J169" s="44" t="s">
        <v>76</v>
      </c>
      <c r="K169" s="48">
        <v>85161</v>
      </c>
      <c r="L169" s="44" t="s">
        <v>62</v>
      </c>
      <c r="M169" s="49">
        <v>0.45</v>
      </c>
      <c r="N169" s="49">
        <v>0.89</v>
      </c>
      <c r="O169" s="48">
        <v>4351.3500000000004</v>
      </c>
      <c r="P169" s="48">
        <v>0</v>
      </c>
    </row>
    <row r="170" spans="1:16" ht="15" customHeight="1" x14ac:dyDescent="0.3">
      <c r="A170" s="44" t="s">
        <v>416</v>
      </c>
      <c r="B170" s="45">
        <v>44361</v>
      </c>
      <c r="C170" s="44" t="s">
        <v>417</v>
      </c>
      <c r="D170" s="44" t="s">
        <v>79</v>
      </c>
      <c r="E170" s="46">
        <v>32238</v>
      </c>
      <c r="F170" s="47">
        <v>0.23</v>
      </c>
      <c r="G170" s="44">
        <v>60</v>
      </c>
      <c r="H170" s="44" t="s">
        <v>36</v>
      </c>
      <c r="I170" s="44" t="s">
        <v>80</v>
      </c>
      <c r="J170" s="44" t="s">
        <v>84</v>
      </c>
      <c r="K170" s="48">
        <v>48395</v>
      </c>
      <c r="L170" s="44" t="s">
        <v>62</v>
      </c>
      <c r="M170" s="49">
        <v>0.48</v>
      </c>
      <c r="N170" s="49">
        <v>0.66</v>
      </c>
      <c r="O170" s="48">
        <v>3609.94</v>
      </c>
      <c r="P170" s="48">
        <v>0</v>
      </c>
    </row>
    <row r="171" spans="1:16" ht="15" customHeight="1" x14ac:dyDescent="0.3">
      <c r="A171" s="56" t="s">
        <v>418</v>
      </c>
      <c r="B171" s="57">
        <v>44362</v>
      </c>
      <c r="C171" s="56" t="s">
        <v>419</v>
      </c>
      <c r="D171" s="56" t="s">
        <v>88</v>
      </c>
      <c r="E171" s="58">
        <v>13595</v>
      </c>
      <c r="F171" s="59">
        <v>0.222</v>
      </c>
      <c r="G171" s="56">
        <v>36</v>
      </c>
      <c r="H171" s="56" t="s">
        <v>37</v>
      </c>
      <c r="I171" s="56" t="s">
        <v>257</v>
      </c>
      <c r="J171" s="56" t="s">
        <v>72</v>
      </c>
      <c r="K171" s="60">
        <v>36901</v>
      </c>
      <c r="L171" s="56" t="s">
        <v>62</v>
      </c>
      <c r="M171" s="61">
        <v>0.32</v>
      </c>
      <c r="N171" s="61">
        <v>0.73</v>
      </c>
      <c r="O171" s="60">
        <v>5141.99</v>
      </c>
      <c r="P171" s="60">
        <v>2205.12</v>
      </c>
    </row>
    <row r="172" spans="1:16" ht="15" customHeight="1" x14ac:dyDescent="0.3">
      <c r="A172" s="38" t="s">
        <v>420</v>
      </c>
      <c r="B172" s="39">
        <v>44363</v>
      </c>
      <c r="C172" s="38" t="s">
        <v>421</v>
      </c>
      <c r="D172" s="38" t="s">
        <v>75</v>
      </c>
      <c r="E172" s="40">
        <v>24150</v>
      </c>
      <c r="F172" s="41">
        <v>6.7000000000000004E-2</v>
      </c>
      <c r="G172" s="38">
        <v>60</v>
      </c>
      <c r="H172" s="38" t="s">
        <v>35</v>
      </c>
      <c r="I172" s="38" t="s">
        <v>71</v>
      </c>
      <c r="J172" s="38" t="s">
        <v>84</v>
      </c>
      <c r="K172" s="42">
        <v>77937</v>
      </c>
      <c r="L172" s="38" t="s">
        <v>62</v>
      </c>
      <c r="M172" s="43">
        <v>0.12</v>
      </c>
      <c r="N172" s="43">
        <v>0.87</v>
      </c>
      <c r="O172" s="42">
        <v>25768.05</v>
      </c>
      <c r="P172" s="42">
        <v>0</v>
      </c>
    </row>
    <row r="173" spans="1:16" ht="15" customHeight="1" x14ac:dyDescent="0.3">
      <c r="A173" s="56" t="s">
        <v>422</v>
      </c>
      <c r="B173" s="57">
        <v>44363</v>
      </c>
      <c r="C173" s="56" t="s">
        <v>423</v>
      </c>
      <c r="D173" s="56" t="s">
        <v>59</v>
      </c>
      <c r="E173" s="58">
        <v>19311</v>
      </c>
      <c r="F173" s="59">
        <v>0.104</v>
      </c>
      <c r="G173" s="56">
        <v>36</v>
      </c>
      <c r="H173" s="56" t="s">
        <v>37</v>
      </c>
      <c r="I173" s="56" t="s">
        <v>80</v>
      </c>
      <c r="J173" s="56" t="s">
        <v>76</v>
      </c>
      <c r="K173" s="60">
        <v>144879</v>
      </c>
      <c r="L173" s="56" t="s">
        <v>62</v>
      </c>
      <c r="M173" s="61">
        <v>0.2</v>
      </c>
      <c r="N173" s="61">
        <v>0.56000000000000005</v>
      </c>
      <c r="O173" s="60">
        <v>7598.51</v>
      </c>
      <c r="P173" s="60">
        <v>3245.92</v>
      </c>
    </row>
    <row r="174" spans="1:16" ht="15" customHeight="1" x14ac:dyDescent="0.3">
      <c r="A174" s="38" t="s">
        <v>424</v>
      </c>
      <c r="B174" s="39">
        <v>44366</v>
      </c>
      <c r="C174" s="38" t="s">
        <v>425</v>
      </c>
      <c r="D174" s="38" t="s">
        <v>125</v>
      </c>
      <c r="E174" s="40">
        <v>37877</v>
      </c>
      <c r="F174" s="41">
        <v>0.17</v>
      </c>
      <c r="G174" s="38">
        <v>36</v>
      </c>
      <c r="H174" s="38" t="s">
        <v>35</v>
      </c>
      <c r="I174" s="38" t="s">
        <v>60</v>
      </c>
      <c r="J174" s="38" t="s">
        <v>61</v>
      </c>
      <c r="K174" s="42">
        <v>132274</v>
      </c>
      <c r="L174" s="38" t="s">
        <v>68</v>
      </c>
      <c r="M174" s="43">
        <v>0.45</v>
      </c>
      <c r="N174" s="43">
        <v>0.53</v>
      </c>
      <c r="O174" s="42">
        <v>44316.09</v>
      </c>
      <c r="P174" s="42">
        <v>0</v>
      </c>
    </row>
    <row r="175" spans="1:16" ht="15" customHeight="1" x14ac:dyDescent="0.3">
      <c r="A175" s="38" t="s">
        <v>426</v>
      </c>
      <c r="B175" s="39">
        <v>44368</v>
      </c>
      <c r="C175" s="38" t="s">
        <v>427</v>
      </c>
      <c r="D175" s="38" t="s">
        <v>125</v>
      </c>
      <c r="E175" s="40">
        <v>4040</v>
      </c>
      <c r="F175" s="41">
        <v>6.8000000000000005E-2</v>
      </c>
      <c r="G175" s="38">
        <v>36</v>
      </c>
      <c r="H175" s="38" t="s">
        <v>35</v>
      </c>
      <c r="I175" s="38" t="s">
        <v>80</v>
      </c>
      <c r="J175" s="38" t="s">
        <v>76</v>
      </c>
      <c r="K175" s="42">
        <v>120020</v>
      </c>
      <c r="L175" s="38" t="s">
        <v>68</v>
      </c>
      <c r="M175" s="43">
        <v>0.35</v>
      </c>
      <c r="N175" s="43">
        <v>0.85</v>
      </c>
      <c r="O175" s="42">
        <v>4314.72</v>
      </c>
      <c r="P175" s="42">
        <v>0</v>
      </c>
    </row>
    <row r="176" spans="1:16" ht="15" customHeight="1" x14ac:dyDescent="0.3">
      <c r="A176" s="38" t="s">
        <v>428</v>
      </c>
      <c r="B176" s="39">
        <v>44369</v>
      </c>
      <c r="C176" s="38" t="s">
        <v>429</v>
      </c>
      <c r="D176" s="38" t="s">
        <v>59</v>
      </c>
      <c r="E176" s="40">
        <v>26963</v>
      </c>
      <c r="F176" s="41">
        <v>0.20799999999999999</v>
      </c>
      <c r="G176" s="38">
        <v>36</v>
      </c>
      <c r="H176" s="38" t="s">
        <v>35</v>
      </c>
      <c r="I176" s="38" t="s">
        <v>66</v>
      </c>
      <c r="J176" s="38" t="s">
        <v>72</v>
      </c>
      <c r="K176" s="42">
        <v>107694</v>
      </c>
      <c r="L176" s="38" t="s">
        <v>68</v>
      </c>
      <c r="M176" s="43">
        <v>0.23</v>
      </c>
      <c r="N176" s="43">
        <v>0.53</v>
      </c>
      <c r="O176" s="42">
        <v>32571.3</v>
      </c>
      <c r="P176" s="42">
        <v>0</v>
      </c>
    </row>
    <row r="177" spans="1:16" ht="15" customHeight="1" x14ac:dyDescent="0.3">
      <c r="A177" s="38" t="s">
        <v>430</v>
      </c>
      <c r="B177" s="39">
        <v>44369</v>
      </c>
      <c r="C177" s="38" t="s">
        <v>431</v>
      </c>
      <c r="D177" s="38" t="s">
        <v>97</v>
      </c>
      <c r="E177" s="40">
        <v>24253</v>
      </c>
      <c r="F177" s="41">
        <v>0.10100000000000001</v>
      </c>
      <c r="G177" s="38">
        <v>60</v>
      </c>
      <c r="H177" s="38" t="s">
        <v>35</v>
      </c>
      <c r="I177" s="38" t="s">
        <v>60</v>
      </c>
      <c r="J177" s="38" t="s">
        <v>84</v>
      </c>
      <c r="K177" s="42">
        <v>131607</v>
      </c>
      <c r="L177" s="38" t="s">
        <v>85</v>
      </c>
      <c r="M177" s="43">
        <v>0.43</v>
      </c>
      <c r="N177" s="43">
        <v>0.92</v>
      </c>
      <c r="O177" s="42">
        <v>26702.55</v>
      </c>
      <c r="P177" s="42">
        <v>0</v>
      </c>
    </row>
    <row r="178" spans="1:16" ht="15" customHeight="1" x14ac:dyDescent="0.3">
      <c r="A178" s="38" t="s">
        <v>432</v>
      </c>
      <c r="B178" s="39">
        <v>44369</v>
      </c>
      <c r="C178" s="38" t="s">
        <v>433</v>
      </c>
      <c r="D178" s="38" t="s">
        <v>97</v>
      </c>
      <c r="E178" s="40">
        <v>27911</v>
      </c>
      <c r="F178" s="41">
        <v>0.1</v>
      </c>
      <c r="G178" s="38">
        <v>60</v>
      </c>
      <c r="H178" s="38" t="s">
        <v>35</v>
      </c>
      <c r="I178" s="38" t="s">
        <v>83</v>
      </c>
      <c r="J178" s="38" t="s">
        <v>72</v>
      </c>
      <c r="K178" s="42">
        <v>85863</v>
      </c>
      <c r="L178" s="38" t="s">
        <v>85</v>
      </c>
      <c r="M178" s="43">
        <v>0.34</v>
      </c>
      <c r="N178" s="43">
        <v>0.54</v>
      </c>
      <c r="O178" s="42">
        <v>30702.1</v>
      </c>
      <c r="P178" s="42">
        <v>0</v>
      </c>
    </row>
    <row r="179" spans="1:16" ht="15" customHeight="1" x14ac:dyDescent="0.3">
      <c r="A179" s="44" t="s">
        <v>434</v>
      </c>
      <c r="B179" s="45">
        <v>44373</v>
      </c>
      <c r="C179" s="44" t="s">
        <v>435</v>
      </c>
      <c r="D179" s="44" t="s">
        <v>59</v>
      </c>
      <c r="E179" s="46">
        <v>17653</v>
      </c>
      <c r="F179" s="47">
        <v>8.3000000000000004E-2</v>
      </c>
      <c r="G179" s="44">
        <v>36</v>
      </c>
      <c r="H179" s="44" t="s">
        <v>36</v>
      </c>
      <c r="I179" s="44" t="s">
        <v>80</v>
      </c>
      <c r="J179" s="44" t="s">
        <v>84</v>
      </c>
      <c r="K179" s="48">
        <v>73856</v>
      </c>
      <c r="L179" s="44" t="s">
        <v>62</v>
      </c>
      <c r="M179" s="49">
        <v>0.21</v>
      </c>
      <c r="N179" s="49">
        <v>0.55000000000000004</v>
      </c>
      <c r="O179" s="48">
        <v>1110.0899999999999</v>
      </c>
      <c r="P179" s="48">
        <v>0</v>
      </c>
    </row>
    <row r="180" spans="1:16" ht="15" customHeight="1" x14ac:dyDescent="0.3">
      <c r="A180" s="38" t="s">
        <v>436</v>
      </c>
      <c r="B180" s="39">
        <v>44373</v>
      </c>
      <c r="C180" s="38" t="s">
        <v>437</v>
      </c>
      <c r="D180" s="38" t="s">
        <v>113</v>
      </c>
      <c r="E180" s="40">
        <v>32552</v>
      </c>
      <c r="F180" s="41">
        <v>0.129</v>
      </c>
      <c r="G180" s="38">
        <v>36</v>
      </c>
      <c r="H180" s="38" t="s">
        <v>35</v>
      </c>
      <c r="I180" s="38" t="s">
        <v>66</v>
      </c>
      <c r="J180" s="38" t="s">
        <v>76</v>
      </c>
      <c r="K180" s="42">
        <v>81493</v>
      </c>
      <c r="L180" s="38" t="s">
        <v>62</v>
      </c>
      <c r="M180" s="43">
        <v>0.21</v>
      </c>
      <c r="N180" s="43">
        <v>0.75</v>
      </c>
      <c r="O180" s="42">
        <v>36751.21</v>
      </c>
      <c r="P180" s="42">
        <v>0</v>
      </c>
    </row>
    <row r="181" spans="1:16" ht="15" customHeight="1" x14ac:dyDescent="0.3">
      <c r="A181" s="44" t="s">
        <v>438</v>
      </c>
      <c r="B181" s="45">
        <v>44373</v>
      </c>
      <c r="C181" s="44" t="s">
        <v>439</v>
      </c>
      <c r="D181" s="44" t="s">
        <v>108</v>
      </c>
      <c r="E181" s="46">
        <v>11361</v>
      </c>
      <c r="F181" s="47">
        <v>7.5999999999999998E-2</v>
      </c>
      <c r="G181" s="44">
        <v>60</v>
      </c>
      <c r="H181" s="44" t="s">
        <v>36</v>
      </c>
      <c r="I181" s="44" t="s">
        <v>66</v>
      </c>
      <c r="J181" s="44" t="s">
        <v>72</v>
      </c>
      <c r="K181" s="48">
        <v>39076</v>
      </c>
      <c r="L181" s="44" t="s">
        <v>68</v>
      </c>
      <c r="M181" s="49">
        <v>0.25</v>
      </c>
      <c r="N181" s="49">
        <v>0.66</v>
      </c>
      <c r="O181" s="48">
        <v>2661.69</v>
      </c>
      <c r="P181" s="48">
        <v>0</v>
      </c>
    </row>
    <row r="182" spans="1:16" ht="15" customHeight="1" x14ac:dyDescent="0.3">
      <c r="A182" s="38" t="s">
        <v>440</v>
      </c>
      <c r="B182" s="39">
        <v>44377</v>
      </c>
      <c r="C182" s="38" t="s">
        <v>441</v>
      </c>
      <c r="D182" s="38" t="s">
        <v>113</v>
      </c>
      <c r="E182" s="40">
        <v>32290</v>
      </c>
      <c r="F182" s="41">
        <v>8.7999999999999995E-2</v>
      </c>
      <c r="G182" s="38">
        <v>36</v>
      </c>
      <c r="H182" s="38" t="s">
        <v>35</v>
      </c>
      <c r="I182" s="38" t="s">
        <v>83</v>
      </c>
      <c r="J182" s="38" t="s">
        <v>84</v>
      </c>
      <c r="K182" s="42">
        <v>144589</v>
      </c>
      <c r="L182" s="38" t="s">
        <v>68</v>
      </c>
      <c r="M182" s="43">
        <v>0.25</v>
      </c>
      <c r="N182" s="43">
        <v>0.63</v>
      </c>
      <c r="O182" s="42">
        <v>35131.519999999997</v>
      </c>
      <c r="P182" s="42">
        <v>0</v>
      </c>
    </row>
    <row r="183" spans="1:16" ht="15" customHeight="1" x14ac:dyDescent="0.3">
      <c r="A183" s="38" t="s">
        <v>442</v>
      </c>
      <c r="B183" s="39">
        <v>44378</v>
      </c>
      <c r="C183" s="38" t="s">
        <v>443</v>
      </c>
      <c r="D183" s="38" t="s">
        <v>88</v>
      </c>
      <c r="E183" s="40">
        <v>31874</v>
      </c>
      <c r="F183" s="41">
        <v>0.192</v>
      </c>
      <c r="G183" s="38">
        <v>36</v>
      </c>
      <c r="H183" s="38" t="s">
        <v>35</v>
      </c>
      <c r="I183" s="38" t="s">
        <v>83</v>
      </c>
      <c r="J183" s="38" t="s">
        <v>84</v>
      </c>
      <c r="K183" s="42">
        <v>69019</v>
      </c>
      <c r="L183" s="38" t="s">
        <v>62</v>
      </c>
      <c r="M183" s="43">
        <v>0.15</v>
      </c>
      <c r="N183" s="43">
        <v>0.64</v>
      </c>
      <c r="O183" s="42">
        <v>37993.81</v>
      </c>
      <c r="P183" s="42">
        <v>0</v>
      </c>
    </row>
    <row r="184" spans="1:16" ht="15" customHeight="1" x14ac:dyDescent="0.3">
      <c r="A184" s="50" t="s">
        <v>444</v>
      </c>
      <c r="B184" s="51">
        <v>44380</v>
      </c>
      <c r="C184" s="50" t="s">
        <v>445</v>
      </c>
      <c r="D184" s="50" t="s">
        <v>138</v>
      </c>
      <c r="E184" s="52">
        <v>23473</v>
      </c>
      <c r="F184" s="53">
        <v>0.124</v>
      </c>
      <c r="G184" s="50">
        <v>60</v>
      </c>
      <c r="H184" s="50" t="s">
        <v>38</v>
      </c>
      <c r="I184" s="50" t="s">
        <v>66</v>
      </c>
      <c r="J184" s="50" t="s">
        <v>61</v>
      </c>
      <c r="K184" s="54">
        <v>55805</v>
      </c>
      <c r="L184" s="50" t="s">
        <v>85</v>
      </c>
      <c r="M184" s="55">
        <v>0.23</v>
      </c>
      <c r="N184" s="55">
        <v>0.5</v>
      </c>
      <c r="O184" s="54">
        <v>0</v>
      </c>
      <c r="P184" s="54">
        <v>0</v>
      </c>
    </row>
    <row r="185" spans="1:16" ht="15" customHeight="1" x14ac:dyDescent="0.3">
      <c r="A185" s="38" t="s">
        <v>446</v>
      </c>
      <c r="B185" s="39">
        <v>44383</v>
      </c>
      <c r="C185" s="38" t="s">
        <v>447</v>
      </c>
      <c r="D185" s="38" t="s">
        <v>79</v>
      </c>
      <c r="E185" s="40">
        <v>33913</v>
      </c>
      <c r="F185" s="41">
        <v>0.154</v>
      </c>
      <c r="G185" s="38">
        <v>36</v>
      </c>
      <c r="H185" s="38" t="s">
        <v>35</v>
      </c>
      <c r="I185" s="38" t="s">
        <v>114</v>
      </c>
      <c r="J185" s="38" t="s">
        <v>72</v>
      </c>
      <c r="K185" s="42">
        <v>74948</v>
      </c>
      <c r="L185" s="38" t="s">
        <v>62</v>
      </c>
      <c r="M185" s="43">
        <v>0.23</v>
      </c>
      <c r="N185" s="43">
        <v>0.64</v>
      </c>
      <c r="O185" s="42">
        <v>39135.599999999999</v>
      </c>
      <c r="P185" s="42">
        <v>0</v>
      </c>
    </row>
    <row r="186" spans="1:16" ht="15" customHeight="1" x14ac:dyDescent="0.3">
      <c r="A186" s="38" t="s">
        <v>448</v>
      </c>
      <c r="B186" s="39">
        <v>44384</v>
      </c>
      <c r="C186" s="38" t="s">
        <v>449</v>
      </c>
      <c r="D186" s="38" t="s">
        <v>125</v>
      </c>
      <c r="E186" s="40">
        <v>7960</v>
      </c>
      <c r="F186" s="41">
        <v>0.248</v>
      </c>
      <c r="G186" s="38">
        <v>60</v>
      </c>
      <c r="H186" s="38" t="s">
        <v>35</v>
      </c>
      <c r="I186" s="38" t="s">
        <v>80</v>
      </c>
      <c r="J186" s="38" t="s">
        <v>67</v>
      </c>
      <c r="K186" s="42">
        <v>119211</v>
      </c>
      <c r="L186" s="38" t="s">
        <v>62</v>
      </c>
      <c r="M186" s="43">
        <v>0.46</v>
      </c>
      <c r="N186" s="43">
        <v>0.75</v>
      </c>
      <c r="O186" s="42">
        <v>9934.08</v>
      </c>
      <c r="P186" s="42">
        <v>0</v>
      </c>
    </row>
    <row r="187" spans="1:16" ht="15" customHeight="1" x14ac:dyDescent="0.3">
      <c r="A187" s="44" t="s">
        <v>450</v>
      </c>
      <c r="B187" s="45">
        <v>44386</v>
      </c>
      <c r="C187" s="44" t="s">
        <v>451</v>
      </c>
      <c r="D187" s="44" t="s">
        <v>125</v>
      </c>
      <c r="E187" s="46">
        <v>29706</v>
      </c>
      <c r="F187" s="47">
        <v>6.6000000000000003E-2</v>
      </c>
      <c r="G187" s="44">
        <v>36</v>
      </c>
      <c r="H187" s="44" t="s">
        <v>36</v>
      </c>
      <c r="I187" s="44" t="s">
        <v>60</v>
      </c>
      <c r="J187" s="44" t="s">
        <v>72</v>
      </c>
      <c r="K187" s="48">
        <v>74825</v>
      </c>
      <c r="L187" s="44" t="s">
        <v>62</v>
      </c>
      <c r="M187" s="49">
        <v>0.3</v>
      </c>
      <c r="N187" s="49">
        <v>0.76</v>
      </c>
      <c r="O187" s="48">
        <v>12789.38</v>
      </c>
      <c r="P187" s="48">
        <v>0</v>
      </c>
    </row>
    <row r="188" spans="1:16" ht="15" customHeight="1" x14ac:dyDescent="0.3">
      <c r="A188" s="44" t="s">
        <v>452</v>
      </c>
      <c r="B188" s="45">
        <v>44386</v>
      </c>
      <c r="C188" s="44" t="s">
        <v>453</v>
      </c>
      <c r="D188" s="44" t="s">
        <v>88</v>
      </c>
      <c r="E188" s="46">
        <v>28345</v>
      </c>
      <c r="F188" s="47">
        <v>0.14399999999999999</v>
      </c>
      <c r="G188" s="44">
        <v>36</v>
      </c>
      <c r="H188" s="44" t="s">
        <v>36</v>
      </c>
      <c r="I188" s="44" t="s">
        <v>83</v>
      </c>
      <c r="J188" s="44" t="s">
        <v>84</v>
      </c>
      <c r="K188" s="48">
        <v>97165</v>
      </c>
      <c r="L188" s="44" t="s">
        <v>85</v>
      </c>
      <c r="M188" s="49">
        <v>0.11</v>
      </c>
      <c r="N188" s="49">
        <v>0.78</v>
      </c>
      <c r="O188" s="48">
        <v>12054.06</v>
      </c>
      <c r="P188" s="48">
        <v>0</v>
      </c>
    </row>
    <row r="189" spans="1:16" ht="15" customHeight="1" x14ac:dyDescent="0.3">
      <c r="A189" s="38" t="s">
        <v>454</v>
      </c>
      <c r="B189" s="39">
        <v>44386</v>
      </c>
      <c r="C189" s="38" t="s">
        <v>455</v>
      </c>
      <c r="D189" s="38" t="s">
        <v>75</v>
      </c>
      <c r="E189" s="40">
        <v>22874</v>
      </c>
      <c r="F189" s="41">
        <v>0.24399999999999999</v>
      </c>
      <c r="G189" s="38">
        <v>60</v>
      </c>
      <c r="H189" s="38" t="s">
        <v>35</v>
      </c>
      <c r="I189" s="38" t="s">
        <v>71</v>
      </c>
      <c r="J189" s="38" t="s">
        <v>72</v>
      </c>
      <c r="K189" s="42">
        <v>68759</v>
      </c>
      <c r="L189" s="38" t="s">
        <v>68</v>
      </c>
      <c r="M189" s="43">
        <v>0.2</v>
      </c>
      <c r="N189" s="43">
        <v>0.78</v>
      </c>
      <c r="O189" s="42">
        <v>28455.26</v>
      </c>
      <c r="P189" s="42">
        <v>0</v>
      </c>
    </row>
    <row r="190" spans="1:16" ht="15" customHeight="1" x14ac:dyDescent="0.3">
      <c r="A190" s="38" t="s">
        <v>456</v>
      </c>
      <c r="B190" s="39">
        <v>44387</v>
      </c>
      <c r="C190" s="38" t="s">
        <v>457</v>
      </c>
      <c r="D190" s="38" t="s">
        <v>65</v>
      </c>
      <c r="E190" s="40">
        <v>27292</v>
      </c>
      <c r="F190" s="41">
        <v>0.24299999999999999</v>
      </c>
      <c r="G190" s="38">
        <v>36</v>
      </c>
      <c r="H190" s="38" t="s">
        <v>35</v>
      </c>
      <c r="I190" s="38" t="s">
        <v>83</v>
      </c>
      <c r="J190" s="38" t="s">
        <v>76</v>
      </c>
      <c r="K190" s="42">
        <v>36644</v>
      </c>
      <c r="L190" s="38" t="s">
        <v>85</v>
      </c>
      <c r="M190" s="43">
        <v>0.48</v>
      </c>
      <c r="N190" s="43">
        <v>0.84</v>
      </c>
      <c r="O190" s="42">
        <v>33923.96</v>
      </c>
      <c r="P190" s="42">
        <v>0</v>
      </c>
    </row>
    <row r="191" spans="1:16" ht="15" customHeight="1" x14ac:dyDescent="0.3">
      <c r="A191" s="38" t="s">
        <v>458</v>
      </c>
      <c r="B191" s="39">
        <v>44388</v>
      </c>
      <c r="C191" s="38" t="s">
        <v>459</v>
      </c>
      <c r="D191" s="38" t="s">
        <v>75</v>
      </c>
      <c r="E191" s="40">
        <v>4762</v>
      </c>
      <c r="F191" s="41">
        <v>6.4000000000000001E-2</v>
      </c>
      <c r="G191" s="38">
        <v>60</v>
      </c>
      <c r="H191" s="38" t="s">
        <v>35</v>
      </c>
      <c r="I191" s="38" t="s">
        <v>83</v>
      </c>
      <c r="J191" s="38" t="s">
        <v>67</v>
      </c>
      <c r="K191" s="42">
        <v>135686</v>
      </c>
      <c r="L191" s="38" t="s">
        <v>68</v>
      </c>
      <c r="M191" s="43">
        <v>0.46</v>
      </c>
      <c r="N191" s="43">
        <v>0.8</v>
      </c>
      <c r="O191" s="42">
        <v>5066.7700000000004</v>
      </c>
      <c r="P191" s="42">
        <v>0</v>
      </c>
    </row>
    <row r="192" spans="1:16" ht="15" customHeight="1" x14ac:dyDescent="0.3">
      <c r="A192" s="44" t="s">
        <v>460</v>
      </c>
      <c r="B192" s="45">
        <v>44390</v>
      </c>
      <c r="C192" s="44" t="s">
        <v>461</v>
      </c>
      <c r="D192" s="44" t="s">
        <v>75</v>
      </c>
      <c r="E192" s="46">
        <v>32497</v>
      </c>
      <c r="F192" s="47">
        <v>0.14099999999999999</v>
      </c>
      <c r="G192" s="44">
        <v>36</v>
      </c>
      <c r="H192" s="44" t="s">
        <v>36</v>
      </c>
      <c r="I192" s="44" t="s">
        <v>83</v>
      </c>
      <c r="J192" s="44" t="s">
        <v>76</v>
      </c>
      <c r="K192" s="48">
        <v>40377</v>
      </c>
      <c r="L192" s="44" t="s">
        <v>62</v>
      </c>
      <c r="M192" s="49">
        <v>0.14000000000000001</v>
      </c>
      <c r="N192" s="49">
        <v>0.65</v>
      </c>
      <c r="O192" s="48">
        <v>11783.49</v>
      </c>
      <c r="P192" s="48">
        <v>0</v>
      </c>
    </row>
    <row r="193" spans="1:16" ht="15" customHeight="1" x14ac:dyDescent="0.3">
      <c r="A193" s="44" t="s">
        <v>462</v>
      </c>
      <c r="B193" s="45">
        <v>44390</v>
      </c>
      <c r="C193" s="44" t="s">
        <v>463</v>
      </c>
      <c r="D193" s="44" t="s">
        <v>75</v>
      </c>
      <c r="E193" s="46">
        <v>23668</v>
      </c>
      <c r="F193" s="47">
        <v>0.17799999999999999</v>
      </c>
      <c r="G193" s="44">
        <v>36</v>
      </c>
      <c r="H193" s="44" t="s">
        <v>36</v>
      </c>
      <c r="I193" s="44" t="s">
        <v>60</v>
      </c>
      <c r="J193" s="44" t="s">
        <v>61</v>
      </c>
      <c r="K193" s="48">
        <v>45549</v>
      </c>
      <c r="L193" s="44" t="s">
        <v>62</v>
      </c>
      <c r="M193" s="49">
        <v>0.38</v>
      </c>
      <c r="N193" s="49">
        <v>0.94</v>
      </c>
      <c r="O193" s="48">
        <v>6421.49</v>
      </c>
      <c r="P193" s="48">
        <v>0</v>
      </c>
    </row>
    <row r="194" spans="1:16" ht="15" customHeight="1" x14ac:dyDescent="0.3">
      <c r="A194" s="44" t="s">
        <v>464</v>
      </c>
      <c r="B194" s="45">
        <v>44392</v>
      </c>
      <c r="C194" s="44" t="s">
        <v>465</v>
      </c>
      <c r="D194" s="44" t="s">
        <v>75</v>
      </c>
      <c r="E194" s="46">
        <v>1661</v>
      </c>
      <c r="F194" s="47">
        <v>0.14299999999999999</v>
      </c>
      <c r="G194" s="44">
        <v>60</v>
      </c>
      <c r="H194" s="44" t="s">
        <v>36</v>
      </c>
      <c r="I194" s="44" t="s">
        <v>114</v>
      </c>
      <c r="J194" s="44" t="s">
        <v>72</v>
      </c>
      <c r="K194" s="48">
        <v>31961</v>
      </c>
      <c r="L194" s="44" t="s">
        <v>68</v>
      </c>
      <c r="M194" s="49">
        <v>0.28000000000000003</v>
      </c>
      <c r="N194" s="49">
        <v>0.68</v>
      </c>
      <c r="O194" s="48">
        <v>197.22</v>
      </c>
      <c r="P194" s="48">
        <v>0</v>
      </c>
    </row>
    <row r="195" spans="1:16" ht="15" customHeight="1" x14ac:dyDescent="0.3">
      <c r="A195" s="44" t="s">
        <v>466</v>
      </c>
      <c r="B195" s="45">
        <v>44394</v>
      </c>
      <c r="C195" s="44" t="s">
        <v>467</v>
      </c>
      <c r="D195" s="44" t="s">
        <v>138</v>
      </c>
      <c r="E195" s="46">
        <v>3050</v>
      </c>
      <c r="F195" s="47">
        <v>0.189</v>
      </c>
      <c r="G195" s="44">
        <v>60</v>
      </c>
      <c r="H195" s="44" t="s">
        <v>36</v>
      </c>
      <c r="I195" s="44" t="s">
        <v>60</v>
      </c>
      <c r="J195" s="44" t="s">
        <v>61</v>
      </c>
      <c r="K195" s="48">
        <v>108976</v>
      </c>
      <c r="L195" s="44" t="s">
        <v>85</v>
      </c>
      <c r="M195" s="49">
        <v>0.18</v>
      </c>
      <c r="N195" s="49">
        <v>0.92</v>
      </c>
      <c r="O195" s="48">
        <v>344.54</v>
      </c>
      <c r="P195" s="48">
        <v>0</v>
      </c>
    </row>
    <row r="196" spans="1:16" ht="15" customHeight="1" x14ac:dyDescent="0.3">
      <c r="A196" s="38" t="s">
        <v>468</v>
      </c>
      <c r="B196" s="39">
        <v>44394</v>
      </c>
      <c r="C196" s="38" t="s">
        <v>469</v>
      </c>
      <c r="D196" s="38" t="s">
        <v>88</v>
      </c>
      <c r="E196" s="40">
        <v>11756</v>
      </c>
      <c r="F196" s="41">
        <v>0.16</v>
      </c>
      <c r="G196" s="38">
        <v>36</v>
      </c>
      <c r="H196" s="38" t="s">
        <v>35</v>
      </c>
      <c r="I196" s="38" t="s">
        <v>60</v>
      </c>
      <c r="J196" s="38" t="s">
        <v>67</v>
      </c>
      <c r="K196" s="42">
        <v>129555</v>
      </c>
      <c r="L196" s="38" t="s">
        <v>85</v>
      </c>
      <c r="M196" s="43">
        <v>0.41</v>
      </c>
      <c r="N196" s="43">
        <v>0.61</v>
      </c>
      <c r="O196" s="42">
        <v>13636.96</v>
      </c>
      <c r="P196" s="42">
        <v>0</v>
      </c>
    </row>
    <row r="197" spans="1:16" ht="15" customHeight="1" x14ac:dyDescent="0.3">
      <c r="A197" s="38" t="s">
        <v>470</v>
      </c>
      <c r="B197" s="39">
        <v>44397</v>
      </c>
      <c r="C197" s="38" t="s">
        <v>471</v>
      </c>
      <c r="D197" s="38" t="s">
        <v>79</v>
      </c>
      <c r="E197" s="40">
        <v>38641</v>
      </c>
      <c r="F197" s="41">
        <v>0.187</v>
      </c>
      <c r="G197" s="38">
        <v>60</v>
      </c>
      <c r="H197" s="38" t="s">
        <v>35</v>
      </c>
      <c r="I197" s="38" t="s">
        <v>71</v>
      </c>
      <c r="J197" s="38" t="s">
        <v>61</v>
      </c>
      <c r="K197" s="42">
        <v>50176</v>
      </c>
      <c r="L197" s="38" t="s">
        <v>85</v>
      </c>
      <c r="M197" s="43">
        <v>0.23</v>
      </c>
      <c r="N197" s="43">
        <v>0.64</v>
      </c>
      <c r="O197" s="42">
        <v>45866.87</v>
      </c>
      <c r="P197" s="42">
        <v>0</v>
      </c>
    </row>
    <row r="198" spans="1:16" ht="15" customHeight="1" x14ac:dyDescent="0.3">
      <c r="A198" s="38" t="s">
        <v>472</v>
      </c>
      <c r="B198" s="39">
        <v>44398</v>
      </c>
      <c r="C198" s="38" t="s">
        <v>473</v>
      </c>
      <c r="D198" s="38" t="s">
        <v>88</v>
      </c>
      <c r="E198" s="40">
        <v>35594</v>
      </c>
      <c r="F198" s="41">
        <v>0.15</v>
      </c>
      <c r="G198" s="38">
        <v>60</v>
      </c>
      <c r="H198" s="38" t="s">
        <v>35</v>
      </c>
      <c r="I198" s="38" t="s">
        <v>83</v>
      </c>
      <c r="J198" s="38" t="s">
        <v>84</v>
      </c>
      <c r="K198" s="42">
        <v>97766</v>
      </c>
      <c r="L198" s="38" t="s">
        <v>68</v>
      </c>
      <c r="M198" s="43">
        <v>0.31</v>
      </c>
      <c r="N198" s="43">
        <v>0.76</v>
      </c>
      <c r="O198" s="42">
        <v>40933.1</v>
      </c>
      <c r="P198" s="42">
        <v>0</v>
      </c>
    </row>
    <row r="199" spans="1:16" ht="15" customHeight="1" x14ac:dyDescent="0.3">
      <c r="A199" s="38" t="s">
        <v>474</v>
      </c>
      <c r="B199" s="39">
        <v>44398</v>
      </c>
      <c r="C199" s="38" t="s">
        <v>475</v>
      </c>
      <c r="D199" s="38" t="s">
        <v>79</v>
      </c>
      <c r="E199" s="40">
        <v>10130</v>
      </c>
      <c r="F199" s="41">
        <v>8.1000000000000003E-2</v>
      </c>
      <c r="G199" s="38">
        <v>60</v>
      </c>
      <c r="H199" s="38" t="s">
        <v>35</v>
      </c>
      <c r="I199" s="38" t="s">
        <v>80</v>
      </c>
      <c r="J199" s="38" t="s">
        <v>84</v>
      </c>
      <c r="K199" s="42">
        <v>117923</v>
      </c>
      <c r="L199" s="38" t="s">
        <v>85</v>
      </c>
      <c r="M199" s="43">
        <v>0.2</v>
      </c>
      <c r="N199" s="43">
        <v>0.71</v>
      </c>
      <c r="O199" s="42">
        <v>10950.53</v>
      </c>
      <c r="P199" s="42">
        <v>0</v>
      </c>
    </row>
    <row r="200" spans="1:16" ht="15" customHeight="1" x14ac:dyDescent="0.3">
      <c r="A200" s="38" t="s">
        <v>476</v>
      </c>
      <c r="B200" s="39">
        <v>44399</v>
      </c>
      <c r="C200" s="38" t="s">
        <v>477</v>
      </c>
      <c r="D200" s="38" t="s">
        <v>125</v>
      </c>
      <c r="E200" s="40">
        <v>5703</v>
      </c>
      <c r="F200" s="41">
        <v>9.7000000000000003E-2</v>
      </c>
      <c r="G200" s="38">
        <v>36</v>
      </c>
      <c r="H200" s="38" t="s">
        <v>35</v>
      </c>
      <c r="I200" s="38" t="s">
        <v>114</v>
      </c>
      <c r="J200" s="38" t="s">
        <v>67</v>
      </c>
      <c r="K200" s="42">
        <v>74673</v>
      </c>
      <c r="L200" s="38" t="s">
        <v>62</v>
      </c>
      <c r="M200" s="43">
        <v>0.34</v>
      </c>
      <c r="N200" s="43">
        <v>0.9</v>
      </c>
      <c r="O200" s="42">
        <v>6256.19</v>
      </c>
      <c r="P200" s="42">
        <v>0</v>
      </c>
    </row>
    <row r="201" spans="1:16" ht="15" customHeight="1" x14ac:dyDescent="0.3">
      <c r="A201" s="44" t="s">
        <v>478</v>
      </c>
      <c r="B201" s="45">
        <v>44399</v>
      </c>
      <c r="C201" s="44" t="s">
        <v>479</v>
      </c>
      <c r="D201" s="44" t="s">
        <v>79</v>
      </c>
      <c r="E201" s="46">
        <v>38129</v>
      </c>
      <c r="F201" s="47">
        <v>0.14699999999999999</v>
      </c>
      <c r="G201" s="44">
        <v>36</v>
      </c>
      <c r="H201" s="44" t="s">
        <v>36</v>
      </c>
      <c r="I201" s="44" t="s">
        <v>66</v>
      </c>
      <c r="J201" s="44" t="s">
        <v>76</v>
      </c>
      <c r="K201" s="48">
        <v>106280</v>
      </c>
      <c r="L201" s="44" t="s">
        <v>68</v>
      </c>
      <c r="M201" s="49">
        <v>0.26</v>
      </c>
      <c r="N201" s="49">
        <v>0.51</v>
      </c>
      <c r="O201" s="48">
        <v>10453.74</v>
      </c>
      <c r="P201" s="48">
        <v>0</v>
      </c>
    </row>
    <row r="202" spans="1:16" ht="15" customHeight="1" x14ac:dyDescent="0.3">
      <c r="A202" s="38" t="s">
        <v>480</v>
      </c>
      <c r="B202" s="39">
        <v>44401</v>
      </c>
      <c r="C202" s="38" t="s">
        <v>481</v>
      </c>
      <c r="D202" s="38" t="s">
        <v>97</v>
      </c>
      <c r="E202" s="40">
        <v>32463</v>
      </c>
      <c r="F202" s="41">
        <v>0.17899999999999999</v>
      </c>
      <c r="G202" s="38">
        <v>36</v>
      </c>
      <c r="H202" s="38" t="s">
        <v>35</v>
      </c>
      <c r="I202" s="38" t="s">
        <v>257</v>
      </c>
      <c r="J202" s="38" t="s">
        <v>67</v>
      </c>
      <c r="K202" s="42">
        <v>79850</v>
      </c>
      <c r="L202" s="38" t="s">
        <v>85</v>
      </c>
      <c r="M202" s="43">
        <v>0.23</v>
      </c>
      <c r="N202" s="43">
        <v>0.87</v>
      </c>
      <c r="O202" s="42">
        <v>38273.879999999997</v>
      </c>
      <c r="P202" s="42">
        <v>0</v>
      </c>
    </row>
    <row r="203" spans="1:16" ht="15" customHeight="1" x14ac:dyDescent="0.3">
      <c r="A203" s="44" t="s">
        <v>482</v>
      </c>
      <c r="B203" s="45">
        <v>44402</v>
      </c>
      <c r="C203" s="44" t="s">
        <v>483</v>
      </c>
      <c r="D203" s="44" t="s">
        <v>108</v>
      </c>
      <c r="E203" s="46">
        <v>33921</v>
      </c>
      <c r="F203" s="47">
        <v>0.114</v>
      </c>
      <c r="G203" s="44">
        <v>36</v>
      </c>
      <c r="H203" s="44" t="s">
        <v>36</v>
      </c>
      <c r="I203" s="44" t="s">
        <v>66</v>
      </c>
      <c r="J203" s="44" t="s">
        <v>76</v>
      </c>
      <c r="K203" s="48">
        <v>142309</v>
      </c>
      <c r="L203" s="44" t="s">
        <v>62</v>
      </c>
      <c r="M203" s="49">
        <v>0.46</v>
      </c>
      <c r="N203" s="49">
        <v>0.8</v>
      </c>
      <c r="O203" s="48">
        <v>14230.09</v>
      </c>
      <c r="P203" s="48">
        <v>0</v>
      </c>
    </row>
    <row r="204" spans="1:16" ht="15" customHeight="1" x14ac:dyDescent="0.3">
      <c r="A204" s="38" t="s">
        <v>484</v>
      </c>
      <c r="B204" s="39">
        <v>44403</v>
      </c>
      <c r="C204" s="38" t="s">
        <v>485</v>
      </c>
      <c r="D204" s="38" t="s">
        <v>113</v>
      </c>
      <c r="E204" s="40">
        <v>20426</v>
      </c>
      <c r="F204" s="41">
        <v>0.106</v>
      </c>
      <c r="G204" s="38">
        <v>36</v>
      </c>
      <c r="H204" s="38" t="s">
        <v>35</v>
      </c>
      <c r="I204" s="38" t="s">
        <v>71</v>
      </c>
      <c r="J204" s="38" t="s">
        <v>76</v>
      </c>
      <c r="K204" s="42">
        <v>96025</v>
      </c>
      <c r="L204" s="38" t="s">
        <v>68</v>
      </c>
      <c r="M204" s="43">
        <v>0.47</v>
      </c>
      <c r="N204" s="43">
        <v>0.91</v>
      </c>
      <c r="O204" s="42">
        <v>22591.16</v>
      </c>
      <c r="P204" s="42">
        <v>0</v>
      </c>
    </row>
    <row r="205" spans="1:16" ht="15" customHeight="1" x14ac:dyDescent="0.3">
      <c r="A205" s="38" t="s">
        <v>486</v>
      </c>
      <c r="B205" s="39">
        <v>44404</v>
      </c>
      <c r="C205" s="38" t="s">
        <v>487</v>
      </c>
      <c r="D205" s="38" t="s">
        <v>108</v>
      </c>
      <c r="E205" s="40">
        <v>12362</v>
      </c>
      <c r="F205" s="41">
        <v>6.0999999999999999E-2</v>
      </c>
      <c r="G205" s="38">
        <v>36</v>
      </c>
      <c r="H205" s="38" t="s">
        <v>35</v>
      </c>
      <c r="I205" s="38" t="s">
        <v>60</v>
      </c>
      <c r="J205" s="38" t="s">
        <v>72</v>
      </c>
      <c r="K205" s="42">
        <v>55183</v>
      </c>
      <c r="L205" s="38" t="s">
        <v>68</v>
      </c>
      <c r="M205" s="43">
        <v>0.45</v>
      </c>
      <c r="N205" s="43">
        <v>0.64</v>
      </c>
      <c r="O205" s="42">
        <v>13116.08</v>
      </c>
      <c r="P205" s="42">
        <v>0</v>
      </c>
    </row>
    <row r="206" spans="1:16" ht="15" customHeight="1" x14ac:dyDescent="0.3">
      <c r="A206" s="50" t="s">
        <v>488</v>
      </c>
      <c r="B206" s="51">
        <v>44410</v>
      </c>
      <c r="C206" s="50" t="s">
        <v>489</v>
      </c>
      <c r="D206" s="50" t="s">
        <v>108</v>
      </c>
      <c r="E206" s="52">
        <v>34768</v>
      </c>
      <c r="F206" s="53">
        <v>0.14799999999999999</v>
      </c>
      <c r="G206" s="50">
        <v>36</v>
      </c>
      <c r="H206" s="50" t="s">
        <v>38</v>
      </c>
      <c r="I206" s="50" t="s">
        <v>60</v>
      </c>
      <c r="J206" s="50" t="s">
        <v>61</v>
      </c>
      <c r="K206" s="54">
        <v>99504</v>
      </c>
      <c r="L206" s="50" t="s">
        <v>68</v>
      </c>
      <c r="M206" s="55">
        <v>0.27</v>
      </c>
      <c r="N206" s="55">
        <v>0.79</v>
      </c>
      <c r="O206" s="54">
        <v>0</v>
      </c>
      <c r="P206" s="54">
        <v>0</v>
      </c>
    </row>
    <row r="207" spans="1:16" ht="15" customHeight="1" x14ac:dyDescent="0.3">
      <c r="A207" s="44" t="s">
        <v>490</v>
      </c>
      <c r="B207" s="45">
        <v>44411</v>
      </c>
      <c r="C207" s="44" t="s">
        <v>491</v>
      </c>
      <c r="D207" s="44" t="s">
        <v>108</v>
      </c>
      <c r="E207" s="46">
        <v>12916</v>
      </c>
      <c r="F207" s="47">
        <v>0.23200000000000001</v>
      </c>
      <c r="G207" s="44">
        <v>60</v>
      </c>
      <c r="H207" s="44" t="s">
        <v>36</v>
      </c>
      <c r="I207" s="44" t="s">
        <v>83</v>
      </c>
      <c r="J207" s="44" t="s">
        <v>76</v>
      </c>
      <c r="K207" s="48">
        <v>86683</v>
      </c>
      <c r="L207" s="44" t="s">
        <v>85</v>
      </c>
      <c r="M207" s="49">
        <v>0.4</v>
      </c>
      <c r="N207" s="49">
        <v>0.61</v>
      </c>
      <c r="O207" s="48">
        <v>1414.24</v>
      </c>
      <c r="P207" s="48">
        <v>0</v>
      </c>
    </row>
    <row r="208" spans="1:16" ht="15" customHeight="1" x14ac:dyDescent="0.3">
      <c r="A208" s="44" t="s">
        <v>492</v>
      </c>
      <c r="B208" s="45">
        <v>44412</v>
      </c>
      <c r="C208" s="44" t="s">
        <v>493</v>
      </c>
      <c r="D208" s="44" t="s">
        <v>75</v>
      </c>
      <c r="E208" s="46">
        <v>36433</v>
      </c>
      <c r="F208" s="47">
        <v>0.19400000000000001</v>
      </c>
      <c r="G208" s="44">
        <v>60</v>
      </c>
      <c r="H208" s="44" t="s">
        <v>36</v>
      </c>
      <c r="I208" s="44" t="s">
        <v>60</v>
      </c>
      <c r="J208" s="44" t="s">
        <v>67</v>
      </c>
      <c r="K208" s="48">
        <v>34567</v>
      </c>
      <c r="L208" s="44" t="s">
        <v>85</v>
      </c>
      <c r="M208" s="49">
        <v>0.41</v>
      </c>
      <c r="N208" s="49">
        <v>0.95</v>
      </c>
      <c r="O208" s="48">
        <v>16706.38</v>
      </c>
      <c r="P208" s="48">
        <v>0</v>
      </c>
    </row>
    <row r="209" spans="1:16" ht="15" customHeight="1" x14ac:dyDescent="0.3">
      <c r="A209" s="50" t="s">
        <v>494</v>
      </c>
      <c r="B209" s="51">
        <v>44413</v>
      </c>
      <c r="C209" s="50" t="s">
        <v>495</v>
      </c>
      <c r="D209" s="50" t="s">
        <v>65</v>
      </c>
      <c r="E209" s="52">
        <v>27745</v>
      </c>
      <c r="F209" s="53">
        <v>0.156</v>
      </c>
      <c r="G209" s="50">
        <v>36</v>
      </c>
      <c r="H209" s="50" t="s">
        <v>38</v>
      </c>
      <c r="I209" s="50" t="s">
        <v>60</v>
      </c>
      <c r="J209" s="50" t="s">
        <v>61</v>
      </c>
      <c r="K209" s="54">
        <v>105831</v>
      </c>
      <c r="L209" s="50" t="s">
        <v>68</v>
      </c>
      <c r="M209" s="55">
        <v>0.12</v>
      </c>
      <c r="N209" s="55">
        <v>0.61</v>
      </c>
      <c r="O209" s="54">
        <v>0</v>
      </c>
      <c r="P209" s="54">
        <v>0</v>
      </c>
    </row>
    <row r="210" spans="1:16" ht="15" customHeight="1" x14ac:dyDescent="0.3">
      <c r="A210" s="44" t="s">
        <v>496</v>
      </c>
      <c r="B210" s="45">
        <v>44413</v>
      </c>
      <c r="C210" s="44" t="s">
        <v>497</v>
      </c>
      <c r="D210" s="44" t="s">
        <v>125</v>
      </c>
      <c r="E210" s="46">
        <v>10127</v>
      </c>
      <c r="F210" s="47">
        <v>0.23</v>
      </c>
      <c r="G210" s="44">
        <v>36</v>
      </c>
      <c r="H210" s="44" t="s">
        <v>36</v>
      </c>
      <c r="I210" s="44" t="s">
        <v>71</v>
      </c>
      <c r="J210" s="44" t="s">
        <v>67</v>
      </c>
      <c r="K210" s="48">
        <v>145945</v>
      </c>
      <c r="L210" s="44" t="s">
        <v>85</v>
      </c>
      <c r="M210" s="49">
        <v>0.47</v>
      </c>
      <c r="N210" s="49">
        <v>0.92</v>
      </c>
      <c r="O210" s="48">
        <v>3348.84</v>
      </c>
      <c r="P210" s="48">
        <v>0</v>
      </c>
    </row>
    <row r="211" spans="1:16" ht="15" customHeight="1" x14ac:dyDescent="0.3">
      <c r="A211" s="44" t="s">
        <v>498</v>
      </c>
      <c r="B211" s="45">
        <v>44413</v>
      </c>
      <c r="C211" s="44" t="s">
        <v>499</v>
      </c>
      <c r="D211" s="44" t="s">
        <v>65</v>
      </c>
      <c r="E211" s="46">
        <v>27212</v>
      </c>
      <c r="F211" s="47">
        <v>0.14899999999999999</v>
      </c>
      <c r="G211" s="44">
        <v>60</v>
      </c>
      <c r="H211" s="44" t="s">
        <v>36</v>
      </c>
      <c r="I211" s="44" t="s">
        <v>71</v>
      </c>
      <c r="J211" s="44" t="s">
        <v>61</v>
      </c>
      <c r="K211" s="48">
        <v>44683</v>
      </c>
      <c r="L211" s="44" t="s">
        <v>85</v>
      </c>
      <c r="M211" s="49">
        <v>0.26</v>
      </c>
      <c r="N211" s="49">
        <v>0.54</v>
      </c>
      <c r="O211" s="48">
        <v>2820.6</v>
      </c>
      <c r="P211" s="48">
        <v>0</v>
      </c>
    </row>
    <row r="212" spans="1:16" ht="15" customHeight="1" x14ac:dyDescent="0.3">
      <c r="A212" s="38" t="s">
        <v>500</v>
      </c>
      <c r="B212" s="39">
        <v>44414</v>
      </c>
      <c r="C212" s="38" t="s">
        <v>501</v>
      </c>
      <c r="D212" s="38" t="s">
        <v>88</v>
      </c>
      <c r="E212" s="40">
        <v>12023</v>
      </c>
      <c r="F212" s="41">
        <v>0.16300000000000001</v>
      </c>
      <c r="G212" s="38">
        <v>36</v>
      </c>
      <c r="H212" s="38" t="s">
        <v>35</v>
      </c>
      <c r="I212" s="38" t="s">
        <v>80</v>
      </c>
      <c r="J212" s="38" t="s">
        <v>72</v>
      </c>
      <c r="K212" s="42">
        <v>105033</v>
      </c>
      <c r="L212" s="38" t="s">
        <v>68</v>
      </c>
      <c r="M212" s="43">
        <v>0.49</v>
      </c>
      <c r="N212" s="43">
        <v>0.65</v>
      </c>
      <c r="O212" s="42">
        <v>13982.75</v>
      </c>
      <c r="P212" s="42">
        <v>0</v>
      </c>
    </row>
    <row r="213" spans="1:16" ht="15" customHeight="1" x14ac:dyDescent="0.3">
      <c r="A213" s="38" t="s">
        <v>502</v>
      </c>
      <c r="B213" s="39">
        <v>44414</v>
      </c>
      <c r="C213" s="38" t="s">
        <v>503</v>
      </c>
      <c r="D213" s="38" t="s">
        <v>75</v>
      </c>
      <c r="E213" s="40">
        <v>13857</v>
      </c>
      <c r="F213" s="41">
        <v>7.5999999999999998E-2</v>
      </c>
      <c r="G213" s="38">
        <v>60</v>
      </c>
      <c r="H213" s="38" t="s">
        <v>35</v>
      </c>
      <c r="I213" s="38" t="s">
        <v>60</v>
      </c>
      <c r="J213" s="38" t="s">
        <v>84</v>
      </c>
      <c r="K213" s="42">
        <v>113055</v>
      </c>
      <c r="L213" s="38" t="s">
        <v>85</v>
      </c>
      <c r="M213" s="43">
        <v>0.28999999999999998</v>
      </c>
      <c r="N213" s="43">
        <v>0.52</v>
      </c>
      <c r="O213" s="42">
        <v>14910.13</v>
      </c>
      <c r="P213" s="42">
        <v>0</v>
      </c>
    </row>
    <row r="214" spans="1:16" ht="15" customHeight="1" x14ac:dyDescent="0.3">
      <c r="A214" s="44" t="s">
        <v>504</v>
      </c>
      <c r="B214" s="45">
        <v>44416</v>
      </c>
      <c r="C214" s="44" t="s">
        <v>505</v>
      </c>
      <c r="D214" s="44" t="s">
        <v>75</v>
      </c>
      <c r="E214" s="46">
        <v>30629</v>
      </c>
      <c r="F214" s="47">
        <v>0.22500000000000001</v>
      </c>
      <c r="G214" s="44">
        <v>60</v>
      </c>
      <c r="H214" s="44" t="s">
        <v>36</v>
      </c>
      <c r="I214" s="44" t="s">
        <v>60</v>
      </c>
      <c r="J214" s="44" t="s">
        <v>72</v>
      </c>
      <c r="K214" s="48">
        <v>141249</v>
      </c>
      <c r="L214" s="44" t="s">
        <v>62</v>
      </c>
      <c r="M214" s="49">
        <v>0.31</v>
      </c>
      <c r="N214" s="49">
        <v>0.74</v>
      </c>
      <c r="O214" s="48">
        <v>3262.78</v>
      </c>
      <c r="P214" s="48">
        <v>0</v>
      </c>
    </row>
    <row r="215" spans="1:16" ht="15" customHeight="1" x14ac:dyDescent="0.3">
      <c r="A215" s="38" t="s">
        <v>506</v>
      </c>
      <c r="B215" s="39">
        <v>44420</v>
      </c>
      <c r="C215" s="38" t="s">
        <v>507</v>
      </c>
      <c r="D215" s="38" t="s">
        <v>79</v>
      </c>
      <c r="E215" s="40">
        <v>34397</v>
      </c>
      <c r="F215" s="41">
        <v>0.23599999999999999</v>
      </c>
      <c r="G215" s="38">
        <v>60</v>
      </c>
      <c r="H215" s="38" t="s">
        <v>35</v>
      </c>
      <c r="I215" s="38" t="s">
        <v>60</v>
      </c>
      <c r="J215" s="38" t="s">
        <v>84</v>
      </c>
      <c r="K215" s="42">
        <v>135996</v>
      </c>
      <c r="L215" s="38" t="s">
        <v>62</v>
      </c>
      <c r="M215" s="43">
        <v>0.42</v>
      </c>
      <c r="N215" s="43">
        <v>0.62</v>
      </c>
      <c r="O215" s="42">
        <v>42514.69</v>
      </c>
      <c r="P215" s="42">
        <v>0</v>
      </c>
    </row>
    <row r="216" spans="1:16" ht="15" customHeight="1" x14ac:dyDescent="0.3">
      <c r="A216" s="44" t="s">
        <v>508</v>
      </c>
      <c r="B216" s="45">
        <v>44421</v>
      </c>
      <c r="C216" s="44" t="s">
        <v>509</v>
      </c>
      <c r="D216" s="44" t="s">
        <v>113</v>
      </c>
      <c r="E216" s="46">
        <v>17393</v>
      </c>
      <c r="F216" s="47">
        <v>0.19700000000000001</v>
      </c>
      <c r="G216" s="44">
        <v>60</v>
      </c>
      <c r="H216" s="44" t="s">
        <v>36</v>
      </c>
      <c r="I216" s="44" t="s">
        <v>83</v>
      </c>
      <c r="J216" s="44" t="s">
        <v>61</v>
      </c>
      <c r="K216" s="48">
        <v>58810</v>
      </c>
      <c r="L216" s="44" t="s">
        <v>62</v>
      </c>
      <c r="M216" s="49">
        <v>0.15</v>
      </c>
      <c r="N216" s="49">
        <v>0.71</v>
      </c>
      <c r="O216" s="48">
        <v>2401.1</v>
      </c>
      <c r="P216" s="48">
        <v>0</v>
      </c>
    </row>
    <row r="217" spans="1:16" ht="15" customHeight="1" x14ac:dyDescent="0.3">
      <c r="A217" s="38" t="s">
        <v>510</v>
      </c>
      <c r="B217" s="39">
        <v>44422</v>
      </c>
      <c r="C217" s="38" t="s">
        <v>511</v>
      </c>
      <c r="D217" s="38" t="s">
        <v>108</v>
      </c>
      <c r="E217" s="40">
        <v>6295</v>
      </c>
      <c r="F217" s="41">
        <v>0.221</v>
      </c>
      <c r="G217" s="38">
        <v>36</v>
      </c>
      <c r="H217" s="38" t="s">
        <v>35</v>
      </c>
      <c r="I217" s="38" t="s">
        <v>80</v>
      </c>
      <c r="J217" s="38" t="s">
        <v>61</v>
      </c>
      <c r="K217" s="42">
        <v>104842</v>
      </c>
      <c r="L217" s="38" t="s">
        <v>62</v>
      </c>
      <c r="M217" s="43">
        <v>0.31</v>
      </c>
      <c r="N217" s="43">
        <v>0.89</v>
      </c>
      <c r="O217" s="42">
        <v>7686.2</v>
      </c>
      <c r="P217" s="42">
        <v>0</v>
      </c>
    </row>
    <row r="218" spans="1:16" ht="15" customHeight="1" x14ac:dyDescent="0.3">
      <c r="A218" s="56" t="s">
        <v>512</v>
      </c>
      <c r="B218" s="57">
        <v>44424</v>
      </c>
      <c r="C218" s="56" t="s">
        <v>513</v>
      </c>
      <c r="D218" s="56" t="s">
        <v>125</v>
      </c>
      <c r="E218" s="58">
        <v>1207</v>
      </c>
      <c r="F218" s="59">
        <v>0.23300000000000001</v>
      </c>
      <c r="G218" s="56">
        <v>60</v>
      </c>
      <c r="H218" s="56" t="s">
        <v>37</v>
      </c>
      <c r="I218" s="56" t="s">
        <v>66</v>
      </c>
      <c r="J218" s="56" t="s">
        <v>76</v>
      </c>
      <c r="K218" s="60">
        <v>43255</v>
      </c>
      <c r="L218" s="56" t="s">
        <v>68</v>
      </c>
      <c r="M218" s="61">
        <v>0.22</v>
      </c>
      <c r="N218" s="61">
        <v>0.59</v>
      </c>
      <c r="O218" s="60">
        <v>291.58999999999997</v>
      </c>
      <c r="P218" s="60">
        <v>508.63</v>
      </c>
    </row>
    <row r="219" spans="1:16" ht="15" customHeight="1" x14ac:dyDescent="0.3">
      <c r="A219" s="38" t="s">
        <v>514</v>
      </c>
      <c r="B219" s="39">
        <v>44424</v>
      </c>
      <c r="C219" s="38" t="s">
        <v>515</v>
      </c>
      <c r="D219" s="38" t="s">
        <v>75</v>
      </c>
      <c r="E219" s="40">
        <v>34174</v>
      </c>
      <c r="F219" s="41">
        <v>0.16900000000000001</v>
      </c>
      <c r="G219" s="38">
        <v>36</v>
      </c>
      <c r="H219" s="38" t="s">
        <v>35</v>
      </c>
      <c r="I219" s="38" t="s">
        <v>80</v>
      </c>
      <c r="J219" s="38" t="s">
        <v>84</v>
      </c>
      <c r="K219" s="42">
        <v>135296</v>
      </c>
      <c r="L219" s="38" t="s">
        <v>62</v>
      </c>
      <c r="M219" s="43">
        <v>0.36</v>
      </c>
      <c r="N219" s="43">
        <v>0.78</v>
      </c>
      <c r="O219" s="42">
        <v>39949.410000000003</v>
      </c>
      <c r="P219" s="42">
        <v>0</v>
      </c>
    </row>
    <row r="220" spans="1:16" ht="15" customHeight="1" x14ac:dyDescent="0.3">
      <c r="A220" s="38" t="s">
        <v>516</v>
      </c>
      <c r="B220" s="39">
        <v>44425</v>
      </c>
      <c r="C220" s="38" t="s">
        <v>517</v>
      </c>
      <c r="D220" s="38" t="s">
        <v>125</v>
      </c>
      <c r="E220" s="40">
        <v>4654</v>
      </c>
      <c r="F220" s="41">
        <v>0.23400000000000001</v>
      </c>
      <c r="G220" s="38">
        <v>36</v>
      </c>
      <c r="H220" s="38" t="s">
        <v>35</v>
      </c>
      <c r="I220" s="38" t="s">
        <v>114</v>
      </c>
      <c r="J220" s="38" t="s">
        <v>72</v>
      </c>
      <c r="K220" s="42">
        <v>99327</v>
      </c>
      <c r="L220" s="38" t="s">
        <v>62</v>
      </c>
      <c r="M220" s="43">
        <v>0.41</v>
      </c>
      <c r="N220" s="43">
        <v>0.91</v>
      </c>
      <c r="O220" s="42">
        <v>5743.04</v>
      </c>
      <c r="P220" s="42">
        <v>0</v>
      </c>
    </row>
    <row r="221" spans="1:16" ht="15" customHeight="1" x14ac:dyDescent="0.3">
      <c r="A221" s="44" t="s">
        <v>518</v>
      </c>
      <c r="B221" s="45">
        <v>44426</v>
      </c>
      <c r="C221" s="44" t="s">
        <v>519</v>
      </c>
      <c r="D221" s="44" t="s">
        <v>125</v>
      </c>
      <c r="E221" s="46">
        <v>5133</v>
      </c>
      <c r="F221" s="47">
        <v>0.13600000000000001</v>
      </c>
      <c r="G221" s="44">
        <v>60</v>
      </c>
      <c r="H221" s="44" t="s">
        <v>36</v>
      </c>
      <c r="I221" s="44" t="s">
        <v>83</v>
      </c>
      <c r="J221" s="44" t="s">
        <v>67</v>
      </c>
      <c r="K221" s="48">
        <v>105403</v>
      </c>
      <c r="L221" s="44" t="s">
        <v>85</v>
      </c>
      <c r="M221" s="49">
        <v>0.21</v>
      </c>
      <c r="N221" s="49">
        <v>0.62</v>
      </c>
      <c r="O221" s="48">
        <v>722</v>
      </c>
      <c r="P221" s="48">
        <v>0</v>
      </c>
    </row>
    <row r="222" spans="1:16" ht="15" customHeight="1" x14ac:dyDescent="0.3">
      <c r="A222" s="38" t="s">
        <v>520</v>
      </c>
      <c r="B222" s="39">
        <v>44427</v>
      </c>
      <c r="C222" s="38" t="s">
        <v>521</v>
      </c>
      <c r="D222" s="38" t="s">
        <v>125</v>
      </c>
      <c r="E222" s="40">
        <v>14409</v>
      </c>
      <c r="F222" s="41">
        <v>0.125</v>
      </c>
      <c r="G222" s="38">
        <v>36</v>
      </c>
      <c r="H222" s="38" t="s">
        <v>35</v>
      </c>
      <c r="I222" s="38" t="s">
        <v>83</v>
      </c>
      <c r="J222" s="38" t="s">
        <v>72</v>
      </c>
      <c r="K222" s="42">
        <v>148028</v>
      </c>
      <c r="L222" s="38" t="s">
        <v>62</v>
      </c>
      <c r="M222" s="43">
        <v>0.42</v>
      </c>
      <c r="N222" s="43">
        <v>0.86</v>
      </c>
      <c r="O222" s="42">
        <v>16210.12</v>
      </c>
      <c r="P222" s="42">
        <v>0</v>
      </c>
    </row>
    <row r="223" spans="1:16" ht="15" customHeight="1" x14ac:dyDescent="0.3">
      <c r="A223" s="44" t="s">
        <v>522</v>
      </c>
      <c r="B223" s="45">
        <v>44427</v>
      </c>
      <c r="C223" s="44" t="s">
        <v>523</v>
      </c>
      <c r="D223" s="44" t="s">
        <v>79</v>
      </c>
      <c r="E223" s="46">
        <v>6319</v>
      </c>
      <c r="F223" s="47">
        <v>0.20100000000000001</v>
      </c>
      <c r="G223" s="44">
        <v>36</v>
      </c>
      <c r="H223" s="44" t="s">
        <v>36</v>
      </c>
      <c r="I223" s="44" t="s">
        <v>114</v>
      </c>
      <c r="J223" s="44" t="s">
        <v>84</v>
      </c>
      <c r="K223" s="48">
        <v>89197</v>
      </c>
      <c r="L223" s="44" t="s">
        <v>68</v>
      </c>
      <c r="M223" s="49">
        <v>0.45</v>
      </c>
      <c r="N223" s="49">
        <v>0.7</v>
      </c>
      <c r="O223" s="48">
        <v>1650.44</v>
      </c>
      <c r="P223" s="48">
        <v>0</v>
      </c>
    </row>
    <row r="224" spans="1:16" ht="15" customHeight="1" x14ac:dyDescent="0.3">
      <c r="A224" s="38" t="s">
        <v>524</v>
      </c>
      <c r="B224" s="39">
        <v>44429</v>
      </c>
      <c r="C224" s="38" t="s">
        <v>525</v>
      </c>
      <c r="D224" s="38" t="s">
        <v>108</v>
      </c>
      <c r="E224" s="40">
        <v>36941</v>
      </c>
      <c r="F224" s="41">
        <v>7.6999999999999999E-2</v>
      </c>
      <c r="G224" s="38">
        <v>60</v>
      </c>
      <c r="H224" s="38" t="s">
        <v>35</v>
      </c>
      <c r="I224" s="38" t="s">
        <v>66</v>
      </c>
      <c r="J224" s="38" t="s">
        <v>76</v>
      </c>
      <c r="K224" s="42">
        <v>103648</v>
      </c>
      <c r="L224" s="38" t="s">
        <v>62</v>
      </c>
      <c r="M224" s="43">
        <v>0.33</v>
      </c>
      <c r="N224" s="43">
        <v>0.64</v>
      </c>
      <c r="O224" s="42">
        <v>39785.46</v>
      </c>
      <c r="P224" s="42">
        <v>0</v>
      </c>
    </row>
    <row r="225" spans="1:16" ht="15" customHeight="1" x14ac:dyDescent="0.3">
      <c r="A225" s="38" t="s">
        <v>526</v>
      </c>
      <c r="B225" s="39">
        <v>44429</v>
      </c>
      <c r="C225" s="38" t="s">
        <v>527</v>
      </c>
      <c r="D225" s="38" t="s">
        <v>125</v>
      </c>
      <c r="E225" s="40">
        <v>27987</v>
      </c>
      <c r="F225" s="41">
        <v>0.192</v>
      </c>
      <c r="G225" s="38">
        <v>60</v>
      </c>
      <c r="H225" s="38" t="s">
        <v>35</v>
      </c>
      <c r="I225" s="38" t="s">
        <v>60</v>
      </c>
      <c r="J225" s="38" t="s">
        <v>76</v>
      </c>
      <c r="K225" s="42">
        <v>77764</v>
      </c>
      <c r="L225" s="38" t="s">
        <v>62</v>
      </c>
      <c r="M225" s="43">
        <v>0.24</v>
      </c>
      <c r="N225" s="43">
        <v>0.78</v>
      </c>
      <c r="O225" s="42">
        <v>33360.5</v>
      </c>
      <c r="P225" s="42">
        <v>0</v>
      </c>
    </row>
    <row r="226" spans="1:16" ht="15" customHeight="1" x14ac:dyDescent="0.3">
      <c r="A226" s="38" t="s">
        <v>528</v>
      </c>
      <c r="B226" s="39">
        <v>44431</v>
      </c>
      <c r="C226" s="38" t="s">
        <v>529</v>
      </c>
      <c r="D226" s="38" t="s">
        <v>113</v>
      </c>
      <c r="E226" s="40">
        <v>12653</v>
      </c>
      <c r="F226" s="41">
        <v>0.10299999999999999</v>
      </c>
      <c r="G226" s="38">
        <v>60</v>
      </c>
      <c r="H226" s="38" t="s">
        <v>35</v>
      </c>
      <c r="I226" s="38" t="s">
        <v>60</v>
      </c>
      <c r="J226" s="38" t="s">
        <v>67</v>
      </c>
      <c r="K226" s="42">
        <v>99681</v>
      </c>
      <c r="L226" s="38" t="s">
        <v>68</v>
      </c>
      <c r="M226" s="43">
        <v>0.27</v>
      </c>
      <c r="N226" s="43">
        <v>0.79</v>
      </c>
      <c r="O226" s="42">
        <v>13956.26</v>
      </c>
      <c r="P226" s="42">
        <v>0</v>
      </c>
    </row>
    <row r="227" spans="1:16" ht="15" customHeight="1" x14ac:dyDescent="0.3">
      <c r="A227" s="38" t="s">
        <v>530</v>
      </c>
      <c r="B227" s="39">
        <v>44432</v>
      </c>
      <c r="C227" s="38" t="s">
        <v>531</v>
      </c>
      <c r="D227" s="38" t="s">
        <v>97</v>
      </c>
      <c r="E227" s="40">
        <v>11724</v>
      </c>
      <c r="F227" s="41">
        <v>0.17799999999999999</v>
      </c>
      <c r="G227" s="38">
        <v>60</v>
      </c>
      <c r="H227" s="38" t="s">
        <v>35</v>
      </c>
      <c r="I227" s="38" t="s">
        <v>83</v>
      </c>
      <c r="J227" s="38" t="s">
        <v>61</v>
      </c>
      <c r="K227" s="42">
        <v>43900</v>
      </c>
      <c r="L227" s="38" t="s">
        <v>62</v>
      </c>
      <c r="M227" s="43">
        <v>0.4</v>
      </c>
      <c r="N227" s="43">
        <v>0.56000000000000005</v>
      </c>
      <c r="O227" s="42">
        <v>13810.87</v>
      </c>
      <c r="P227" s="42">
        <v>0</v>
      </c>
    </row>
    <row r="228" spans="1:16" ht="15" customHeight="1" x14ac:dyDescent="0.3">
      <c r="A228" s="38" t="s">
        <v>532</v>
      </c>
      <c r="B228" s="39">
        <v>44432</v>
      </c>
      <c r="C228" s="38" t="s">
        <v>533</v>
      </c>
      <c r="D228" s="38" t="s">
        <v>79</v>
      </c>
      <c r="E228" s="40">
        <v>28042</v>
      </c>
      <c r="F228" s="41">
        <v>0.21199999999999999</v>
      </c>
      <c r="G228" s="38">
        <v>60</v>
      </c>
      <c r="H228" s="38" t="s">
        <v>35</v>
      </c>
      <c r="I228" s="38" t="s">
        <v>71</v>
      </c>
      <c r="J228" s="38" t="s">
        <v>76</v>
      </c>
      <c r="K228" s="42">
        <v>43682</v>
      </c>
      <c r="L228" s="38" t="s">
        <v>68</v>
      </c>
      <c r="M228" s="43">
        <v>0.12</v>
      </c>
      <c r="N228" s="43">
        <v>0.71</v>
      </c>
      <c r="O228" s="42">
        <v>33986.9</v>
      </c>
      <c r="P228" s="42">
        <v>0</v>
      </c>
    </row>
    <row r="229" spans="1:16" ht="15" customHeight="1" x14ac:dyDescent="0.3">
      <c r="A229" s="38" t="s">
        <v>534</v>
      </c>
      <c r="B229" s="39">
        <v>44433</v>
      </c>
      <c r="C229" s="38" t="s">
        <v>535</v>
      </c>
      <c r="D229" s="38" t="s">
        <v>108</v>
      </c>
      <c r="E229" s="40">
        <v>15056</v>
      </c>
      <c r="F229" s="41">
        <v>0.11</v>
      </c>
      <c r="G229" s="38">
        <v>60</v>
      </c>
      <c r="H229" s="38" t="s">
        <v>35</v>
      </c>
      <c r="I229" s="38" t="s">
        <v>60</v>
      </c>
      <c r="J229" s="38" t="s">
        <v>67</v>
      </c>
      <c r="K229" s="42">
        <v>35454</v>
      </c>
      <c r="L229" s="38" t="s">
        <v>62</v>
      </c>
      <c r="M229" s="43">
        <v>0.28999999999999998</v>
      </c>
      <c r="N229" s="43">
        <v>0.56000000000000005</v>
      </c>
      <c r="O229" s="42">
        <v>16712.16</v>
      </c>
      <c r="P229" s="42">
        <v>0</v>
      </c>
    </row>
    <row r="230" spans="1:16" ht="15" customHeight="1" x14ac:dyDescent="0.3">
      <c r="A230" s="56" t="s">
        <v>536</v>
      </c>
      <c r="B230" s="57">
        <v>44435</v>
      </c>
      <c r="C230" s="56" t="s">
        <v>537</v>
      </c>
      <c r="D230" s="56" t="s">
        <v>65</v>
      </c>
      <c r="E230" s="58">
        <v>26426</v>
      </c>
      <c r="F230" s="59">
        <v>7.5999999999999998E-2</v>
      </c>
      <c r="G230" s="56">
        <v>36</v>
      </c>
      <c r="H230" s="56" t="s">
        <v>37</v>
      </c>
      <c r="I230" s="56" t="s">
        <v>83</v>
      </c>
      <c r="J230" s="56" t="s">
        <v>72</v>
      </c>
      <c r="K230" s="60">
        <v>129214</v>
      </c>
      <c r="L230" s="56" t="s">
        <v>68</v>
      </c>
      <c r="M230" s="61">
        <v>0.15</v>
      </c>
      <c r="N230" s="61">
        <v>0.57999999999999996</v>
      </c>
      <c r="O230" s="60">
        <v>5657.08</v>
      </c>
      <c r="P230" s="60">
        <v>8575.9699999999993</v>
      </c>
    </row>
    <row r="231" spans="1:16" ht="15" customHeight="1" x14ac:dyDescent="0.3">
      <c r="A231" s="38" t="s">
        <v>538</v>
      </c>
      <c r="B231" s="39">
        <v>44438</v>
      </c>
      <c r="C231" s="38" t="s">
        <v>539</v>
      </c>
      <c r="D231" s="38" t="s">
        <v>97</v>
      </c>
      <c r="E231" s="40">
        <v>22792</v>
      </c>
      <c r="F231" s="41">
        <v>0.245</v>
      </c>
      <c r="G231" s="38">
        <v>60</v>
      </c>
      <c r="H231" s="38" t="s">
        <v>35</v>
      </c>
      <c r="I231" s="38" t="s">
        <v>71</v>
      </c>
      <c r="J231" s="38" t="s">
        <v>67</v>
      </c>
      <c r="K231" s="42">
        <v>79683</v>
      </c>
      <c r="L231" s="38" t="s">
        <v>68</v>
      </c>
      <c r="M231" s="43">
        <v>0.28000000000000003</v>
      </c>
      <c r="N231" s="43">
        <v>0.8</v>
      </c>
      <c r="O231" s="42">
        <v>28376.04</v>
      </c>
      <c r="P231" s="42">
        <v>0</v>
      </c>
    </row>
    <row r="232" spans="1:16" ht="15" customHeight="1" x14ac:dyDescent="0.3">
      <c r="A232" s="44" t="s">
        <v>540</v>
      </c>
      <c r="B232" s="45">
        <v>44439</v>
      </c>
      <c r="C232" s="44" t="s">
        <v>541</v>
      </c>
      <c r="D232" s="44" t="s">
        <v>88</v>
      </c>
      <c r="E232" s="46">
        <v>35054</v>
      </c>
      <c r="F232" s="47">
        <v>0.16300000000000001</v>
      </c>
      <c r="G232" s="44">
        <v>36</v>
      </c>
      <c r="H232" s="44" t="s">
        <v>36</v>
      </c>
      <c r="I232" s="44" t="s">
        <v>80</v>
      </c>
      <c r="J232" s="44" t="s">
        <v>76</v>
      </c>
      <c r="K232" s="48">
        <v>65554</v>
      </c>
      <c r="L232" s="44" t="s">
        <v>68</v>
      </c>
      <c r="M232" s="49">
        <v>0.43</v>
      </c>
      <c r="N232" s="49">
        <v>0.74</v>
      </c>
      <c r="O232" s="48">
        <v>10355.42</v>
      </c>
      <c r="P232" s="48">
        <v>0</v>
      </c>
    </row>
    <row r="233" spans="1:16" ht="15" customHeight="1" x14ac:dyDescent="0.3">
      <c r="A233" s="38" t="s">
        <v>542</v>
      </c>
      <c r="B233" s="39">
        <v>44440</v>
      </c>
      <c r="C233" s="38" t="s">
        <v>543</v>
      </c>
      <c r="D233" s="38" t="s">
        <v>125</v>
      </c>
      <c r="E233" s="40">
        <v>32750</v>
      </c>
      <c r="F233" s="41">
        <v>0.17699999999999999</v>
      </c>
      <c r="G233" s="38">
        <v>36</v>
      </c>
      <c r="H233" s="38" t="s">
        <v>35</v>
      </c>
      <c r="I233" s="38" t="s">
        <v>60</v>
      </c>
      <c r="J233" s="38" t="s">
        <v>72</v>
      </c>
      <c r="K233" s="42">
        <v>56177</v>
      </c>
      <c r="L233" s="38" t="s">
        <v>68</v>
      </c>
      <c r="M233" s="43">
        <v>0.15</v>
      </c>
      <c r="N233" s="43">
        <v>0.92</v>
      </c>
      <c r="O233" s="42">
        <v>38546.75</v>
      </c>
      <c r="P233" s="42">
        <v>0</v>
      </c>
    </row>
    <row r="234" spans="1:16" ht="15" customHeight="1" x14ac:dyDescent="0.3">
      <c r="A234" s="56" t="s">
        <v>544</v>
      </c>
      <c r="B234" s="57">
        <v>44442</v>
      </c>
      <c r="C234" s="56" t="s">
        <v>545</v>
      </c>
      <c r="D234" s="56" t="s">
        <v>125</v>
      </c>
      <c r="E234" s="58">
        <v>27588</v>
      </c>
      <c r="F234" s="59">
        <v>9.5000000000000001E-2</v>
      </c>
      <c r="G234" s="56">
        <v>36</v>
      </c>
      <c r="H234" s="56" t="s">
        <v>37</v>
      </c>
      <c r="I234" s="56" t="s">
        <v>71</v>
      </c>
      <c r="J234" s="56" t="s">
        <v>61</v>
      </c>
      <c r="K234" s="60">
        <v>74386</v>
      </c>
      <c r="L234" s="56" t="s">
        <v>62</v>
      </c>
      <c r="M234" s="61">
        <v>0.11</v>
      </c>
      <c r="N234" s="61">
        <v>0.92</v>
      </c>
      <c r="O234" s="60">
        <v>7479.55</v>
      </c>
      <c r="P234" s="60">
        <v>6127.76</v>
      </c>
    </row>
    <row r="235" spans="1:16" ht="15" customHeight="1" x14ac:dyDescent="0.3">
      <c r="A235" s="38" t="s">
        <v>546</v>
      </c>
      <c r="B235" s="39">
        <v>44443</v>
      </c>
      <c r="C235" s="38" t="s">
        <v>547</v>
      </c>
      <c r="D235" s="38" t="s">
        <v>75</v>
      </c>
      <c r="E235" s="40">
        <v>4093</v>
      </c>
      <c r="F235" s="41">
        <v>0.221</v>
      </c>
      <c r="G235" s="38">
        <v>36</v>
      </c>
      <c r="H235" s="38" t="s">
        <v>35</v>
      </c>
      <c r="I235" s="38" t="s">
        <v>80</v>
      </c>
      <c r="J235" s="38" t="s">
        <v>76</v>
      </c>
      <c r="K235" s="42">
        <v>48062</v>
      </c>
      <c r="L235" s="38" t="s">
        <v>68</v>
      </c>
      <c r="M235" s="43">
        <v>0.5</v>
      </c>
      <c r="N235" s="43">
        <v>0.7</v>
      </c>
      <c r="O235" s="42">
        <v>4997.55</v>
      </c>
      <c r="P235" s="42">
        <v>0</v>
      </c>
    </row>
    <row r="236" spans="1:16" ht="15" customHeight="1" x14ac:dyDescent="0.3">
      <c r="A236" s="44" t="s">
        <v>548</v>
      </c>
      <c r="B236" s="45">
        <v>44443</v>
      </c>
      <c r="C236" s="44" t="s">
        <v>549</v>
      </c>
      <c r="D236" s="44" t="s">
        <v>79</v>
      </c>
      <c r="E236" s="46">
        <v>19155</v>
      </c>
      <c r="F236" s="47">
        <v>0.191</v>
      </c>
      <c r="G236" s="44">
        <v>36</v>
      </c>
      <c r="H236" s="44" t="s">
        <v>36</v>
      </c>
      <c r="I236" s="44" t="s">
        <v>71</v>
      </c>
      <c r="J236" s="44" t="s">
        <v>76</v>
      </c>
      <c r="K236" s="48">
        <v>142701</v>
      </c>
      <c r="L236" s="44" t="s">
        <v>85</v>
      </c>
      <c r="M236" s="49">
        <v>0.18</v>
      </c>
      <c r="N236" s="49">
        <v>0.69</v>
      </c>
      <c r="O236" s="48">
        <v>3927.79</v>
      </c>
      <c r="P236" s="48">
        <v>0</v>
      </c>
    </row>
    <row r="237" spans="1:16" ht="15" customHeight="1" x14ac:dyDescent="0.3">
      <c r="A237" s="38" t="s">
        <v>550</v>
      </c>
      <c r="B237" s="39">
        <v>44445</v>
      </c>
      <c r="C237" s="38" t="s">
        <v>551</v>
      </c>
      <c r="D237" s="38" t="s">
        <v>59</v>
      </c>
      <c r="E237" s="40">
        <v>8761</v>
      </c>
      <c r="F237" s="41">
        <v>0.113</v>
      </c>
      <c r="G237" s="38">
        <v>36</v>
      </c>
      <c r="H237" s="38" t="s">
        <v>35</v>
      </c>
      <c r="I237" s="38" t="s">
        <v>60</v>
      </c>
      <c r="J237" s="38" t="s">
        <v>84</v>
      </c>
      <c r="K237" s="42">
        <v>114899</v>
      </c>
      <c r="L237" s="38" t="s">
        <v>62</v>
      </c>
      <c r="M237" s="43">
        <v>0.39</v>
      </c>
      <c r="N237" s="43">
        <v>0.84</v>
      </c>
      <c r="O237" s="42">
        <v>9750.99</v>
      </c>
      <c r="P237" s="42">
        <v>0</v>
      </c>
    </row>
    <row r="238" spans="1:16" ht="15" customHeight="1" x14ac:dyDescent="0.3">
      <c r="A238" s="56" t="s">
        <v>552</v>
      </c>
      <c r="B238" s="57">
        <v>44445</v>
      </c>
      <c r="C238" s="56" t="s">
        <v>553</v>
      </c>
      <c r="D238" s="56" t="s">
        <v>125</v>
      </c>
      <c r="E238" s="58">
        <v>33556</v>
      </c>
      <c r="F238" s="59">
        <v>0.159</v>
      </c>
      <c r="G238" s="56">
        <v>60</v>
      </c>
      <c r="H238" s="56" t="s">
        <v>37</v>
      </c>
      <c r="I238" s="56" t="s">
        <v>66</v>
      </c>
      <c r="J238" s="56" t="s">
        <v>67</v>
      </c>
      <c r="K238" s="60">
        <v>59932</v>
      </c>
      <c r="L238" s="56" t="s">
        <v>62</v>
      </c>
      <c r="M238" s="61">
        <v>0.49</v>
      </c>
      <c r="N238" s="61">
        <v>0.84</v>
      </c>
      <c r="O238" s="60">
        <v>8269.1299999999992</v>
      </c>
      <c r="P238" s="60">
        <v>9226.86</v>
      </c>
    </row>
    <row r="239" spans="1:16" ht="15" customHeight="1" x14ac:dyDescent="0.3">
      <c r="A239" s="38" t="s">
        <v>554</v>
      </c>
      <c r="B239" s="39">
        <v>44446</v>
      </c>
      <c r="C239" s="38" t="s">
        <v>555</v>
      </c>
      <c r="D239" s="38" t="s">
        <v>125</v>
      </c>
      <c r="E239" s="40">
        <v>26892</v>
      </c>
      <c r="F239" s="41">
        <v>0.22800000000000001</v>
      </c>
      <c r="G239" s="38">
        <v>36</v>
      </c>
      <c r="H239" s="38" t="s">
        <v>35</v>
      </c>
      <c r="I239" s="38" t="s">
        <v>60</v>
      </c>
      <c r="J239" s="38" t="s">
        <v>84</v>
      </c>
      <c r="K239" s="42">
        <v>65303</v>
      </c>
      <c r="L239" s="38" t="s">
        <v>68</v>
      </c>
      <c r="M239" s="43">
        <v>0.23</v>
      </c>
      <c r="N239" s="43">
        <v>0.92</v>
      </c>
      <c r="O239" s="42">
        <v>33023.379999999997</v>
      </c>
      <c r="P239" s="42">
        <v>0</v>
      </c>
    </row>
    <row r="240" spans="1:16" ht="15" customHeight="1" x14ac:dyDescent="0.3">
      <c r="A240" s="44" t="s">
        <v>556</v>
      </c>
      <c r="B240" s="45">
        <v>44449</v>
      </c>
      <c r="C240" s="44" t="s">
        <v>557</v>
      </c>
      <c r="D240" s="44" t="s">
        <v>125</v>
      </c>
      <c r="E240" s="46">
        <v>30373</v>
      </c>
      <c r="F240" s="47">
        <v>0.182</v>
      </c>
      <c r="G240" s="44">
        <v>60</v>
      </c>
      <c r="H240" s="44" t="s">
        <v>36</v>
      </c>
      <c r="I240" s="44" t="s">
        <v>60</v>
      </c>
      <c r="J240" s="44" t="s">
        <v>84</v>
      </c>
      <c r="K240" s="48">
        <v>71153</v>
      </c>
      <c r="L240" s="44" t="s">
        <v>62</v>
      </c>
      <c r="M240" s="49">
        <v>0.22</v>
      </c>
      <c r="N240" s="49">
        <v>0.83</v>
      </c>
      <c r="O240" s="48">
        <v>8244.83</v>
      </c>
      <c r="P240" s="48">
        <v>0</v>
      </c>
    </row>
    <row r="241" spans="1:16" ht="15" customHeight="1" x14ac:dyDescent="0.3">
      <c r="A241" s="38" t="s">
        <v>558</v>
      </c>
      <c r="B241" s="39">
        <v>44449</v>
      </c>
      <c r="C241" s="38" t="s">
        <v>559</v>
      </c>
      <c r="D241" s="38" t="s">
        <v>97</v>
      </c>
      <c r="E241" s="40">
        <v>21670</v>
      </c>
      <c r="F241" s="41">
        <v>8.6999999999999994E-2</v>
      </c>
      <c r="G241" s="38">
        <v>60</v>
      </c>
      <c r="H241" s="38" t="s">
        <v>35</v>
      </c>
      <c r="I241" s="38" t="s">
        <v>71</v>
      </c>
      <c r="J241" s="38" t="s">
        <v>72</v>
      </c>
      <c r="K241" s="42">
        <v>131154</v>
      </c>
      <c r="L241" s="38" t="s">
        <v>62</v>
      </c>
      <c r="M241" s="43">
        <v>0.23</v>
      </c>
      <c r="N241" s="43">
        <v>0.71</v>
      </c>
      <c r="O241" s="42">
        <v>23555.29</v>
      </c>
      <c r="P241" s="42">
        <v>0</v>
      </c>
    </row>
    <row r="242" spans="1:16" ht="15" customHeight="1" x14ac:dyDescent="0.3">
      <c r="A242" s="38" t="s">
        <v>560</v>
      </c>
      <c r="B242" s="39">
        <v>44450</v>
      </c>
      <c r="C242" s="38" t="s">
        <v>561</v>
      </c>
      <c r="D242" s="38" t="s">
        <v>65</v>
      </c>
      <c r="E242" s="40">
        <v>27685</v>
      </c>
      <c r="F242" s="41">
        <v>0.23699999999999999</v>
      </c>
      <c r="G242" s="38">
        <v>60</v>
      </c>
      <c r="H242" s="38" t="s">
        <v>35</v>
      </c>
      <c r="I242" s="38" t="s">
        <v>71</v>
      </c>
      <c r="J242" s="38" t="s">
        <v>67</v>
      </c>
      <c r="K242" s="42">
        <v>63457</v>
      </c>
      <c r="L242" s="38" t="s">
        <v>62</v>
      </c>
      <c r="M242" s="43">
        <v>0.31</v>
      </c>
      <c r="N242" s="43">
        <v>0.55000000000000004</v>
      </c>
      <c r="O242" s="42">
        <v>34246.339999999997</v>
      </c>
      <c r="P242" s="42">
        <v>0</v>
      </c>
    </row>
    <row r="243" spans="1:16" ht="15" customHeight="1" x14ac:dyDescent="0.3">
      <c r="A243" s="38" t="s">
        <v>562</v>
      </c>
      <c r="B243" s="39">
        <v>44450</v>
      </c>
      <c r="C243" s="38" t="s">
        <v>563</v>
      </c>
      <c r="D243" s="38" t="s">
        <v>88</v>
      </c>
      <c r="E243" s="40">
        <v>28376</v>
      </c>
      <c r="F243" s="41">
        <v>0.19</v>
      </c>
      <c r="G243" s="38">
        <v>60</v>
      </c>
      <c r="H243" s="38" t="s">
        <v>35</v>
      </c>
      <c r="I243" s="38" t="s">
        <v>83</v>
      </c>
      <c r="J243" s="38" t="s">
        <v>72</v>
      </c>
      <c r="K243" s="42">
        <v>33748</v>
      </c>
      <c r="L243" s="38" t="s">
        <v>62</v>
      </c>
      <c r="M243" s="43">
        <v>0.24</v>
      </c>
      <c r="N243" s="43">
        <v>0.73</v>
      </c>
      <c r="O243" s="42">
        <v>33767.440000000002</v>
      </c>
      <c r="P243" s="42">
        <v>0</v>
      </c>
    </row>
    <row r="244" spans="1:16" ht="15" customHeight="1" x14ac:dyDescent="0.3">
      <c r="A244" s="50" t="s">
        <v>564</v>
      </c>
      <c r="B244" s="51">
        <v>44452</v>
      </c>
      <c r="C244" s="50" t="s">
        <v>565</v>
      </c>
      <c r="D244" s="50" t="s">
        <v>59</v>
      </c>
      <c r="E244" s="52">
        <v>36046</v>
      </c>
      <c r="F244" s="53">
        <v>5.8999999999999997E-2</v>
      </c>
      <c r="G244" s="50">
        <v>36</v>
      </c>
      <c r="H244" s="50" t="s">
        <v>38</v>
      </c>
      <c r="I244" s="50" t="s">
        <v>80</v>
      </c>
      <c r="J244" s="50" t="s">
        <v>84</v>
      </c>
      <c r="K244" s="54">
        <v>63455</v>
      </c>
      <c r="L244" s="50" t="s">
        <v>62</v>
      </c>
      <c r="M244" s="55">
        <v>0.28999999999999998</v>
      </c>
      <c r="N244" s="55">
        <v>0.84</v>
      </c>
      <c r="O244" s="54">
        <v>0</v>
      </c>
      <c r="P244" s="54">
        <v>0</v>
      </c>
    </row>
    <row r="245" spans="1:16" ht="15" customHeight="1" x14ac:dyDescent="0.3">
      <c r="A245" s="44" t="s">
        <v>566</v>
      </c>
      <c r="B245" s="45">
        <v>44454</v>
      </c>
      <c r="C245" s="44" t="s">
        <v>567</v>
      </c>
      <c r="D245" s="44" t="s">
        <v>65</v>
      </c>
      <c r="E245" s="46">
        <v>9711</v>
      </c>
      <c r="F245" s="47">
        <v>0.10100000000000001</v>
      </c>
      <c r="G245" s="44">
        <v>36</v>
      </c>
      <c r="H245" s="44" t="s">
        <v>36</v>
      </c>
      <c r="I245" s="44" t="s">
        <v>80</v>
      </c>
      <c r="J245" s="44" t="s">
        <v>67</v>
      </c>
      <c r="K245" s="48">
        <v>132412</v>
      </c>
      <c r="L245" s="44" t="s">
        <v>62</v>
      </c>
      <c r="M245" s="49">
        <v>0.14000000000000001</v>
      </c>
      <c r="N245" s="49">
        <v>0.95</v>
      </c>
      <c r="O245" s="48">
        <v>2676.63</v>
      </c>
      <c r="P245" s="48">
        <v>0</v>
      </c>
    </row>
    <row r="246" spans="1:16" ht="15" customHeight="1" x14ac:dyDescent="0.3">
      <c r="A246" s="38" t="s">
        <v>568</v>
      </c>
      <c r="B246" s="39">
        <v>44455</v>
      </c>
      <c r="C246" s="38" t="s">
        <v>569</v>
      </c>
      <c r="D246" s="38" t="s">
        <v>125</v>
      </c>
      <c r="E246" s="40">
        <v>37041</v>
      </c>
      <c r="F246" s="41">
        <v>0.156</v>
      </c>
      <c r="G246" s="38">
        <v>60</v>
      </c>
      <c r="H246" s="38" t="s">
        <v>35</v>
      </c>
      <c r="I246" s="38" t="s">
        <v>66</v>
      </c>
      <c r="J246" s="38" t="s">
        <v>67</v>
      </c>
      <c r="K246" s="42">
        <v>105319</v>
      </c>
      <c r="L246" s="38" t="s">
        <v>68</v>
      </c>
      <c r="M246" s="43">
        <v>0.46</v>
      </c>
      <c r="N246" s="43">
        <v>0.81</v>
      </c>
      <c r="O246" s="42">
        <v>42819.4</v>
      </c>
      <c r="P246" s="42">
        <v>0</v>
      </c>
    </row>
    <row r="247" spans="1:16" ht="15" customHeight="1" x14ac:dyDescent="0.3">
      <c r="A247" s="44" t="s">
        <v>570</v>
      </c>
      <c r="B247" s="45">
        <v>44457</v>
      </c>
      <c r="C247" s="44" t="s">
        <v>571</v>
      </c>
      <c r="D247" s="44" t="s">
        <v>59</v>
      </c>
      <c r="E247" s="46">
        <v>17035</v>
      </c>
      <c r="F247" s="47">
        <v>0.249</v>
      </c>
      <c r="G247" s="44">
        <v>36</v>
      </c>
      <c r="H247" s="44" t="s">
        <v>36</v>
      </c>
      <c r="I247" s="44" t="s">
        <v>80</v>
      </c>
      <c r="J247" s="44" t="s">
        <v>61</v>
      </c>
      <c r="K247" s="48">
        <v>141205</v>
      </c>
      <c r="L247" s="44" t="s">
        <v>62</v>
      </c>
      <c r="M247" s="49">
        <v>0.47</v>
      </c>
      <c r="N247" s="49">
        <v>0.61</v>
      </c>
      <c r="O247" s="48">
        <v>2032.08</v>
      </c>
      <c r="P247" s="48">
        <v>0</v>
      </c>
    </row>
    <row r="248" spans="1:16" ht="15" customHeight="1" x14ac:dyDescent="0.3">
      <c r="A248" s="44" t="s">
        <v>572</v>
      </c>
      <c r="B248" s="45">
        <v>44457</v>
      </c>
      <c r="C248" s="44" t="s">
        <v>573</v>
      </c>
      <c r="D248" s="44" t="s">
        <v>65</v>
      </c>
      <c r="E248" s="46">
        <v>36153</v>
      </c>
      <c r="F248" s="47">
        <v>0.155</v>
      </c>
      <c r="G248" s="44">
        <v>36</v>
      </c>
      <c r="H248" s="44" t="s">
        <v>36</v>
      </c>
      <c r="I248" s="44" t="s">
        <v>60</v>
      </c>
      <c r="J248" s="44" t="s">
        <v>67</v>
      </c>
      <c r="K248" s="48">
        <v>141862</v>
      </c>
      <c r="L248" s="44" t="s">
        <v>68</v>
      </c>
      <c r="M248" s="49">
        <v>0.23</v>
      </c>
      <c r="N248" s="49">
        <v>0.85</v>
      </c>
      <c r="O248" s="48">
        <v>6981.3</v>
      </c>
      <c r="P248" s="48">
        <v>0</v>
      </c>
    </row>
    <row r="249" spans="1:16" ht="15" customHeight="1" x14ac:dyDescent="0.3">
      <c r="A249" s="38" t="s">
        <v>574</v>
      </c>
      <c r="B249" s="39">
        <v>44459</v>
      </c>
      <c r="C249" s="38" t="s">
        <v>575</v>
      </c>
      <c r="D249" s="38" t="s">
        <v>138</v>
      </c>
      <c r="E249" s="40">
        <v>25262</v>
      </c>
      <c r="F249" s="41">
        <v>0.248</v>
      </c>
      <c r="G249" s="38">
        <v>36</v>
      </c>
      <c r="H249" s="38" t="s">
        <v>35</v>
      </c>
      <c r="I249" s="38" t="s">
        <v>60</v>
      </c>
      <c r="J249" s="38" t="s">
        <v>61</v>
      </c>
      <c r="K249" s="42">
        <v>79145</v>
      </c>
      <c r="L249" s="38" t="s">
        <v>62</v>
      </c>
      <c r="M249" s="43">
        <v>0.15</v>
      </c>
      <c r="N249" s="43">
        <v>0.81</v>
      </c>
      <c r="O249" s="42">
        <v>31526.98</v>
      </c>
      <c r="P249" s="42">
        <v>0</v>
      </c>
    </row>
    <row r="250" spans="1:16" ht="15" customHeight="1" x14ac:dyDescent="0.3">
      <c r="A250" s="38" t="s">
        <v>576</v>
      </c>
      <c r="B250" s="39">
        <v>44460</v>
      </c>
      <c r="C250" s="38" t="s">
        <v>577</v>
      </c>
      <c r="D250" s="38" t="s">
        <v>88</v>
      </c>
      <c r="E250" s="40">
        <v>21953</v>
      </c>
      <c r="F250" s="41">
        <v>0.106</v>
      </c>
      <c r="G250" s="38">
        <v>36</v>
      </c>
      <c r="H250" s="38" t="s">
        <v>35</v>
      </c>
      <c r="I250" s="38" t="s">
        <v>71</v>
      </c>
      <c r="J250" s="38" t="s">
        <v>76</v>
      </c>
      <c r="K250" s="42">
        <v>44211</v>
      </c>
      <c r="L250" s="38" t="s">
        <v>68</v>
      </c>
      <c r="M250" s="43">
        <v>0.4</v>
      </c>
      <c r="N250" s="43">
        <v>0.73</v>
      </c>
      <c r="O250" s="42">
        <v>24280.02</v>
      </c>
      <c r="P250" s="42">
        <v>0</v>
      </c>
    </row>
    <row r="251" spans="1:16" ht="15" customHeight="1" x14ac:dyDescent="0.3">
      <c r="A251" s="50" t="s">
        <v>578</v>
      </c>
      <c r="B251" s="51">
        <v>44461</v>
      </c>
      <c r="C251" s="50" t="s">
        <v>579</v>
      </c>
      <c r="D251" s="50" t="s">
        <v>88</v>
      </c>
      <c r="E251" s="52">
        <v>10078</v>
      </c>
      <c r="F251" s="53">
        <v>5.3999999999999999E-2</v>
      </c>
      <c r="G251" s="50">
        <v>60</v>
      </c>
      <c r="H251" s="50" t="s">
        <v>39</v>
      </c>
      <c r="I251" s="50" t="s">
        <v>83</v>
      </c>
      <c r="J251" s="50" t="s">
        <v>72</v>
      </c>
      <c r="K251" s="54">
        <v>44715</v>
      </c>
      <c r="L251" s="50" t="s">
        <v>62</v>
      </c>
      <c r="M251" s="55">
        <v>0.33</v>
      </c>
      <c r="N251" s="55">
        <v>0.92</v>
      </c>
      <c r="O251" s="54">
        <v>0</v>
      </c>
      <c r="P251" s="54">
        <v>0</v>
      </c>
    </row>
    <row r="252" spans="1:16" ht="15" customHeight="1" x14ac:dyDescent="0.3">
      <c r="A252" s="38" t="s">
        <v>580</v>
      </c>
      <c r="B252" s="39">
        <v>44464</v>
      </c>
      <c r="C252" s="38" t="s">
        <v>581</v>
      </c>
      <c r="D252" s="38" t="s">
        <v>125</v>
      </c>
      <c r="E252" s="40">
        <v>2058</v>
      </c>
      <c r="F252" s="41">
        <v>8.1000000000000003E-2</v>
      </c>
      <c r="G252" s="38">
        <v>60</v>
      </c>
      <c r="H252" s="38" t="s">
        <v>35</v>
      </c>
      <c r="I252" s="38" t="s">
        <v>60</v>
      </c>
      <c r="J252" s="38" t="s">
        <v>67</v>
      </c>
      <c r="K252" s="42">
        <v>101045</v>
      </c>
      <c r="L252" s="38" t="s">
        <v>85</v>
      </c>
      <c r="M252" s="43">
        <v>0.49</v>
      </c>
      <c r="N252" s="43">
        <v>0.76</v>
      </c>
      <c r="O252" s="42">
        <v>2224.6999999999998</v>
      </c>
      <c r="P252" s="42">
        <v>0</v>
      </c>
    </row>
    <row r="253" spans="1:16" ht="15" customHeight="1" x14ac:dyDescent="0.3">
      <c r="A253" s="44" t="s">
        <v>582</v>
      </c>
      <c r="B253" s="45">
        <v>44465</v>
      </c>
      <c r="C253" s="44" t="s">
        <v>583</v>
      </c>
      <c r="D253" s="44" t="s">
        <v>138</v>
      </c>
      <c r="E253" s="46">
        <v>22510</v>
      </c>
      <c r="F253" s="47">
        <v>0.105</v>
      </c>
      <c r="G253" s="44">
        <v>60</v>
      </c>
      <c r="H253" s="44" t="s">
        <v>36</v>
      </c>
      <c r="I253" s="44" t="s">
        <v>80</v>
      </c>
      <c r="J253" s="44" t="s">
        <v>61</v>
      </c>
      <c r="K253" s="48">
        <v>49610</v>
      </c>
      <c r="L253" s="44" t="s">
        <v>85</v>
      </c>
      <c r="M253" s="49">
        <v>0.47</v>
      </c>
      <c r="N253" s="49">
        <v>0.84</v>
      </c>
      <c r="O253" s="48">
        <v>9547.33</v>
      </c>
      <c r="P253" s="48">
        <v>0</v>
      </c>
    </row>
    <row r="254" spans="1:16" ht="15" customHeight="1" x14ac:dyDescent="0.3">
      <c r="A254" s="44" t="s">
        <v>584</v>
      </c>
      <c r="B254" s="45">
        <v>44466</v>
      </c>
      <c r="C254" s="44" t="s">
        <v>585</v>
      </c>
      <c r="D254" s="44" t="s">
        <v>138</v>
      </c>
      <c r="E254" s="46">
        <v>22400</v>
      </c>
      <c r="F254" s="47">
        <v>0.187</v>
      </c>
      <c r="G254" s="44">
        <v>36</v>
      </c>
      <c r="H254" s="44" t="s">
        <v>36</v>
      </c>
      <c r="I254" s="44" t="s">
        <v>71</v>
      </c>
      <c r="J254" s="44" t="s">
        <v>76</v>
      </c>
      <c r="K254" s="48">
        <v>121198</v>
      </c>
      <c r="L254" s="44" t="s">
        <v>68</v>
      </c>
      <c r="M254" s="49">
        <v>0.16</v>
      </c>
      <c r="N254" s="49">
        <v>0.91</v>
      </c>
      <c r="O254" s="48">
        <v>10574.92</v>
      </c>
      <c r="P254" s="48">
        <v>0</v>
      </c>
    </row>
    <row r="255" spans="1:16" ht="15" customHeight="1" x14ac:dyDescent="0.3">
      <c r="A255" s="56" t="s">
        <v>586</v>
      </c>
      <c r="B255" s="57">
        <v>44466</v>
      </c>
      <c r="C255" s="56" t="s">
        <v>587</v>
      </c>
      <c r="D255" s="56" t="s">
        <v>113</v>
      </c>
      <c r="E255" s="58">
        <v>14350</v>
      </c>
      <c r="F255" s="59">
        <v>7.1999999999999995E-2</v>
      </c>
      <c r="G255" s="56">
        <v>60</v>
      </c>
      <c r="H255" s="56" t="s">
        <v>37</v>
      </c>
      <c r="I255" s="56" t="s">
        <v>83</v>
      </c>
      <c r="J255" s="56" t="s">
        <v>72</v>
      </c>
      <c r="K255" s="60">
        <v>123305</v>
      </c>
      <c r="L255" s="56" t="s">
        <v>85</v>
      </c>
      <c r="M255" s="61">
        <v>0.43</v>
      </c>
      <c r="N255" s="61">
        <v>0.67</v>
      </c>
      <c r="O255" s="60">
        <v>5712.02</v>
      </c>
      <c r="P255" s="60">
        <v>3379.84</v>
      </c>
    </row>
    <row r="256" spans="1:16" ht="15" customHeight="1" x14ac:dyDescent="0.3">
      <c r="A256" s="38" t="s">
        <v>588</v>
      </c>
      <c r="B256" s="39">
        <v>44473</v>
      </c>
      <c r="C256" s="38" t="s">
        <v>589</v>
      </c>
      <c r="D256" s="38" t="s">
        <v>79</v>
      </c>
      <c r="E256" s="40">
        <v>36737</v>
      </c>
      <c r="F256" s="41">
        <v>0.06</v>
      </c>
      <c r="G256" s="38">
        <v>60</v>
      </c>
      <c r="H256" s="38" t="s">
        <v>35</v>
      </c>
      <c r="I256" s="38" t="s">
        <v>83</v>
      </c>
      <c r="J256" s="38" t="s">
        <v>84</v>
      </c>
      <c r="K256" s="42">
        <v>53185</v>
      </c>
      <c r="L256" s="38" t="s">
        <v>68</v>
      </c>
      <c r="M256" s="43">
        <v>0.27</v>
      </c>
      <c r="N256" s="43">
        <v>0.59</v>
      </c>
      <c r="O256" s="42">
        <v>38941.22</v>
      </c>
      <c r="P256" s="42">
        <v>0</v>
      </c>
    </row>
    <row r="257" spans="1:16" ht="15" customHeight="1" x14ac:dyDescent="0.3">
      <c r="A257" s="38" t="s">
        <v>590</v>
      </c>
      <c r="B257" s="39">
        <v>44473</v>
      </c>
      <c r="C257" s="38" t="s">
        <v>591</v>
      </c>
      <c r="D257" s="38" t="s">
        <v>113</v>
      </c>
      <c r="E257" s="40">
        <v>37378</v>
      </c>
      <c r="F257" s="41">
        <v>0.24</v>
      </c>
      <c r="G257" s="38">
        <v>36</v>
      </c>
      <c r="H257" s="38" t="s">
        <v>35</v>
      </c>
      <c r="I257" s="38" t="s">
        <v>60</v>
      </c>
      <c r="J257" s="38" t="s">
        <v>67</v>
      </c>
      <c r="K257" s="42">
        <v>73391</v>
      </c>
      <c r="L257" s="38" t="s">
        <v>68</v>
      </c>
      <c r="M257" s="43">
        <v>0.17</v>
      </c>
      <c r="N257" s="43">
        <v>0.63</v>
      </c>
      <c r="O257" s="42">
        <v>46348.72</v>
      </c>
      <c r="P257" s="42">
        <v>0</v>
      </c>
    </row>
    <row r="258" spans="1:16" ht="15" customHeight="1" x14ac:dyDescent="0.3">
      <c r="A258" s="56" t="s">
        <v>592</v>
      </c>
      <c r="B258" s="57">
        <v>44475</v>
      </c>
      <c r="C258" s="56" t="s">
        <v>593</v>
      </c>
      <c r="D258" s="56" t="s">
        <v>97</v>
      </c>
      <c r="E258" s="58">
        <v>9905</v>
      </c>
      <c r="F258" s="59">
        <v>6.2E-2</v>
      </c>
      <c r="G258" s="56">
        <v>36</v>
      </c>
      <c r="H258" s="56" t="s">
        <v>37</v>
      </c>
      <c r="I258" s="56" t="s">
        <v>71</v>
      </c>
      <c r="J258" s="56" t="s">
        <v>67</v>
      </c>
      <c r="K258" s="60">
        <v>72788</v>
      </c>
      <c r="L258" s="56" t="s">
        <v>62</v>
      </c>
      <c r="M258" s="61">
        <v>0.39</v>
      </c>
      <c r="N258" s="61">
        <v>0.62</v>
      </c>
      <c r="O258" s="60">
        <v>2417.52</v>
      </c>
      <c r="P258" s="60">
        <v>3932.05</v>
      </c>
    </row>
    <row r="259" spans="1:16" ht="15" customHeight="1" x14ac:dyDescent="0.3">
      <c r="A259" s="56" t="s">
        <v>594</v>
      </c>
      <c r="B259" s="57">
        <v>44476</v>
      </c>
      <c r="C259" s="56" t="s">
        <v>595</v>
      </c>
      <c r="D259" s="56" t="s">
        <v>59</v>
      </c>
      <c r="E259" s="58">
        <v>8314</v>
      </c>
      <c r="F259" s="59">
        <v>0.246</v>
      </c>
      <c r="G259" s="56">
        <v>60</v>
      </c>
      <c r="H259" s="56" t="s">
        <v>37</v>
      </c>
      <c r="I259" s="56" t="s">
        <v>60</v>
      </c>
      <c r="J259" s="56" t="s">
        <v>76</v>
      </c>
      <c r="K259" s="60">
        <v>100130</v>
      </c>
      <c r="L259" s="56" t="s">
        <v>68</v>
      </c>
      <c r="M259" s="61">
        <v>0.41</v>
      </c>
      <c r="N259" s="61">
        <v>0.8</v>
      </c>
      <c r="O259" s="60">
        <v>902.38</v>
      </c>
      <c r="P259" s="60">
        <v>4096.3</v>
      </c>
    </row>
    <row r="260" spans="1:16" ht="15" customHeight="1" x14ac:dyDescent="0.3">
      <c r="A260" s="38" t="s">
        <v>596</v>
      </c>
      <c r="B260" s="39">
        <v>44476</v>
      </c>
      <c r="C260" s="38" t="s">
        <v>597</v>
      </c>
      <c r="D260" s="38" t="s">
        <v>88</v>
      </c>
      <c r="E260" s="40">
        <v>33733</v>
      </c>
      <c r="F260" s="41">
        <v>0.17699999999999999</v>
      </c>
      <c r="G260" s="38">
        <v>60</v>
      </c>
      <c r="H260" s="38" t="s">
        <v>35</v>
      </c>
      <c r="I260" s="38" t="s">
        <v>83</v>
      </c>
      <c r="J260" s="38" t="s">
        <v>84</v>
      </c>
      <c r="K260" s="42">
        <v>123405</v>
      </c>
      <c r="L260" s="38" t="s">
        <v>62</v>
      </c>
      <c r="M260" s="43">
        <v>0.14000000000000001</v>
      </c>
      <c r="N260" s="43">
        <v>0.83</v>
      </c>
      <c r="O260" s="42">
        <v>39703.74</v>
      </c>
      <c r="P260" s="42">
        <v>0</v>
      </c>
    </row>
    <row r="261" spans="1:16" ht="15" customHeight="1" x14ac:dyDescent="0.3">
      <c r="A261" s="44" t="s">
        <v>598</v>
      </c>
      <c r="B261" s="45">
        <v>44477</v>
      </c>
      <c r="C261" s="44" t="s">
        <v>599</v>
      </c>
      <c r="D261" s="44" t="s">
        <v>65</v>
      </c>
      <c r="E261" s="46">
        <v>9125</v>
      </c>
      <c r="F261" s="47">
        <v>0.16900000000000001</v>
      </c>
      <c r="G261" s="44">
        <v>60</v>
      </c>
      <c r="H261" s="44" t="s">
        <v>36</v>
      </c>
      <c r="I261" s="44" t="s">
        <v>114</v>
      </c>
      <c r="J261" s="44" t="s">
        <v>76</v>
      </c>
      <c r="K261" s="48">
        <v>122446</v>
      </c>
      <c r="L261" s="44" t="s">
        <v>62</v>
      </c>
      <c r="M261" s="49">
        <v>0.42</v>
      </c>
      <c r="N261" s="49">
        <v>0.89</v>
      </c>
      <c r="O261" s="48">
        <v>3684.51</v>
      </c>
      <c r="P261" s="48">
        <v>0</v>
      </c>
    </row>
    <row r="262" spans="1:16" ht="15" customHeight="1" x14ac:dyDescent="0.3">
      <c r="A262" s="44" t="s">
        <v>600</v>
      </c>
      <c r="B262" s="45">
        <v>44480</v>
      </c>
      <c r="C262" s="44" t="s">
        <v>601</v>
      </c>
      <c r="D262" s="44" t="s">
        <v>59</v>
      </c>
      <c r="E262" s="46">
        <v>10903</v>
      </c>
      <c r="F262" s="47">
        <v>0.17399999999999999</v>
      </c>
      <c r="G262" s="44">
        <v>36</v>
      </c>
      <c r="H262" s="44" t="s">
        <v>36</v>
      </c>
      <c r="I262" s="44" t="s">
        <v>60</v>
      </c>
      <c r="J262" s="44" t="s">
        <v>67</v>
      </c>
      <c r="K262" s="48">
        <v>44908</v>
      </c>
      <c r="L262" s="44" t="s">
        <v>68</v>
      </c>
      <c r="M262" s="49">
        <v>0.28999999999999998</v>
      </c>
      <c r="N262" s="49">
        <v>0.86</v>
      </c>
      <c r="O262" s="48">
        <v>2043.7</v>
      </c>
      <c r="P262" s="48">
        <v>0</v>
      </c>
    </row>
    <row r="263" spans="1:16" ht="15" customHeight="1" x14ac:dyDescent="0.3">
      <c r="A263" s="38" t="s">
        <v>602</v>
      </c>
      <c r="B263" s="39">
        <v>44481</v>
      </c>
      <c r="C263" s="38" t="s">
        <v>603</v>
      </c>
      <c r="D263" s="38" t="s">
        <v>125</v>
      </c>
      <c r="E263" s="40">
        <v>26709</v>
      </c>
      <c r="F263" s="41">
        <v>0.23599999999999999</v>
      </c>
      <c r="G263" s="38">
        <v>60</v>
      </c>
      <c r="H263" s="38" t="s">
        <v>35</v>
      </c>
      <c r="I263" s="38" t="s">
        <v>71</v>
      </c>
      <c r="J263" s="38" t="s">
        <v>67</v>
      </c>
      <c r="K263" s="42">
        <v>134188</v>
      </c>
      <c r="L263" s="38" t="s">
        <v>62</v>
      </c>
      <c r="M263" s="43">
        <v>0.12</v>
      </c>
      <c r="N263" s="43">
        <v>0.81</v>
      </c>
      <c r="O263" s="42">
        <v>33012.32</v>
      </c>
      <c r="P263" s="42">
        <v>0</v>
      </c>
    </row>
    <row r="264" spans="1:16" ht="15" customHeight="1" x14ac:dyDescent="0.3">
      <c r="A264" s="38" t="s">
        <v>604</v>
      </c>
      <c r="B264" s="39">
        <v>44481</v>
      </c>
      <c r="C264" s="38" t="s">
        <v>605</v>
      </c>
      <c r="D264" s="38" t="s">
        <v>113</v>
      </c>
      <c r="E264" s="40">
        <v>4224</v>
      </c>
      <c r="F264" s="41">
        <v>0.19800000000000001</v>
      </c>
      <c r="G264" s="38">
        <v>36</v>
      </c>
      <c r="H264" s="38" t="s">
        <v>35</v>
      </c>
      <c r="I264" s="38" t="s">
        <v>114</v>
      </c>
      <c r="J264" s="38" t="s">
        <v>72</v>
      </c>
      <c r="K264" s="42">
        <v>52439</v>
      </c>
      <c r="L264" s="38" t="s">
        <v>68</v>
      </c>
      <c r="M264" s="43">
        <v>0.31</v>
      </c>
      <c r="N264" s="43">
        <v>0.65</v>
      </c>
      <c r="O264" s="42">
        <v>5060.3500000000004</v>
      </c>
      <c r="P264" s="42">
        <v>0</v>
      </c>
    </row>
    <row r="265" spans="1:16" ht="15" customHeight="1" x14ac:dyDescent="0.3">
      <c r="A265" s="56" t="s">
        <v>606</v>
      </c>
      <c r="B265" s="57">
        <v>44481</v>
      </c>
      <c r="C265" s="56" t="s">
        <v>607</v>
      </c>
      <c r="D265" s="56" t="s">
        <v>65</v>
      </c>
      <c r="E265" s="58">
        <v>19268</v>
      </c>
      <c r="F265" s="59">
        <v>0.11600000000000001</v>
      </c>
      <c r="G265" s="56">
        <v>36</v>
      </c>
      <c r="H265" s="56" t="s">
        <v>37</v>
      </c>
      <c r="I265" s="56" t="s">
        <v>60</v>
      </c>
      <c r="J265" s="56" t="s">
        <v>76</v>
      </c>
      <c r="K265" s="60">
        <v>148747</v>
      </c>
      <c r="L265" s="56" t="s">
        <v>68</v>
      </c>
      <c r="M265" s="61">
        <v>0.22</v>
      </c>
      <c r="N265" s="61">
        <v>0.52</v>
      </c>
      <c r="O265" s="60">
        <v>2215.9299999999998</v>
      </c>
      <c r="P265" s="60">
        <v>9626.5400000000009</v>
      </c>
    </row>
    <row r="266" spans="1:16" ht="15" customHeight="1" x14ac:dyDescent="0.3">
      <c r="A266" s="44" t="s">
        <v>608</v>
      </c>
      <c r="B266" s="45">
        <v>44482</v>
      </c>
      <c r="C266" s="44" t="s">
        <v>609</v>
      </c>
      <c r="D266" s="44" t="s">
        <v>138</v>
      </c>
      <c r="E266" s="46">
        <v>21733</v>
      </c>
      <c r="F266" s="47">
        <v>0.10299999999999999</v>
      </c>
      <c r="G266" s="44">
        <v>36</v>
      </c>
      <c r="H266" s="44" t="s">
        <v>36</v>
      </c>
      <c r="I266" s="44" t="s">
        <v>80</v>
      </c>
      <c r="J266" s="44" t="s">
        <v>72</v>
      </c>
      <c r="K266" s="48">
        <v>98309</v>
      </c>
      <c r="L266" s="44" t="s">
        <v>85</v>
      </c>
      <c r="M266" s="49">
        <v>0.13</v>
      </c>
      <c r="N266" s="49">
        <v>0.55000000000000004</v>
      </c>
      <c r="O266" s="48">
        <v>4562.7700000000004</v>
      </c>
      <c r="P266" s="48">
        <v>0</v>
      </c>
    </row>
    <row r="267" spans="1:16" ht="15" customHeight="1" x14ac:dyDescent="0.3">
      <c r="A267" s="38" t="s">
        <v>610</v>
      </c>
      <c r="B267" s="39">
        <v>44485</v>
      </c>
      <c r="C267" s="38" t="s">
        <v>611</v>
      </c>
      <c r="D267" s="38" t="s">
        <v>65</v>
      </c>
      <c r="E267" s="40">
        <v>33007</v>
      </c>
      <c r="F267" s="41">
        <v>0.155</v>
      </c>
      <c r="G267" s="38">
        <v>60</v>
      </c>
      <c r="H267" s="38" t="s">
        <v>35</v>
      </c>
      <c r="I267" s="38" t="s">
        <v>80</v>
      </c>
      <c r="J267" s="38" t="s">
        <v>67</v>
      </c>
      <c r="K267" s="42">
        <v>34992</v>
      </c>
      <c r="L267" s="38" t="s">
        <v>62</v>
      </c>
      <c r="M267" s="43">
        <v>0.1</v>
      </c>
      <c r="N267" s="43">
        <v>0.59</v>
      </c>
      <c r="O267" s="42">
        <v>38123.08</v>
      </c>
      <c r="P267" s="42">
        <v>0</v>
      </c>
    </row>
    <row r="268" spans="1:16" ht="15" customHeight="1" x14ac:dyDescent="0.3">
      <c r="A268" s="44" t="s">
        <v>612</v>
      </c>
      <c r="B268" s="45">
        <v>44485</v>
      </c>
      <c r="C268" s="44" t="s">
        <v>613</v>
      </c>
      <c r="D268" s="44" t="s">
        <v>125</v>
      </c>
      <c r="E268" s="46">
        <v>2750</v>
      </c>
      <c r="F268" s="47">
        <v>6.0999999999999999E-2</v>
      </c>
      <c r="G268" s="44">
        <v>60</v>
      </c>
      <c r="H268" s="44" t="s">
        <v>36</v>
      </c>
      <c r="I268" s="44" t="s">
        <v>71</v>
      </c>
      <c r="J268" s="44" t="s">
        <v>84</v>
      </c>
      <c r="K268" s="48">
        <v>98975</v>
      </c>
      <c r="L268" s="44" t="s">
        <v>62</v>
      </c>
      <c r="M268" s="49">
        <v>0.46</v>
      </c>
      <c r="N268" s="49">
        <v>0.82</v>
      </c>
      <c r="O268" s="48">
        <v>176.92</v>
      </c>
      <c r="P268" s="48">
        <v>0</v>
      </c>
    </row>
    <row r="269" spans="1:16" ht="15" customHeight="1" x14ac:dyDescent="0.3">
      <c r="A269" s="44" t="s">
        <v>614</v>
      </c>
      <c r="B269" s="45">
        <v>44490</v>
      </c>
      <c r="C269" s="44" t="s">
        <v>615</v>
      </c>
      <c r="D269" s="44" t="s">
        <v>97</v>
      </c>
      <c r="E269" s="46">
        <v>11816</v>
      </c>
      <c r="F269" s="47">
        <v>0.114</v>
      </c>
      <c r="G269" s="44">
        <v>36</v>
      </c>
      <c r="H269" s="44" t="s">
        <v>36</v>
      </c>
      <c r="I269" s="44" t="s">
        <v>66</v>
      </c>
      <c r="J269" s="44" t="s">
        <v>76</v>
      </c>
      <c r="K269" s="48">
        <v>42226</v>
      </c>
      <c r="L269" s="44" t="s">
        <v>85</v>
      </c>
      <c r="M269" s="49">
        <v>0.2</v>
      </c>
      <c r="N269" s="49">
        <v>0.56000000000000005</v>
      </c>
      <c r="O269" s="48">
        <v>3024.12</v>
      </c>
      <c r="P269" s="48">
        <v>0</v>
      </c>
    </row>
    <row r="270" spans="1:16" ht="15" customHeight="1" x14ac:dyDescent="0.3">
      <c r="A270" s="44" t="s">
        <v>616</v>
      </c>
      <c r="B270" s="45">
        <v>44492</v>
      </c>
      <c r="C270" s="44" t="s">
        <v>617</v>
      </c>
      <c r="D270" s="44" t="s">
        <v>65</v>
      </c>
      <c r="E270" s="46">
        <v>21587</v>
      </c>
      <c r="F270" s="47">
        <v>0.16</v>
      </c>
      <c r="G270" s="44">
        <v>36</v>
      </c>
      <c r="H270" s="44" t="s">
        <v>36</v>
      </c>
      <c r="I270" s="44" t="s">
        <v>114</v>
      </c>
      <c r="J270" s="44" t="s">
        <v>84</v>
      </c>
      <c r="K270" s="48">
        <v>98842</v>
      </c>
      <c r="L270" s="44" t="s">
        <v>62</v>
      </c>
      <c r="M270" s="49">
        <v>0.23</v>
      </c>
      <c r="N270" s="49">
        <v>0.69</v>
      </c>
      <c r="O270" s="48">
        <v>5550.98</v>
      </c>
      <c r="P270" s="48">
        <v>0</v>
      </c>
    </row>
    <row r="271" spans="1:16" ht="15" customHeight="1" x14ac:dyDescent="0.3">
      <c r="A271" s="44" t="s">
        <v>618</v>
      </c>
      <c r="B271" s="45">
        <v>44492</v>
      </c>
      <c r="C271" s="44" t="s">
        <v>619</v>
      </c>
      <c r="D271" s="44" t="s">
        <v>113</v>
      </c>
      <c r="E271" s="46">
        <v>34893</v>
      </c>
      <c r="F271" s="47">
        <v>0.218</v>
      </c>
      <c r="G271" s="44">
        <v>60</v>
      </c>
      <c r="H271" s="44" t="s">
        <v>36</v>
      </c>
      <c r="I271" s="44" t="s">
        <v>60</v>
      </c>
      <c r="J271" s="44" t="s">
        <v>67</v>
      </c>
      <c r="K271" s="48">
        <v>140529</v>
      </c>
      <c r="L271" s="44" t="s">
        <v>62</v>
      </c>
      <c r="M271" s="49">
        <v>0.41</v>
      </c>
      <c r="N271" s="49">
        <v>0.56000000000000005</v>
      </c>
      <c r="O271" s="48">
        <v>8782.64</v>
      </c>
      <c r="P271" s="48">
        <v>0</v>
      </c>
    </row>
    <row r="272" spans="1:16" ht="15" customHeight="1" x14ac:dyDescent="0.3">
      <c r="A272" s="44" t="s">
        <v>620</v>
      </c>
      <c r="B272" s="45">
        <v>44498</v>
      </c>
      <c r="C272" s="44" t="s">
        <v>621</v>
      </c>
      <c r="D272" s="44" t="s">
        <v>65</v>
      </c>
      <c r="E272" s="46">
        <v>21421</v>
      </c>
      <c r="F272" s="47">
        <v>0.23599999999999999</v>
      </c>
      <c r="G272" s="44">
        <v>36</v>
      </c>
      <c r="H272" s="44" t="s">
        <v>36</v>
      </c>
      <c r="I272" s="44" t="s">
        <v>60</v>
      </c>
      <c r="J272" s="44" t="s">
        <v>61</v>
      </c>
      <c r="K272" s="48">
        <v>61349</v>
      </c>
      <c r="L272" s="44" t="s">
        <v>62</v>
      </c>
      <c r="M272" s="49">
        <v>0.22</v>
      </c>
      <c r="N272" s="49">
        <v>0.65</v>
      </c>
      <c r="O272" s="48">
        <v>3641.47</v>
      </c>
      <c r="P272" s="48">
        <v>0</v>
      </c>
    </row>
    <row r="273" spans="1:16" ht="15" customHeight="1" x14ac:dyDescent="0.3">
      <c r="A273" s="38" t="s">
        <v>622</v>
      </c>
      <c r="B273" s="39">
        <v>44498</v>
      </c>
      <c r="C273" s="38" t="s">
        <v>623</v>
      </c>
      <c r="D273" s="38" t="s">
        <v>75</v>
      </c>
      <c r="E273" s="40">
        <v>3139</v>
      </c>
      <c r="F273" s="41">
        <v>0.19500000000000001</v>
      </c>
      <c r="G273" s="38">
        <v>36</v>
      </c>
      <c r="H273" s="38" t="s">
        <v>35</v>
      </c>
      <c r="I273" s="38" t="s">
        <v>83</v>
      </c>
      <c r="J273" s="38" t="s">
        <v>72</v>
      </c>
      <c r="K273" s="42">
        <v>109818</v>
      </c>
      <c r="L273" s="38" t="s">
        <v>68</v>
      </c>
      <c r="M273" s="43">
        <v>0.1</v>
      </c>
      <c r="N273" s="43">
        <v>0.57999999999999996</v>
      </c>
      <c r="O273" s="42">
        <v>3751.1</v>
      </c>
      <c r="P273" s="42">
        <v>0</v>
      </c>
    </row>
    <row r="274" spans="1:16" ht="15" customHeight="1" x14ac:dyDescent="0.3">
      <c r="A274" s="38" t="s">
        <v>624</v>
      </c>
      <c r="B274" s="39">
        <v>44499</v>
      </c>
      <c r="C274" s="38" t="s">
        <v>625</v>
      </c>
      <c r="D274" s="38" t="s">
        <v>97</v>
      </c>
      <c r="E274" s="40">
        <v>13178</v>
      </c>
      <c r="F274" s="41">
        <v>0.24399999999999999</v>
      </c>
      <c r="G274" s="38">
        <v>60</v>
      </c>
      <c r="H274" s="38" t="s">
        <v>35</v>
      </c>
      <c r="I274" s="38" t="s">
        <v>66</v>
      </c>
      <c r="J274" s="38" t="s">
        <v>76</v>
      </c>
      <c r="K274" s="42">
        <v>121911</v>
      </c>
      <c r="L274" s="38" t="s">
        <v>68</v>
      </c>
      <c r="M274" s="43">
        <v>0.23</v>
      </c>
      <c r="N274" s="43">
        <v>0.94</v>
      </c>
      <c r="O274" s="42">
        <v>16393.43</v>
      </c>
      <c r="P274" s="42">
        <v>0</v>
      </c>
    </row>
    <row r="275" spans="1:16" ht="15" customHeight="1" x14ac:dyDescent="0.3">
      <c r="A275" s="56" t="s">
        <v>626</v>
      </c>
      <c r="B275" s="57">
        <v>44501</v>
      </c>
      <c r="C275" s="56" t="s">
        <v>627</v>
      </c>
      <c r="D275" s="56" t="s">
        <v>65</v>
      </c>
      <c r="E275" s="58">
        <v>17661</v>
      </c>
      <c r="F275" s="59">
        <v>0.10100000000000001</v>
      </c>
      <c r="G275" s="56">
        <v>60</v>
      </c>
      <c r="H275" s="56" t="s">
        <v>37</v>
      </c>
      <c r="I275" s="56" t="s">
        <v>66</v>
      </c>
      <c r="J275" s="56" t="s">
        <v>67</v>
      </c>
      <c r="K275" s="60">
        <v>147275</v>
      </c>
      <c r="L275" s="56" t="s">
        <v>68</v>
      </c>
      <c r="M275" s="61">
        <v>0.41</v>
      </c>
      <c r="N275" s="61">
        <v>0.69</v>
      </c>
      <c r="O275" s="60">
        <v>5510.89</v>
      </c>
      <c r="P275" s="60">
        <v>3016.27</v>
      </c>
    </row>
    <row r="276" spans="1:16" ht="15" customHeight="1" x14ac:dyDescent="0.3">
      <c r="A276" s="38" t="s">
        <v>628</v>
      </c>
      <c r="B276" s="39">
        <v>44509</v>
      </c>
      <c r="C276" s="38" t="s">
        <v>629</v>
      </c>
      <c r="D276" s="38" t="s">
        <v>97</v>
      </c>
      <c r="E276" s="40">
        <v>12421</v>
      </c>
      <c r="F276" s="41">
        <v>0.127</v>
      </c>
      <c r="G276" s="38">
        <v>60</v>
      </c>
      <c r="H276" s="38" t="s">
        <v>35</v>
      </c>
      <c r="I276" s="38" t="s">
        <v>71</v>
      </c>
      <c r="J276" s="38" t="s">
        <v>67</v>
      </c>
      <c r="K276" s="42">
        <v>36511</v>
      </c>
      <c r="L276" s="38" t="s">
        <v>68</v>
      </c>
      <c r="M276" s="43">
        <v>0.17</v>
      </c>
      <c r="N276" s="43">
        <v>0.66</v>
      </c>
      <c r="O276" s="42">
        <v>13998.47</v>
      </c>
      <c r="P276" s="42">
        <v>0</v>
      </c>
    </row>
    <row r="277" spans="1:16" ht="15" customHeight="1" x14ac:dyDescent="0.3">
      <c r="A277" s="38" t="s">
        <v>630</v>
      </c>
      <c r="B277" s="39">
        <v>44509</v>
      </c>
      <c r="C277" s="38" t="s">
        <v>631</v>
      </c>
      <c r="D277" s="38" t="s">
        <v>125</v>
      </c>
      <c r="E277" s="40">
        <v>35406</v>
      </c>
      <c r="F277" s="41">
        <v>0.17799999999999999</v>
      </c>
      <c r="G277" s="38">
        <v>60</v>
      </c>
      <c r="H277" s="38" t="s">
        <v>35</v>
      </c>
      <c r="I277" s="38" t="s">
        <v>66</v>
      </c>
      <c r="J277" s="38" t="s">
        <v>61</v>
      </c>
      <c r="K277" s="42">
        <v>50922</v>
      </c>
      <c r="L277" s="38" t="s">
        <v>62</v>
      </c>
      <c r="M277" s="43">
        <v>0.12</v>
      </c>
      <c r="N277" s="43">
        <v>0.54</v>
      </c>
      <c r="O277" s="42">
        <v>41708.269999999997</v>
      </c>
      <c r="P277" s="42">
        <v>0</v>
      </c>
    </row>
    <row r="278" spans="1:16" ht="15" customHeight="1" x14ac:dyDescent="0.3">
      <c r="A278" s="44" t="s">
        <v>632</v>
      </c>
      <c r="B278" s="45">
        <v>44510</v>
      </c>
      <c r="C278" s="44" t="s">
        <v>633</v>
      </c>
      <c r="D278" s="44" t="s">
        <v>108</v>
      </c>
      <c r="E278" s="46">
        <v>27660</v>
      </c>
      <c r="F278" s="47">
        <v>0.182</v>
      </c>
      <c r="G278" s="44">
        <v>36</v>
      </c>
      <c r="H278" s="44" t="s">
        <v>36</v>
      </c>
      <c r="I278" s="44" t="s">
        <v>66</v>
      </c>
      <c r="J278" s="44" t="s">
        <v>67</v>
      </c>
      <c r="K278" s="48">
        <v>141585</v>
      </c>
      <c r="L278" s="44" t="s">
        <v>85</v>
      </c>
      <c r="M278" s="49">
        <v>0.5</v>
      </c>
      <c r="N278" s="49">
        <v>0.57999999999999996</v>
      </c>
      <c r="O278" s="48">
        <v>8174.19</v>
      </c>
      <c r="P278" s="48">
        <v>0</v>
      </c>
    </row>
    <row r="279" spans="1:16" ht="15" customHeight="1" x14ac:dyDescent="0.3">
      <c r="A279" s="44" t="s">
        <v>634</v>
      </c>
      <c r="B279" s="45">
        <v>44511</v>
      </c>
      <c r="C279" s="44" t="s">
        <v>635</v>
      </c>
      <c r="D279" s="44" t="s">
        <v>113</v>
      </c>
      <c r="E279" s="46">
        <v>8151</v>
      </c>
      <c r="F279" s="47">
        <v>0.14299999999999999</v>
      </c>
      <c r="G279" s="44">
        <v>36</v>
      </c>
      <c r="H279" s="44" t="s">
        <v>36</v>
      </c>
      <c r="I279" s="44" t="s">
        <v>114</v>
      </c>
      <c r="J279" s="44" t="s">
        <v>84</v>
      </c>
      <c r="K279" s="48">
        <v>134926</v>
      </c>
      <c r="L279" s="44" t="s">
        <v>62</v>
      </c>
      <c r="M279" s="49">
        <v>0.22</v>
      </c>
      <c r="N279" s="49">
        <v>0.54</v>
      </c>
      <c r="O279" s="48">
        <v>3592.52</v>
      </c>
      <c r="P279" s="48">
        <v>0</v>
      </c>
    </row>
    <row r="280" spans="1:16" ht="15" customHeight="1" x14ac:dyDescent="0.3">
      <c r="A280" s="38" t="s">
        <v>636</v>
      </c>
      <c r="B280" s="39">
        <v>44512</v>
      </c>
      <c r="C280" s="38" t="s">
        <v>637</v>
      </c>
      <c r="D280" s="38" t="s">
        <v>59</v>
      </c>
      <c r="E280" s="40">
        <v>30077</v>
      </c>
      <c r="F280" s="41">
        <v>0.20599999999999999</v>
      </c>
      <c r="G280" s="38">
        <v>60</v>
      </c>
      <c r="H280" s="38" t="s">
        <v>35</v>
      </c>
      <c r="I280" s="38" t="s">
        <v>60</v>
      </c>
      <c r="J280" s="38" t="s">
        <v>67</v>
      </c>
      <c r="K280" s="42">
        <v>120101</v>
      </c>
      <c r="L280" s="38" t="s">
        <v>68</v>
      </c>
      <c r="M280" s="43">
        <v>0.46</v>
      </c>
      <c r="N280" s="43">
        <v>0.87</v>
      </c>
      <c r="O280" s="42">
        <v>36272.86</v>
      </c>
      <c r="P280" s="42">
        <v>0</v>
      </c>
    </row>
    <row r="281" spans="1:16" ht="15" customHeight="1" x14ac:dyDescent="0.3">
      <c r="A281" s="38" t="s">
        <v>638</v>
      </c>
      <c r="B281" s="39">
        <v>44514</v>
      </c>
      <c r="C281" s="38" t="s">
        <v>639</v>
      </c>
      <c r="D281" s="38" t="s">
        <v>108</v>
      </c>
      <c r="E281" s="40">
        <v>17014</v>
      </c>
      <c r="F281" s="41">
        <v>0.214</v>
      </c>
      <c r="G281" s="38">
        <v>36</v>
      </c>
      <c r="H281" s="38" t="s">
        <v>35</v>
      </c>
      <c r="I281" s="38" t="s">
        <v>71</v>
      </c>
      <c r="J281" s="38" t="s">
        <v>61</v>
      </c>
      <c r="K281" s="42">
        <v>116242</v>
      </c>
      <c r="L281" s="38" t="s">
        <v>68</v>
      </c>
      <c r="M281" s="43">
        <v>0.23</v>
      </c>
      <c r="N281" s="43">
        <v>0.89</v>
      </c>
      <c r="O281" s="42">
        <v>20655</v>
      </c>
      <c r="P281" s="42">
        <v>0</v>
      </c>
    </row>
    <row r="282" spans="1:16" ht="15" customHeight="1" x14ac:dyDescent="0.3">
      <c r="A282" s="38" t="s">
        <v>640</v>
      </c>
      <c r="B282" s="39">
        <v>44514</v>
      </c>
      <c r="C282" s="38" t="s">
        <v>641</v>
      </c>
      <c r="D282" s="38" t="s">
        <v>75</v>
      </c>
      <c r="E282" s="40">
        <v>1545</v>
      </c>
      <c r="F282" s="41">
        <v>9.2999999999999999E-2</v>
      </c>
      <c r="G282" s="38">
        <v>36</v>
      </c>
      <c r="H282" s="38" t="s">
        <v>35</v>
      </c>
      <c r="I282" s="38" t="s">
        <v>83</v>
      </c>
      <c r="J282" s="38" t="s">
        <v>61</v>
      </c>
      <c r="K282" s="42">
        <v>131582</v>
      </c>
      <c r="L282" s="38" t="s">
        <v>62</v>
      </c>
      <c r="M282" s="43">
        <v>0.39</v>
      </c>
      <c r="N282" s="43">
        <v>0.72</v>
      </c>
      <c r="O282" s="42">
        <v>1688.68</v>
      </c>
      <c r="P282" s="42">
        <v>0</v>
      </c>
    </row>
    <row r="283" spans="1:16" ht="15" customHeight="1" x14ac:dyDescent="0.3">
      <c r="A283" s="44" t="s">
        <v>642</v>
      </c>
      <c r="B283" s="45">
        <v>44516</v>
      </c>
      <c r="C283" s="44" t="s">
        <v>643</v>
      </c>
      <c r="D283" s="44" t="s">
        <v>79</v>
      </c>
      <c r="E283" s="46">
        <v>37451</v>
      </c>
      <c r="F283" s="47">
        <v>0.214</v>
      </c>
      <c r="G283" s="44">
        <v>60</v>
      </c>
      <c r="H283" s="44" t="s">
        <v>36</v>
      </c>
      <c r="I283" s="44" t="s">
        <v>71</v>
      </c>
      <c r="J283" s="44" t="s">
        <v>61</v>
      </c>
      <c r="K283" s="48">
        <v>99460</v>
      </c>
      <c r="L283" s="44" t="s">
        <v>85</v>
      </c>
      <c r="M283" s="49">
        <v>0.18</v>
      </c>
      <c r="N283" s="49">
        <v>0.66</v>
      </c>
      <c r="O283" s="48">
        <v>6410.55</v>
      </c>
      <c r="P283" s="48">
        <v>0</v>
      </c>
    </row>
    <row r="284" spans="1:16" ht="15" customHeight="1" x14ac:dyDescent="0.3">
      <c r="A284" s="38" t="s">
        <v>644</v>
      </c>
      <c r="B284" s="39">
        <v>44517</v>
      </c>
      <c r="C284" s="38" t="s">
        <v>645</v>
      </c>
      <c r="D284" s="38" t="s">
        <v>138</v>
      </c>
      <c r="E284" s="40">
        <v>30344</v>
      </c>
      <c r="F284" s="41">
        <v>0.11799999999999999</v>
      </c>
      <c r="G284" s="38">
        <v>60</v>
      </c>
      <c r="H284" s="38" t="s">
        <v>35</v>
      </c>
      <c r="I284" s="38" t="s">
        <v>83</v>
      </c>
      <c r="J284" s="38" t="s">
        <v>61</v>
      </c>
      <c r="K284" s="42">
        <v>120610</v>
      </c>
      <c r="L284" s="38" t="s">
        <v>62</v>
      </c>
      <c r="M284" s="43">
        <v>0.25</v>
      </c>
      <c r="N284" s="43">
        <v>0.6</v>
      </c>
      <c r="O284" s="42">
        <v>33924.589999999997</v>
      </c>
      <c r="P284" s="42">
        <v>0</v>
      </c>
    </row>
    <row r="285" spans="1:16" ht="15" customHeight="1" x14ac:dyDescent="0.3">
      <c r="A285" s="38" t="s">
        <v>646</v>
      </c>
      <c r="B285" s="39">
        <v>44517</v>
      </c>
      <c r="C285" s="38" t="s">
        <v>647</v>
      </c>
      <c r="D285" s="38" t="s">
        <v>88</v>
      </c>
      <c r="E285" s="40">
        <v>38311</v>
      </c>
      <c r="F285" s="41">
        <v>7.1999999999999995E-2</v>
      </c>
      <c r="G285" s="38">
        <v>36</v>
      </c>
      <c r="H285" s="38" t="s">
        <v>35</v>
      </c>
      <c r="I285" s="38" t="s">
        <v>114</v>
      </c>
      <c r="J285" s="38" t="s">
        <v>84</v>
      </c>
      <c r="K285" s="42">
        <v>40922</v>
      </c>
      <c r="L285" s="38" t="s">
        <v>68</v>
      </c>
      <c r="M285" s="43">
        <v>0.42</v>
      </c>
      <c r="N285" s="43">
        <v>0.68</v>
      </c>
      <c r="O285" s="42">
        <v>41069.39</v>
      </c>
      <c r="P285" s="42">
        <v>0</v>
      </c>
    </row>
    <row r="286" spans="1:16" ht="15" customHeight="1" x14ac:dyDescent="0.3">
      <c r="A286" s="44" t="s">
        <v>648</v>
      </c>
      <c r="B286" s="45">
        <v>44520</v>
      </c>
      <c r="C286" s="44" t="s">
        <v>649</v>
      </c>
      <c r="D286" s="44" t="s">
        <v>97</v>
      </c>
      <c r="E286" s="46">
        <v>30328</v>
      </c>
      <c r="F286" s="47">
        <v>0.215</v>
      </c>
      <c r="G286" s="44">
        <v>36</v>
      </c>
      <c r="H286" s="44" t="s">
        <v>36</v>
      </c>
      <c r="I286" s="44" t="s">
        <v>71</v>
      </c>
      <c r="J286" s="44" t="s">
        <v>76</v>
      </c>
      <c r="K286" s="48">
        <v>50389</v>
      </c>
      <c r="L286" s="44" t="s">
        <v>85</v>
      </c>
      <c r="M286" s="49">
        <v>0.13</v>
      </c>
      <c r="N286" s="49">
        <v>0.93</v>
      </c>
      <c r="O286" s="48">
        <v>6473.06</v>
      </c>
      <c r="P286" s="48">
        <v>0</v>
      </c>
    </row>
    <row r="287" spans="1:16" ht="15" customHeight="1" x14ac:dyDescent="0.3">
      <c r="A287" s="44" t="s">
        <v>650</v>
      </c>
      <c r="B287" s="45">
        <v>44522</v>
      </c>
      <c r="C287" s="44" t="s">
        <v>651</v>
      </c>
      <c r="D287" s="44" t="s">
        <v>97</v>
      </c>
      <c r="E287" s="46">
        <v>10435</v>
      </c>
      <c r="F287" s="47">
        <v>5.6000000000000001E-2</v>
      </c>
      <c r="G287" s="44">
        <v>36</v>
      </c>
      <c r="H287" s="44" t="s">
        <v>36</v>
      </c>
      <c r="I287" s="44" t="s">
        <v>80</v>
      </c>
      <c r="J287" s="44" t="s">
        <v>72</v>
      </c>
      <c r="K287" s="48">
        <v>82265</v>
      </c>
      <c r="L287" s="44" t="s">
        <v>68</v>
      </c>
      <c r="M287" s="49">
        <v>0.11</v>
      </c>
      <c r="N287" s="49">
        <v>0.89</v>
      </c>
      <c r="O287" s="48">
        <v>1328.43</v>
      </c>
      <c r="P287" s="48">
        <v>0</v>
      </c>
    </row>
    <row r="288" spans="1:16" ht="15" customHeight="1" x14ac:dyDescent="0.3">
      <c r="A288" s="38" t="s">
        <v>652</v>
      </c>
      <c r="B288" s="39">
        <v>44523</v>
      </c>
      <c r="C288" s="38" t="s">
        <v>653</v>
      </c>
      <c r="D288" s="38" t="s">
        <v>138</v>
      </c>
      <c r="E288" s="40">
        <v>12871</v>
      </c>
      <c r="F288" s="41">
        <v>0.188</v>
      </c>
      <c r="G288" s="38">
        <v>60</v>
      </c>
      <c r="H288" s="38" t="s">
        <v>35</v>
      </c>
      <c r="I288" s="38" t="s">
        <v>83</v>
      </c>
      <c r="J288" s="38" t="s">
        <v>72</v>
      </c>
      <c r="K288" s="42">
        <v>125082</v>
      </c>
      <c r="L288" s="38" t="s">
        <v>62</v>
      </c>
      <c r="M288" s="43">
        <v>0.21</v>
      </c>
      <c r="N288" s="43">
        <v>0.75</v>
      </c>
      <c r="O288" s="42">
        <v>15290.75</v>
      </c>
      <c r="P288" s="42">
        <v>0</v>
      </c>
    </row>
    <row r="289" spans="1:16" ht="15" customHeight="1" x14ac:dyDescent="0.3">
      <c r="A289" s="38" t="s">
        <v>654</v>
      </c>
      <c r="B289" s="39">
        <v>44524</v>
      </c>
      <c r="C289" s="38" t="s">
        <v>655</v>
      </c>
      <c r="D289" s="38" t="s">
        <v>113</v>
      </c>
      <c r="E289" s="40">
        <v>35171</v>
      </c>
      <c r="F289" s="41">
        <v>0.183</v>
      </c>
      <c r="G289" s="38">
        <v>60</v>
      </c>
      <c r="H289" s="38" t="s">
        <v>35</v>
      </c>
      <c r="I289" s="38" t="s">
        <v>257</v>
      </c>
      <c r="J289" s="38" t="s">
        <v>76</v>
      </c>
      <c r="K289" s="42">
        <v>50316</v>
      </c>
      <c r="L289" s="38" t="s">
        <v>85</v>
      </c>
      <c r="M289" s="43">
        <v>0.32</v>
      </c>
      <c r="N289" s="43">
        <v>0.7</v>
      </c>
      <c r="O289" s="42">
        <v>41607.29</v>
      </c>
      <c r="P289" s="42">
        <v>0</v>
      </c>
    </row>
    <row r="290" spans="1:16" ht="15" customHeight="1" x14ac:dyDescent="0.3">
      <c r="A290" s="44" t="s">
        <v>656</v>
      </c>
      <c r="B290" s="45">
        <v>44525</v>
      </c>
      <c r="C290" s="44" t="s">
        <v>657</v>
      </c>
      <c r="D290" s="44" t="s">
        <v>108</v>
      </c>
      <c r="E290" s="46">
        <v>18014</v>
      </c>
      <c r="F290" s="47">
        <v>0.17699999999999999</v>
      </c>
      <c r="G290" s="44">
        <v>60</v>
      </c>
      <c r="H290" s="44" t="s">
        <v>36</v>
      </c>
      <c r="I290" s="44" t="s">
        <v>60</v>
      </c>
      <c r="J290" s="44" t="s">
        <v>72</v>
      </c>
      <c r="K290" s="48">
        <v>100453</v>
      </c>
      <c r="L290" s="44" t="s">
        <v>85</v>
      </c>
      <c r="M290" s="49">
        <v>0.25</v>
      </c>
      <c r="N290" s="49">
        <v>0.54</v>
      </c>
      <c r="O290" s="48">
        <v>7265.79</v>
      </c>
      <c r="P290" s="48">
        <v>0</v>
      </c>
    </row>
    <row r="291" spans="1:16" ht="15" customHeight="1" x14ac:dyDescent="0.3">
      <c r="A291" s="38" t="s">
        <v>658</v>
      </c>
      <c r="B291" s="39">
        <v>44526</v>
      </c>
      <c r="C291" s="38" t="s">
        <v>659</v>
      </c>
      <c r="D291" s="38" t="s">
        <v>113</v>
      </c>
      <c r="E291" s="40">
        <v>11837</v>
      </c>
      <c r="F291" s="41">
        <v>0.248</v>
      </c>
      <c r="G291" s="38">
        <v>36</v>
      </c>
      <c r="H291" s="38" t="s">
        <v>35</v>
      </c>
      <c r="I291" s="38" t="s">
        <v>83</v>
      </c>
      <c r="J291" s="38" t="s">
        <v>61</v>
      </c>
      <c r="K291" s="42">
        <v>36078</v>
      </c>
      <c r="L291" s="38" t="s">
        <v>85</v>
      </c>
      <c r="M291" s="43">
        <v>0.32</v>
      </c>
      <c r="N291" s="43">
        <v>0.92</v>
      </c>
      <c r="O291" s="42">
        <v>14772.58</v>
      </c>
      <c r="P291" s="42">
        <v>0</v>
      </c>
    </row>
    <row r="292" spans="1:16" ht="15" customHeight="1" x14ac:dyDescent="0.3">
      <c r="A292" s="38" t="s">
        <v>660</v>
      </c>
      <c r="B292" s="39">
        <v>44527</v>
      </c>
      <c r="C292" s="38" t="s">
        <v>661</v>
      </c>
      <c r="D292" s="38" t="s">
        <v>59</v>
      </c>
      <c r="E292" s="40">
        <v>17725</v>
      </c>
      <c r="F292" s="41">
        <v>0.127</v>
      </c>
      <c r="G292" s="38">
        <v>36</v>
      </c>
      <c r="H292" s="38" t="s">
        <v>35</v>
      </c>
      <c r="I292" s="38" t="s">
        <v>257</v>
      </c>
      <c r="J292" s="38" t="s">
        <v>67</v>
      </c>
      <c r="K292" s="42">
        <v>148696</v>
      </c>
      <c r="L292" s="38" t="s">
        <v>62</v>
      </c>
      <c r="M292" s="43">
        <v>0.16</v>
      </c>
      <c r="N292" s="43">
        <v>0.79</v>
      </c>
      <c r="O292" s="42">
        <v>19976.080000000002</v>
      </c>
      <c r="P292" s="42">
        <v>0</v>
      </c>
    </row>
    <row r="293" spans="1:16" ht="15" customHeight="1" x14ac:dyDescent="0.3">
      <c r="A293" s="38" t="s">
        <v>662</v>
      </c>
      <c r="B293" s="39">
        <v>44530</v>
      </c>
      <c r="C293" s="38" t="s">
        <v>663</v>
      </c>
      <c r="D293" s="38" t="s">
        <v>75</v>
      </c>
      <c r="E293" s="40">
        <v>34755</v>
      </c>
      <c r="F293" s="41">
        <v>0.22700000000000001</v>
      </c>
      <c r="G293" s="38">
        <v>36</v>
      </c>
      <c r="H293" s="38" t="s">
        <v>35</v>
      </c>
      <c r="I293" s="38" t="s">
        <v>83</v>
      </c>
      <c r="J293" s="38" t="s">
        <v>76</v>
      </c>
      <c r="K293" s="42">
        <v>122298</v>
      </c>
      <c r="L293" s="38" t="s">
        <v>62</v>
      </c>
      <c r="M293" s="43">
        <v>0.17</v>
      </c>
      <c r="N293" s="43">
        <v>0.85</v>
      </c>
      <c r="O293" s="42">
        <v>42644.38</v>
      </c>
      <c r="P293" s="42">
        <v>0</v>
      </c>
    </row>
    <row r="294" spans="1:16" ht="15" customHeight="1" x14ac:dyDescent="0.3">
      <c r="A294" s="38" t="s">
        <v>664</v>
      </c>
      <c r="B294" s="39">
        <v>44532</v>
      </c>
      <c r="C294" s="38" t="s">
        <v>665</v>
      </c>
      <c r="D294" s="38" t="s">
        <v>79</v>
      </c>
      <c r="E294" s="40">
        <v>4380</v>
      </c>
      <c r="F294" s="41">
        <v>0.113</v>
      </c>
      <c r="G294" s="38">
        <v>36</v>
      </c>
      <c r="H294" s="38" t="s">
        <v>35</v>
      </c>
      <c r="I294" s="38" t="s">
        <v>71</v>
      </c>
      <c r="J294" s="38" t="s">
        <v>72</v>
      </c>
      <c r="K294" s="42">
        <v>35213</v>
      </c>
      <c r="L294" s="38" t="s">
        <v>85</v>
      </c>
      <c r="M294" s="43">
        <v>0.5</v>
      </c>
      <c r="N294" s="43">
        <v>0.92</v>
      </c>
      <c r="O294" s="42">
        <v>4874.9399999999996</v>
      </c>
      <c r="P294" s="42">
        <v>0</v>
      </c>
    </row>
    <row r="295" spans="1:16" ht="15" customHeight="1" x14ac:dyDescent="0.3">
      <c r="A295" s="44" t="s">
        <v>666</v>
      </c>
      <c r="B295" s="45">
        <v>44533</v>
      </c>
      <c r="C295" s="44" t="s">
        <v>667</v>
      </c>
      <c r="D295" s="44" t="s">
        <v>113</v>
      </c>
      <c r="E295" s="46">
        <v>4726</v>
      </c>
      <c r="F295" s="47">
        <v>0.249</v>
      </c>
      <c r="G295" s="44">
        <v>36</v>
      </c>
      <c r="H295" s="44" t="s">
        <v>36</v>
      </c>
      <c r="I295" s="44" t="s">
        <v>83</v>
      </c>
      <c r="J295" s="44" t="s">
        <v>84</v>
      </c>
      <c r="K295" s="48">
        <v>134433</v>
      </c>
      <c r="L295" s="44" t="s">
        <v>62</v>
      </c>
      <c r="M295" s="49">
        <v>0.34</v>
      </c>
      <c r="N295" s="49">
        <v>0.57999999999999996</v>
      </c>
      <c r="O295" s="48">
        <v>1515.61</v>
      </c>
      <c r="P295" s="48">
        <v>0</v>
      </c>
    </row>
    <row r="296" spans="1:16" ht="15" customHeight="1" x14ac:dyDescent="0.3">
      <c r="A296" s="38" t="s">
        <v>668</v>
      </c>
      <c r="B296" s="39">
        <v>44534</v>
      </c>
      <c r="C296" s="38" t="s">
        <v>669</v>
      </c>
      <c r="D296" s="38" t="s">
        <v>113</v>
      </c>
      <c r="E296" s="40">
        <v>38573</v>
      </c>
      <c r="F296" s="41">
        <v>8.5000000000000006E-2</v>
      </c>
      <c r="G296" s="38">
        <v>36</v>
      </c>
      <c r="H296" s="38" t="s">
        <v>35</v>
      </c>
      <c r="I296" s="38" t="s">
        <v>83</v>
      </c>
      <c r="J296" s="38" t="s">
        <v>61</v>
      </c>
      <c r="K296" s="42">
        <v>54031</v>
      </c>
      <c r="L296" s="38" t="s">
        <v>68</v>
      </c>
      <c r="M296" s="43">
        <v>0.46</v>
      </c>
      <c r="N296" s="43">
        <v>0.76</v>
      </c>
      <c r="O296" s="42">
        <v>41851.699999999997</v>
      </c>
      <c r="P296" s="42">
        <v>0</v>
      </c>
    </row>
    <row r="297" spans="1:16" ht="15" customHeight="1" x14ac:dyDescent="0.3">
      <c r="A297" s="44" t="s">
        <v>670</v>
      </c>
      <c r="B297" s="45">
        <v>44534</v>
      </c>
      <c r="C297" s="44" t="s">
        <v>671</v>
      </c>
      <c r="D297" s="44" t="s">
        <v>125</v>
      </c>
      <c r="E297" s="46">
        <v>11222</v>
      </c>
      <c r="F297" s="47">
        <v>0.20599999999999999</v>
      </c>
      <c r="G297" s="44">
        <v>60</v>
      </c>
      <c r="H297" s="44" t="s">
        <v>36</v>
      </c>
      <c r="I297" s="44" t="s">
        <v>80</v>
      </c>
      <c r="J297" s="44" t="s">
        <v>72</v>
      </c>
      <c r="K297" s="48">
        <v>46103</v>
      </c>
      <c r="L297" s="44" t="s">
        <v>85</v>
      </c>
      <c r="M297" s="49">
        <v>0.3</v>
      </c>
      <c r="N297" s="49">
        <v>0.82</v>
      </c>
      <c r="O297" s="48">
        <v>5048.66</v>
      </c>
      <c r="P297" s="48">
        <v>0</v>
      </c>
    </row>
    <row r="298" spans="1:16" ht="15" customHeight="1" x14ac:dyDescent="0.3">
      <c r="A298" s="56" t="s">
        <v>672</v>
      </c>
      <c r="B298" s="57">
        <v>44534</v>
      </c>
      <c r="C298" s="56" t="s">
        <v>673</v>
      </c>
      <c r="D298" s="56" t="s">
        <v>113</v>
      </c>
      <c r="E298" s="58">
        <v>20933</v>
      </c>
      <c r="F298" s="59">
        <v>8.3000000000000004E-2</v>
      </c>
      <c r="G298" s="56">
        <v>36</v>
      </c>
      <c r="H298" s="56" t="s">
        <v>37</v>
      </c>
      <c r="I298" s="56" t="s">
        <v>83</v>
      </c>
      <c r="J298" s="56" t="s">
        <v>67</v>
      </c>
      <c r="K298" s="60">
        <v>39277</v>
      </c>
      <c r="L298" s="56" t="s">
        <v>68</v>
      </c>
      <c r="M298" s="61">
        <v>0.14000000000000001</v>
      </c>
      <c r="N298" s="61">
        <v>0.76</v>
      </c>
      <c r="O298" s="60">
        <v>2341.0500000000002</v>
      </c>
      <c r="P298" s="60">
        <v>2519.27</v>
      </c>
    </row>
    <row r="299" spans="1:16" ht="15" customHeight="1" x14ac:dyDescent="0.3">
      <c r="A299" s="38" t="s">
        <v>674</v>
      </c>
      <c r="B299" s="39">
        <v>44535</v>
      </c>
      <c r="C299" s="38" t="s">
        <v>675</v>
      </c>
      <c r="D299" s="38" t="s">
        <v>125</v>
      </c>
      <c r="E299" s="40">
        <v>2560</v>
      </c>
      <c r="F299" s="41">
        <v>0.11799999999999999</v>
      </c>
      <c r="G299" s="38">
        <v>60</v>
      </c>
      <c r="H299" s="38" t="s">
        <v>35</v>
      </c>
      <c r="I299" s="38" t="s">
        <v>60</v>
      </c>
      <c r="J299" s="38" t="s">
        <v>61</v>
      </c>
      <c r="K299" s="42">
        <v>120695</v>
      </c>
      <c r="L299" s="38" t="s">
        <v>62</v>
      </c>
      <c r="M299" s="43">
        <v>0.35</v>
      </c>
      <c r="N299" s="43">
        <v>0.65</v>
      </c>
      <c r="O299" s="42">
        <v>2862.08</v>
      </c>
      <c r="P299" s="42">
        <v>0</v>
      </c>
    </row>
    <row r="300" spans="1:16" ht="15" customHeight="1" x14ac:dyDescent="0.3">
      <c r="A300" s="56" t="s">
        <v>676</v>
      </c>
      <c r="B300" s="57">
        <v>44537</v>
      </c>
      <c r="C300" s="56" t="s">
        <v>677</v>
      </c>
      <c r="D300" s="56" t="s">
        <v>65</v>
      </c>
      <c r="E300" s="58">
        <v>2980</v>
      </c>
      <c r="F300" s="59">
        <v>5.6000000000000001E-2</v>
      </c>
      <c r="G300" s="56">
        <v>60</v>
      </c>
      <c r="H300" s="56" t="s">
        <v>37</v>
      </c>
      <c r="I300" s="56" t="s">
        <v>71</v>
      </c>
      <c r="J300" s="56" t="s">
        <v>76</v>
      </c>
      <c r="K300" s="60">
        <v>102762</v>
      </c>
      <c r="L300" s="56" t="s">
        <v>68</v>
      </c>
      <c r="M300" s="61">
        <v>0.23</v>
      </c>
      <c r="N300" s="61">
        <v>0.79</v>
      </c>
      <c r="O300" s="60">
        <v>334.2</v>
      </c>
      <c r="P300" s="60">
        <v>420.5</v>
      </c>
    </row>
    <row r="301" spans="1:16" ht="15" customHeight="1" x14ac:dyDescent="0.3">
      <c r="A301" s="38" t="s">
        <v>678</v>
      </c>
      <c r="B301" s="39">
        <v>44538</v>
      </c>
      <c r="C301" s="38" t="s">
        <v>679</v>
      </c>
      <c r="D301" s="38" t="s">
        <v>125</v>
      </c>
      <c r="E301" s="40">
        <v>17920</v>
      </c>
      <c r="F301" s="41">
        <v>0.215</v>
      </c>
      <c r="G301" s="38">
        <v>60</v>
      </c>
      <c r="H301" s="38" t="s">
        <v>35</v>
      </c>
      <c r="I301" s="38" t="s">
        <v>71</v>
      </c>
      <c r="J301" s="38" t="s">
        <v>67</v>
      </c>
      <c r="K301" s="42">
        <v>55464</v>
      </c>
      <c r="L301" s="38" t="s">
        <v>68</v>
      </c>
      <c r="M301" s="43">
        <v>0.44</v>
      </c>
      <c r="N301" s="43">
        <v>0.69</v>
      </c>
      <c r="O301" s="42">
        <v>21772.799999999999</v>
      </c>
      <c r="P301" s="42">
        <v>0</v>
      </c>
    </row>
    <row r="302" spans="1:16" ht="15" customHeight="1" x14ac:dyDescent="0.3">
      <c r="A302" s="44" t="s">
        <v>680</v>
      </c>
      <c r="B302" s="45">
        <v>44540</v>
      </c>
      <c r="C302" s="44" t="s">
        <v>681</v>
      </c>
      <c r="D302" s="44" t="s">
        <v>113</v>
      </c>
      <c r="E302" s="46">
        <v>31987</v>
      </c>
      <c r="F302" s="47">
        <v>0.22600000000000001</v>
      </c>
      <c r="G302" s="44">
        <v>60</v>
      </c>
      <c r="H302" s="44" t="s">
        <v>36</v>
      </c>
      <c r="I302" s="44" t="s">
        <v>83</v>
      </c>
      <c r="J302" s="44" t="s">
        <v>76</v>
      </c>
      <c r="K302" s="48">
        <v>73949</v>
      </c>
      <c r="L302" s="44" t="s">
        <v>68</v>
      </c>
      <c r="M302" s="49">
        <v>0.18</v>
      </c>
      <c r="N302" s="49">
        <v>0.86</v>
      </c>
      <c r="O302" s="48">
        <v>2113.92</v>
      </c>
      <c r="P302" s="48">
        <v>0</v>
      </c>
    </row>
    <row r="303" spans="1:16" ht="15" customHeight="1" x14ac:dyDescent="0.3">
      <c r="A303" s="44" t="s">
        <v>682</v>
      </c>
      <c r="B303" s="45">
        <v>44542</v>
      </c>
      <c r="C303" s="44" t="s">
        <v>683</v>
      </c>
      <c r="D303" s="44" t="s">
        <v>79</v>
      </c>
      <c r="E303" s="46">
        <v>2667</v>
      </c>
      <c r="F303" s="47">
        <v>9.1999999999999998E-2</v>
      </c>
      <c r="G303" s="44">
        <v>60</v>
      </c>
      <c r="H303" s="44" t="s">
        <v>36</v>
      </c>
      <c r="I303" s="44" t="s">
        <v>80</v>
      </c>
      <c r="J303" s="44" t="s">
        <v>84</v>
      </c>
      <c r="K303" s="48">
        <v>48931</v>
      </c>
      <c r="L303" s="44" t="s">
        <v>68</v>
      </c>
      <c r="M303" s="49">
        <v>0.35</v>
      </c>
      <c r="N303" s="49">
        <v>0.66</v>
      </c>
      <c r="O303" s="48">
        <v>1282.69</v>
      </c>
      <c r="P303" s="48">
        <v>0</v>
      </c>
    </row>
    <row r="304" spans="1:16" ht="15" customHeight="1" x14ac:dyDescent="0.3">
      <c r="A304" s="38" t="s">
        <v>684</v>
      </c>
      <c r="B304" s="39">
        <v>44542</v>
      </c>
      <c r="C304" s="38" t="s">
        <v>685</v>
      </c>
      <c r="D304" s="38" t="s">
        <v>75</v>
      </c>
      <c r="E304" s="40">
        <v>16934</v>
      </c>
      <c r="F304" s="41">
        <v>0.19800000000000001</v>
      </c>
      <c r="G304" s="38">
        <v>60</v>
      </c>
      <c r="H304" s="38" t="s">
        <v>35</v>
      </c>
      <c r="I304" s="38" t="s">
        <v>80</v>
      </c>
      <c r="J304" s="38" t="s">
        <v>61</v>
      </c>
      <c r="K304" s="42">
        <v>52867</v>
      </c>
      <c r="L304" s="38" t="s">
        <v>62</v>
      </c>
      <c r="M304" s="43">
        <v>0.43</v>
      </c>
      <c r="N304" s="43">
        <v>0.87</v>
      </c>
      <c r="O304" s="42">
        <v>20286.93</v>
      </c>
      <c r="P304" s="42">
        <v>0</v>
      </c>
    </row>
    <row r="305" spans="1:16" ht="15" customHeight="1" x14ac:dyDescent="0.3">
      <c r="A305" s="38" t="s">
        <v>686</v>
      </c>
      <c r="B305" s="39">
        <v>44542</v>
      </c>
      <c r="C305" s="38" t="s">
        <v>687</v>
      </c>
      <c r="D305" s="38" t="s">
        <v>88</v>
      </c>
      <c r="E305" s="40">
        <v>14395</v>
      </c>
      <c r="F305" s="41">
        <v>6.7000000000000004E-2</v>
      </c>
      <c r="G305" s="38">
        <v>36</v>
      </c>
      <c r="H305" s="38" t="s">
        <v>35</v>
      </c>
      <c r="I305" s="38" t="s">
        <v>83</v>
      </c>
      <c r="J305" s="38" t="s">
        <v>67</v>
      </c>
      <c r="K305" s="42">
        <v>85805</v>
      </c>
      <c r="L305" s="38" t="s">
        <v>62</v>
      </c>
      <c r="M305" s="43">
        <v>0.33</v>
      </c>
      <c r="N305" s="43">
        <v>0.73</v>
      </c>
      <c r="O305" s="42">
        <v>15359.46</v>
      </c>
      <c r="P305" s="42">
        <v>0</v>
      </c>
    </row>
    <row r="306" spans="1:16" ht="15" customHeight="1" x14ac:dyDescent="0.3">
      <c r="A306" s="56" t="s">
        <v>688</v>
      </c>
      <c r="B306" s="57">
        <v>44543</v>
      </c>
      <c r="C306" s="56" t="s">
        <v>689</v>
      </c>
      <c r="D306" s="56" t="s">
        <v>125</v>
      </c>
      <c r="E306" s="58">
        <v>21609</v>
      </c>
      <c r="F306" s="59">
        <v>0.13300000000000001</v>
      </c>
      <c r="G306" s="56">
        <v>36</v>
      </c>
      <c r="H306" s="56" t="s">
        <v>37</v>
      </c>
      <c r="I306" s="56" t="s">
        <v>66</v>
      </c>
      <c r="J306" s="56" t="s">
        <v>67</v>
      </c>
      <c r="K306" s="60">
        <v>59523</v>
      </c>
      <c r="L306" s="56" t="s">
        <v>68</v>
      </c>
      <c r="M306" s="61">
        <v>0.45</v>
      </c>
      <c r="N306" s="61">
        <v>0.87</v>
      </c>
      <c r="O306" s="60">
        <v>3209.24</v>
      </c>
      <c r="P306" s="60">
        <v>5044.0600000000004</v>
      </c>
    </row>
    <row r="307" spans="1:16" ht="15" customHeight="1" x14ac:dyDescent="0.3">
      <c r="A307" s="38" t="s">
        <v>690</v>
      </c>
      <c r="B307" s="39">
        <v>44544</v>
      </c>
      <c r="C307" s="38" t="s">
        <v>691</v>
      </c>
      <c r="D307" s="38" t="s">
        <v>65</v>
      </c>
      <c r="E307" s="40">
        <v>9946</v>
      </c>
      <c r="F307" s="41">
        <v>0.189</v>
      </c>
      <c r="G307" s="38">
        <v>60</v>
      </c>
      <c r="H307" s="38" t="s">
        <v>35</v>
      </c>
      <c r="I307" s="38" t="s">
        <v>83</v>
      </c>
      <c r="J307" s="38" t="s">
        <v>84</v>
      </c>
      <c r="K307" s="42">
        <v>146836</v>
      </c>
      <c r="L307" s="38" t="s">
        <v>85</v>
      </c>
      <c r="M307" s="43">
        <v>0.28999999999999998</v>
      </c>
      <c r="N307" s="43">
        <v>0.77</v>
      </c>
      <c r="O307" s="42">
        <v>11825.79</v>
      </c>
      <c r="P307" s="42">
        <v>0</v>
      </c>
    </row>
    <row r="308" spans="1:16" ht="15" customHeight="1" x14ac:dyDescent="0.3">
      <c r="A308" s="38" t="s">
        <v>692</v>
      </c>
      <c r="B308" s="39">
        <v>44546</v>
      </c>
      <c r="C308" s="38" t="s">
        <v>693</v>
      </c>
      <c r="D308" s="38" t="s">
        <v>108</v>
      </c>
      <c r="E308" s="40">
        <v>39218</v>
      </c>
      <c r="F308" s="41">
        <v>0.124</v>
      </c>
      <c r="G308" s="38">
        <v>36</v>
      </c>
      <c r="H308" s="38" t="s">
        <v>35</v>
      </c>
      <c r="I308" s="38" t="s">
        <v>71</v>
      </c>
      <c r="J308" s="38" t="s">
        <v>67</v>
      </c>
      <c r="K308" s="42">
        <v>143936</v>
      </c>
      <c r="L308" s="38" t="s">
        <v>85</v>
      </c>
      <c r="M308" s="43">
        <v>0.24</v>
      </c>
      <c r="N308" s="43">
        <v>0.79</v>
      </c>
      <c r="O308" s="42">
        <v>44081.03</v>
      </c>
      <c r="P308" s="42">
        <v>0</v>
      </c>
    </row>
    <row r="309" spans="1:16" ht="15" customHeight="1" x14ac:dyDescent="0.3">
      <c r="A309" s="44" t="s">
        <v>694</v>
      </c>
      <c r="B309" s="45">
        <v>44546</v>
      </c>
      <c r="C309" s="44" t="s">
        <v>695</v>
      </c>
      <c r="D309" s="44" t="s">
        <v>88</v>
      </c>
      <c r="E309" s="46">
        <v>13289</v>
      </c>
      <c r="F309" s="47">
        <v>0.14799999999999999</v>
      </c>
      <c r="G309" s="44">
        <v>60</v>
      </c>
      <c r="H309" s="44" t="s">
        <v>36</v>
      </c>
      <c r="I309" s="44" t="s">
        <v>83</v>
      </c>
      <c r="J309" s="44" t="s">
        <v>72</v>
      </c>
      <c r="K309" s="48">
        <v>65464</v>
      </c>
      <c r="L309" s="44" t="s">
        <v>68</v>
      </c>
      <c r="M309" s="49">
        <v>0.27</v>
      </c>
      <c r="N309" s="49">
        <v>0.6</v>
      </c>
      <c r="O309" s="48">
        <v>3903.76</v>
      </c>
      <c r="P309" s="48">
        <v>0</v>
      </c>
    </row>
    <row r="310" spans="1:16" ht="15" customHeight="1" x14ac:dyDescent="0.3">
      <c r="A310" s="50" t="s">
        <v>696</v>
      </c>
      <c r="B310" s="51">
        <v>44552</v>
      </c>
      <c r="C310" s="50" t="s">
        <v>697</v>
      </c>
      <c r="D310" s="50" t="s">
        <v>97</v>
      </c>
      <c r="E310" s="52">
        <v>36585</v>
      </c>
      <c r="F310" s="53">
        <v>0.185</v>
      </c>
      <c r="G310" s="50">
        <v>60</v>
      </c>
      <c r="H310" s="50" t="s">
        <v>39</v>
      </c>
      <c r="I310" s="50" t="s">
        <v>80</v>
      </c>
      <c r="J310" s="50" t="s">
        <v>84</v>
      </c>
      <c r="K310" s="54">
        <v>117234</v>
      </c>
      <c r="L310" s="50" t="s">
        <v>68</v>
      </c>
      <c r="M310" s="55">
        <v>0.22</v>
      </c>
      <c r="N310" s="55">
        <v>0.63</v>
      </c>
      <c r="O310" s="54">
        <v>0</v>
      </c>
      <c r="P310" s="54">
        <v>0</v>
      </c>
    </row>
    <row r="311" spans="1:16" ht="15" customHeight="1" x14ac:dyDescent="0.3">
      <c r="A311" s="38" t="s">
        <v>698</v>
      </c>
      <c r="B311" s="39">
        <v>44553</v>
      </c>
      <c r="C311" s="38" t="s">
        <v>699</v>
      </c>
      <c r="D311" s="38" t="s">
        <v>65</v>
      </c>
      <c r="E311" s="40">
        <v>20440</v>
      </c>
      <c r="F311" s="41">
        <v>9.1999999999999998E-2</v>
      </c>
      <c r="G311" s="38">
        <v>36</v>
      </c>
      <c r="H311" s="38" t="s">
        <v>35</v>
      </c>
      <c r="I311" s="38" t="s">
        <v>60</v>
      </c>
      <c r="J311" s="38" t="s">
        <v>84</v>
      </c>
      <c r="K311" s="42">
        <v>144894</v>
      </c>
      <c r="L311" s="38" t="s">
        <v>68</v>
      </c>
      <c r="M311" s="43">
        <v>0.44</v>
      </c>
      <c r="N311" s="43">
        <v>0.55000000000000004</v>
      </c>
      <c r="O311" s="42">
        <v>22320.48</v>
      </c>
      <c r="P311" s="42">
        <v>0</v>
      </c>
    </row>
    <row r="312" spans="1:16" ht="15" customHeight="1" x14ac:dyDescent="0.3">
      <c r="A312" s="44" t="s">
        <v>700</v>
      </c>
      <c r="B312" s="45">
        <v>44554</v>
      </c>
      <c r="C312" s="44" t="s">
        <v>701</v>
      </c>
      <c r="D312" s="44" t="s">
        <v>65</v>
      </c>
      <c r="E312" s="46">
        <v>13201</v>
      </c>
      <c r="F312" s="47">
        <v>5.0999999999999997E-2</v>
      </c>
      <c r="G312" s="44">
        <v>36</v>
      </c>
      <c r="H312" s="44" t="s">
        <v>36</v>
      </c>
      <c r="I312" s="44" t="s">
        <v>83</v>
      </c>
      <c r="J312" s="44" t="s">
        <v>76</v>
      </c>
      <c r="K312" s="48">
        <v>64057</v>
      </c>
      <c r="L312" s="44" t="s">
        <v>62</v>
      </c>
      <c r="M312" s="49">
        <v>0.24</v>
      </c>
      <c r="N312" s="49">
        <v>0.7</v>
      </c>
      <c r="O312" s="48">
        <v>4962.1499999999996</v>
      </c>
      <c r="P312" s="48">
        <v>0</v>
      </c>
    </row>
    <row r="313" spans="1:16" ht="15" customHeight="1" x14ac:dyDescent="0.3">
      <c r="A313" s="38" t="s">
        <v>702</v>
      </c>
      <c r="B313" s="39">
        <v>44556</v>
      </c>
      <c r="C313" s="38" t="s">
        <v>703</v>
      </c>
      <c r="D313" s="38" t="s">
        <v>138</v>
      </c>
      <c r="E313" s="40">
        <v>14380</v>
      </c>
      <c r="F313" s="41">
        <v>0.127</v>
      </c>
      <c r="G313" s="38">
        <v>36</v>
      </c>
      <c r="H313" s="38" t="s">
        <v>35</v>
      </c>
      <c r="I313" s="38" t="s">
        <v>83</v>
      </c>
      <c r="J313" s="38" t="s">
        <v>72</v>
      </c>
      <c r="K313" s="42">
        <v>49800</v>
      </c>
      <c r="L313" s="38" t="s">
        <v>68</v>
      </c>
      <c r="M313" s="43">
        <v>0.11</v>
      </c>
      <c r="N313" s="43">
        <v>0.6</v>
      </c>
      <c r="O313" s="42">
        <v>16206.26</v>
      </c>
      <c r="P313" s="42">
        <v>0</v>
      </c>
    </row>
    <row r="314" spans="1:16" ht="15" customHeight="1" x14ac:dyDescent="0.3">
      <c r="A314" s="38" t="s">
        <v>704</v>
      </c>
      <c r="B314" s="39">
        <v>44559</v>
      </c>
      <c r="C314" s="38" t="s">
        <v>705</v>
      </c>
      <c r="D314" s="38" t="s">
        <v>65</v>
      </c>
      <c r="E314" s="40">
        <v>27342</v>
      </c>
      <c r="F314" s="41">
        <v>0.215</v>
      </c>
      <c r="G314" s="38">
        <v>36</v>
      </c>
      <c r="H314" s="38" t="s">
        <v>35</v>
      </c>
      <c r="I314" s="38" t="s">
        <v>83</v>
      </c>
      <c r="J314" s="38" t="s">
        <v>76</v>
      </c>
      <c r="K314" s="42">
        <v>106777</v>
      </c>
      <c r="L314" s="38" t="s">
        <v>68</v>
      </c>
      <c r="M314" s="43">
        <v>0.28999999999999998</v>
      </c>
      <c r="N314" s="43">
        <v>0.65</v>
      </c>
      <c r="O314" s="42">
        <v>33220.53</v>
      </c>
      <c r="P314" s="42">
        <v>0</v>
      </c>
    </row>
    <row r="315" spans="1:16" ht="15" customHeight="1" x14ac:dyDescent="0.3">
      <c r="A315" s="56" t="s">
        <v>706</v>
      </c>
      <c r="B315" s="57">
        <v>44559</v>
      </c>
      <c r="C315" s="56" t="s">
        <v>707</v>
      </c>
      <c r="D315" s="56" t="s">
        <v>88</v>
      </c>
      <c r="E315" s="58">
        <v>36631</v>
      </c>
      <c r="F315" s="59">
        <v>8.3000000000000004E-2</v>
      </c>
      <c r="G315" s="56">
        <v>36</v>
      </c>
      <c r="H315" s="56" t="s">
        <v>37</v>
      </c>
      <c r="I315" s="56" t="s">
        <v>80</v>
      </c>
      <c r="J315" s="56" t="s">
        <v>61</v>
      </c>
      <c r="K315" s="60">
        <v>86830</v>
      </c>
      <c r="L315" s="56" t="s">
        <v>85</v>
      </c>
      <c r="M315" s="61">
        <v>0.12</v>
      </c>
      <c r="N315" s="61">
        <v>0.82</v>
      </c>
      <c r="O315" s="60">
        <v>9301.3700000000008</v>
      </c>
      <c r="P315" s="60">
        <v>10217.73</v>
      </c>
    </row>
    <row r="316" spans="1:16" ht="15" customHeight="1" x14ac:dyDescent="0.3">
      <c r="A316" s="50" t="s">
        <v>708</v>
      </c>
      <c r="B316" s="51">
        <v>44561</v>
      </c>
      <c r="C316" s="50" t="s">
        <v>709</v>
      </c>
      <c r="D316" s="50" t="s">
        <v>75</v>
      </c>
      <c r="E316" s="52">
        <v>23443</v>
      </c>
      <c r="F316" s="53">
        <v>0.121</v>
      </c>
      <c r="G316" s="50">
        <v>36</v>
      </c>
      <c r="H316" s="50" t="s">
        <v>39</v>
      </c>
      <c r="I316" s="50" t="s">
        <v>71</v>
      </c>
      <c r="J316" s="50" t="s">
        <v>72</v>
      </c>
      <c r="K316" s="54">
        <v>121632</v>
      </c>
      <c r="L316" s="50" t="s">
        <v>62</v>
      </c>
      <c r="M316" s="55">
        <v>0.23</v>
      </c>
      <c r="N316" s="55">
        <v>0.68</v>
      </c>
      <c r="O316" s="54">
        <v>0</v>
      </c>
      <c r="P316" s="54">
        <v>0</v>
      </c>
    </row>
    <row r="317" spans="1:16" ht="15" customHeight="1" x14ac:dyDescent="0.3">
      <c r="A317" s="38" t="s">
        <v>710</v>
      </c>
      <c r="B317" s="39">
        <v>44566</v>
      </c>
      <c r="C317" s="38" t="s">
        <v>711</v>
      </c>
      <c r="D317" s="38" t="s">
        <v>59</v>
      </c>
      <c r="E317" s="40">
        <v>8813</v>
      </c>
      <c r="F317" s="41">
        <v>0.112</v>
      </c>
      <c r="G317" s="38">
        <v>60</v>
      </c>
      <c r="H317" s="38" t="s">
        <v>35</v>
      </c>
      <c r="I317" s="38" t="s">
        <v>83</v>
      </c>
      <c r="J317" s="38" t="s">
        <v>67</v>
      </c>
      <c r="K317" s="42">
        <v>76646</v>
      </c>
      <c r="L317" s="38" t="s">
        <v>62</v>
      </c>
      <c r="M317" s="43">
        <v>0.28000000000000003</v>
      </c>
      <c r="N317" s="43">
        <v>0.86</v>
      </c>
      <c r="O317" s="42">
        <v>9800.06</v>
      </c>
      <c r="P317" s="42">
        <v>0</v>
      </c>
    </row>
    <row r="318" spans="1:16" ht="15" customHeight="1" x14ac:dyDescent="0.3">
      <c r="A318" s="56" t="s">
        <v>712</v>
      </c>
      <c r="B318" s="57">
        <v>44567</v>
      </c>
      <c r="C318" s="56" t="s">
        <v>713</v>
      </c>
      <c r="D318" s="56" t="s">
        <v>88</v>
      </c>
      <c r="E318" s="58">
        <v>34328</v>
      </c>
      <c r="F318" s="59">
        <v>0.14499999999999999</v>
      </c>
      <c r="G318" s="56">
        <v>36</v>
      </c>
      <c r="H318" s="56" t="s">
        <v>37</v>
      </c>
      <c r="I318" s="56" t="s">
        <v>80</v>
      </c>
      <c r="J318" s="56" t="s">
        <v>61</v>
      </c>
      <c r="K318" s="60">
        <v>135299</v>
      </c>
      <c r="L318" s="56" t="s">
        <v>68</v>
      </c>
      <c r="M318" s="61">
        <v>0.46</v>
      </c>
      <c r="N318" s="61">
        <v>0.59</v>
      </c>
      <c r="O318" s="60">
        <v>7246.51</v>
      </c>
      <c r="P318" s="60">
        <v>14471.77</v>
      </c>
    </row>
    <row r="319" spans="1:16" ht="15" customHeight="1" x14ac:dyDescent="0.3">
      <c r="A319" s="38" t="s">
        <v>714</v>
      </c>
      <c r="B319" s="39">
        <v>44569</v>
      </c>
      <c r="C319" s="38" t="s">
        <v>715</v>
      </c>
      <c r="D319" s="38" t="s">
        <v>97</v>
      </c>
      <c r="E319" s="40">
        <v>22116</v>
      </c>
      <c r="F319" s="41">
        <v>0.23100000000000001</v>
      </c>
      <c r="G319" s="38">
        <v>60</v>
      </c>
      <c r="H319" s="38" t="s">
        <v>35</v>
      </c>
      <c r="I319" s="38" t="s">
        <v>66</v>
      </c>
      <c r="J319" s="38" t="s">
        <v>84</v>
      </c>
      <c r="K319" s="42">
        <v>52765</v>
      </c>
      <c r="L319" s="38" t="s">
        <v>85</v>
      </c>
      <c r="M319" s="43">
        <v>0.19</v>
      </c>
      <c r="N319" s="43">
        <v>0.53</v>
      </c>
      <c r="O319" s="42">
        <v>27224.799999999999</v>
      </c>
      <c r="P319" s="42">
        <v>0</v>
      </c>
    </row>
    <row r="320" spans="1:16" ht="15" customHeight="1" x14ac:dyDescent="0.3">
      <c r="A320" s="56" t="s">
        <v>716</v>
      </c>
      <c r="B320" s="57">
        <v>44570</v>
      </c>
      <c r="C320" s="56" t="s">
        <v>717</v>
      </c>
      <c r="D320" s="56" t="s">
        <v>88</v>
      </c>
      <c r="E320" s="58">
        <v>33419</v>
      </c>
      <c r="F320" s="59">
        <v>0.185</v>
      </c>
      <c r="G320" s="56">
        <v>36</v>
      </c>
      <c r="H320" s="56" t="s">
        <v>37</v>
      </c>
      <c r="I320" s="56" t="s">
        <v>83</v>
      </c>
      <c r="J320" s="56" t="s">
        <v>67</v>
      </c>
      <c r="K320" s="60">
        <v>68862</v>
      </c>
      <c r="L320" s="56" t="s">
        <v>62</v>
      </c>
      <c r="M320" s="61">
        <v>0.11</v>
      </c>
      <c r="N320" s="61">
        <v>0.53</v>
      </c>
      <c r="O320" s="60">
        <v>12922.67</v>
      </c>
      <c r="P320" s="60">
        <v>11291.82</v>
      </c>
    </row>
    <row r="321" spans="1:16" ht="15" customHeight="1" x14ac:dyDescent="0.3">
      <c r="A321" s="38" t="s">
        <v>718</v>
      </c>
      <c r="B321" s="39">
        <v>44572</v>
      </c>
      <c r="C321" s="38" t="s">
        <v>719</v>
      </c>
      <c r="D321" s="38" t="s">
        <v>138</v>
      </c>
      <c r="E321" s="40">
        <v>24711</v>
      </c>
      <c r="F321" s="41">
        <v>0.19</v>
      </c>
      <c r="G321" s="38">
        <v>36</v>
      </c>
      <c r="H321" s="38" t="s">
        <v>35</v>
      </c>
      <c r="I321" s="38" t="s">
        <v>83</v>
      </c>
      <c r="J321" s="38" t="s">
        <v>61</v>
      </c>
      <c r="K321" s="42">
        <v>53383</v>
      </c>
      <c r="L321" s="38" t="s">
        <v>85</v>
      </c>
      <c r="M321" s="43">
        <v>0.49</v>
      </c>
      <c r="N321" s="43">
        <v>0.93</v>
      </c>
      <c r="O321" s="42">
        <v>29406.09</v>
      </c>
      <c r="P321" s="42">
        <v>0</v>
      </c>
    </row>
    <row r="322" spans="1:16" ht="15" customHeight="1" x14ac:dyDescent="0.3">
      <c r="A322" s="38" t="s">
        <v>720</v>
      </c>
      <c r="B322" s="39">
        <v>44575</v>
      </c>
      <c r="C322" s="38" t="s">
        <v>721</v>
      </c>
      <c r="D322" s="38" t="s">
        <v>138</v>
      </c>
      <c r="E322" s="40">
        <v>3421</v>
      </c>
      <c r="F322" s="41">
        <v>0.114</v>
      </c>
      <c r="G322" s="38">
        <v>36</v>
      </c>
      <c r="H322" s="38" t="s">
        <v>35</v>
      </c>
      <c r="I322" s="38" t="s">
        <v>66</v>
      </c>
      <c r="J322" s="38" t="s">
        <v>61</v>
      </c>
      <c r="K322" s="42">
        <v>62172</v>
      </c>
      <c r="L322" s="38" t="s">
        <v>62</v>
      </c>
      <c r="M322" s="43">
        <v>0.19</v>
      </c>
      <c r="N322" s="43">
        <v>0.61</v>
      </c>
      <c r="O322" s="42">
        <v>3810.99</v>
      </c>
      <c r="P322" s="42">
        <v>0</v>
      </c>
    </row>
    <row r="323" spans="1:16" ht="15" customHeight="1" x14ac:dyDescent="0.3">
      <c r="A323" s="38" t="s">
        <v>722</v>
      </c>
      <c r="B323" s="39">
        <v>44576</v>
      </c>
      <c r="C323" s="38" t="s">
        <v>723</v>
      </c>
      <c r="D323" s="38" t="s">
        <v>113</v>
      </c>
      <c r="E323" s="40">
        <v>36772</v>
      </c>
      <c r="F323" s="41">
        <v>0.184</v>
      </c>
      <c r="G323" s="38">
        <v>36</v>
      </c>
      <c r="H323" s="38" t="s">
        <v>35</v>
      </c>
      <c r="I323" s="38" t="s">
        <v>71</v>
      </c>
      <c r="J323" s="38" t="s">
        <v>76</v>
      </c>
      <c r="K323" s="42">
        <v>47889</v>
      </c>
      <c r="L323" s="38" t="s">
        <v>62</v>
      </c>
      <c r="M323" s="43">
        <v>0.36</v>
      </c>
      <c r="N323" s="43">
        <v>0.59</v>
      </c>
      <c r="O323" s="42">
        <v>43538.05</v>
      </c>
      <c r="P323" s="42">
        <v>0</v>
      </c>
    </row>
    <row r="324" spans="1:16" ht="15" customHeight="1" x14ac:dyDescent="0.3">
      <c r="A324" s="44" t="s">
        <v>724</v>
      </c>
      <c r="B324" s="45">
        <v>44576</v>
      </c>
      <c r="C324" s="44" t="s">
        <v>725</v>
      </c>
      <c r="D324" s="44" t="s">
        <v>108</v>
      </c>
      <c r="E324" s="46">
        <v>39827</v>
      </c>
      <c r="F324" s="47">
        <v>6.7000000000000004E-2</v>
      </c>
      <c r="G324" s="44">
        <v>36</v>
      </c>
      <c r="H324" s="44" t="s">
        <v>36</v>
      </c>
      <c r="I324" s="44" t="s">
        <v>83</v>
      </c>
      <c r="J324" s="44" t="s">
        <v>72</v>
      </c>
      <c r="K324" s="48">
        <v>83027</v>
      </c>
      <c r="L324" s="44" t="s">
        <v>85</v>
      </c>
      <c r="M324" s="49">
        <v>0.42</v>
      </c>
      <c r="N324" s="49">
        <v>0.59</v>
      </c>
      <c r="O324" s="48">
        <v>3496.84</v>
      </c>
      <c r="P324" s="48">
        <v>0</v>
      </c>
    </row>
    <row r="325" spans="1:16" ht="15" customHeight="1" x14ac:dyDescent="0.3">
      <c r="A325" s="38" t="s">
        <v>726</v>
      </c>
      <c r="B325" s="39">
        <v>44581</v>
      </c>
      <c r="C325" s="38" t="s">
        <v>727</v>
      </c>
      <c r="D325" s="38" t="s">
        <v>75</v>
      </c>
      <c r="E325" s="40">
        <v>24499</v>
      </c>
      <c r="F325" s="41">
        <v>0.19400000000000001</v>
      </c>
      <c r="G325" s="38">
        <v>60</v>
      </c>
      <c r="H325" s="38" t="s">
        <v>35</v>
      </c>
      <c r="I325" s="38" t="s">
        <v>80</v>
      </c>
      <c r="J325" s="38" t="s">
        <v>67</v>
      </c>
      <c r="K325" s="42">
        <v>84353</v>
      </c>
      <c r="L325" s="38" t="s">
        <v>68</v>
      </c>
      <c r="M325" s="43">
        <v>0.2</v>
      </c>
      <c r="N325" s="43">
        <v>0.9</v>
      </c>
      <c r="O325" s="42">
        <v>29251.81</v>
      </c>
      <c r="P325" s="42">
        <v>0</v>
      </c>
    </row>
    <row r="326" spans="1:16" ht="15" customHeight="1" x14ac:dyDescent="0.3">
      <c r="A326" s="38" t="s">
        <v>728</v>
      </c>
      <c r="B326" s="39">
        <v>44581</v>
      </c>
      <c r="C326" s="38" t="s">
        <v>729</v>
      </c>
      <c r="D326" s="38" t="s">
        <v>79</v>
      </c>
      <c r="E326" s="40">
        <v>13984</v>
      </c>
      <c r="F326" s="41">
        <v>0.19500000000000001</v>
      </c>
      <c r="G326" s="38">
        <v>36</v>
      </c>
      <c r="H326" s="38" t="s">
        <v>35</v>
      </c>
      <c r="I326" s="38" t="s">
        <v>114</v>
      </c>
      <c r="J326" s="38" t="s">
        <v>84</v>
      </c>
      <c r="K326" s="42">
        <v>61455</v>
      </c>
      <c r="L326" s="38" t="s">
        <v>85</v>
      </c>
      <c r="M326" s="43">
        <v>0.4</v>
      </c>
      <c r="N326" s="43">
        <v>0.81</v>
      </c>
      <c r="O326" s="42">
        <v>16710.88</v>
      </c>
      <c r="P326" s="42">
        <v>0</v>
      </c>
    </row>
    <row r="327" spans="1:16" ht="15" customHeight="1" x14ac:dyDescent="0.3">
      <c r="A327" s="50" t="s">
        <v>730</v>
      </c>
      <c r="B327" s="51">
        <v>44582</v>
      </c>
      <c r="C327" s="50" t="s">
        <v>731</v>
      </c>
      <c r="D327" s="50" t="s">
        <v>125</v>
      </c>
      <c r="E327" s="52">
        <v>13686</v>
      </c>
      <c r="F327" s="53">
        <v>0.222</v>
      </c>
      <c r="G327" s="50">
        <v>60</v>
      </c>
      <c r="H327" s="50" t="s">
        <v>38</v>
      </c>
      <c r="I327" s="50" t="s">
        <v>60</v>
      </c>
      <c r="J327" s="50" t="s">
        <v>72</v>
      </c>
      <c r="K327" s="54">
        <v>53929</v>
      </c>
      <c r="L327" s="50" t="s">
        <v>85</v>
      </c>
      <c r="M327" s="55">
        <v>0.26</v>
      </c>
      <c r="N327" s="55">
        <v>0.94</v>
      </c>
      <c r="O327" s="54">
        <v>0</v>
      </c>
      <c r="P327" s="54">
        <v>0</v>
      </c>
    </row>
    <row r="328" spans="1:16" ht="15" customHeight="1" x14ac:dyDescent="0.3">
      <c r="A328" s="38" t="s">
        <v>732</v>
      </c>
      <c r="B328" s="39">
        <v>44582</v>
      </c>
      <c r="C328" s="38" t="s">
        <v>733</v>
      </c>
      <c r="D328" s="38" t="s">
        <v>79</v>
      </c>
      <c r="E328" s="40">
        <v>28529</v>
      </c>
      <c r="F328" s="41">
        <v>0.248</v>
      </c>
      <c r="G328" s="38">
        <v>60</v>
      </c>
      <c r="H328" s="38" t="s">
        <v>35</v>
      </c>
      <c r="I328" s="38" t="s">
        <v>83</v>
      </c>
      <c r="J328" s="38" t="s">
        <v>61</v>
      </c>
      <c r="K328" s="42">
        <v>64872</v>
      </c>
      <c r="L328" s="38" t="s">
        <v>68</v>
      </c>
      <c r="M328" s="43">
        <v>0.37</v>
      </c>
      <c r="N328" s="43">
        <v>0.57999999999999996</v>
      </c>
      <c r="O328" s="42">
        <v>35604.19</v>
      </c>
      <c r="P328" s="42">
        <v>0</v>
      </c>
    </row>
    <row r="329" spans="1:16" ht="15" customHeight="1" x14ac:dyDescent="0.3">
      <c r="A329" s="50" t="s">
        <v>734</v>
      </c>
      <c r="B329" s="51">
        <v>44583</v>
      </c>
      <c r="C329" s="50" t="s">
        <v>735</v>
      </c>
      <c r="D329" s="50" t="s">
        <v>97</v>
      </c>
      <c r="E329" s="52">
        <v>15025</v>
      </c>
      <c r="F329" s="53">
        <v>5.5E-2</v>
      </c>
      <c r="G329" s="50">
        <v>60</v>
      </c>
      <c r="H329" s="50" t="s">
        <v>39</v>
      </c>
      <c r="I329" s="50" t="s">
        <v>60</v>
      </c>
      <c r="J329" s="50" t="s">
        <v>72</v>
      </c>
      <c r="K329" s="54">
        <v>34131</v>
      </c>
      <c r="L329" s="50" t="s">
        <v>85</v>
      </c>
      <c r="M329" s="55">
        <v>0.23</v>
      </c>
      <c r="N329" s="55">
        <v>0.55000000000000004</v>
      </c>
      <c r="O329" s="54">
        <v>0</v>
      </c>
      <c r="P329" s="54">
        <v>0</v>
      </c>
    </row>
    <row r="330" spans="1:16" ht="15" customHeight="1" x14ac:dyDescent="0.3">
      <c r="A330" s="56" t="s">
        <v>736</v>
      </c>
      <c r="B330" s="57">
        <v>44584</v>
      </c>
      <c r="C330" s="56" t="s">
        <v>737</v>
      </c>
      <c r="D330" s="56" t="s">
        <v>97</v>
      </c>
      <c r="E330" s="58">
        <v>3711</v>
      </c>
      <c r="F330" s="59">
        <v>0.153</v>
      </c>
      <c r="G330" s="56">
        <v>60</v>
      </c>
      <c r="H330" s="56" t="s">
        <v>37</v>
      </c>
      <c r="I330" s="56" t="s">
        <v>80</v>
      </c>
      <c r="J330" s="56" t="s">
        <v>61</v>
      </c>
      <c r="K330" s="60">
        <v>36476</v>
      </c>
      <c r="L330" s="56" t="s">
        <v>62</v>
      </c>
      <c r="M330" s="61">
        <v>0.23</v>
      </c>
      <c r="N330" s="61">
        <v>0.81</v>
      </c>
      <c r="O330" s="60">
        <v>648.73</v>
      </c>
      <c r="P330" s="60">
        <v>938.22</v>
      </c>
    </row>
    <row r="331" spans="1:16" ht="15" customHeight="1" x14ac:dyDescent="0.3">
      <c r="A331" s="56" t="s">
        <v>738</v>
      </c>
      <c r="B331" s="57">
        <v>44585</v>
      </c>
      <c r="C331" s="56" t="s">
        <v>739</v>
      </c>
      <c r="D331" s="56" t="s">
        <v>113</v>
      </c>
      <c r="E331" s="58">
        <v>29404</v>
      </c>
      <c r="F331" s="59">
        <v>0.19800000000000001</v>
      </c>
      <c r="G331" s="56">
        <v>36</v>
      </c>
      <c r="H331" s="56" t="s">
        <v>37</v>
      </c>
      <c r="I331" s="56" t="s">
        <v>60</v>
      </c>
      <c r="J331" s="56" t="s">
        <v>67</v>
      </c>
      <c r="K331" s="60">
        <v>110059</v>
      </c>
      <c r="L331" s="56" t="s">
        <v>85</v>
      </c>
      <c r="M331" s="61">
        <v>0.37</v>
      </c>
      <c r="N331" s="61">
        <v>0.77</v>
      </c>
      <c r="O331" s="60">
        <v>5146.2</v>
      </c>
      <c r="P331" s="60">
        <v>7396.67</v>
      </c>
    </row>
    <row r="332" spans="1:16" ht="15" customHeight="1" x14ac:dyDescent="0.3">
      <c r="A332" s="56" t="s">
        <v>740</v>
      </c>
      <c r="B332" s="57">
        <v>44586</v>
      </c>
      <c r="C332" s="56" t="s">
        <v>741</v>
      </c>
      <c r="D332" s="56" t="s">
        <v>138</v>
      </c>
      <c r="E332" s="58">
        <v>33781</v>
      </c>
      <c r="F332" s="59">
        <v>9.4E-2</v>
      </c>
      <c r="G332" s="56">
        <v>60</v>
      </c>
      <c r="H332" s="56" t="s">
        <v>37</v>
      </c>
      <c r="I332" s="56" t="s">
        <v>83</v>
      </c>
      <c r="J332" s="56" t="s">
        <v>67</v>
      </c>
      <c r="K332" s="60">
        <v>122949</v>
      </c>
      <c r="L332" s="56" t="s">
        <v>68</v>
      </c>
      <c r="M332" s="61">
        <v>0.19</v>
      </c>
      <c r="N332" s="61">
        <v>0.74</v>
      </c>
      <c r="O332" s="60">
        <v>8770.67</v>
      </c>
      <c r="P332" s="60">
        <v>14712.11</v>
      </c>
    </row>
    <row r="333" spans="1:16" ht="15" customHeight="1" x14ac:dyDescent="0.3">
      <c r="A333" s="38" t="s">
        <v>742</v>
      </c>
      <c r="B333" s="39">
        <v>44587</v>
      </c>
      <c r="C333" s="38" t="s">
        <v>743</v>
      </c>
      <c r="D333" s="38" t="s">
        <v>108</v>
      </c>
      <c r="E333" s="40">
        <v>37378</v>
      </c>
      <c r="F333" s="41">
        <v>5.7000000000000002E-2</v>
      </c>
      <c r="G333" s="38">
        <v>36</v>
      </c>
      <c r="H333" s="38" t="s">
        <v>35</v>
      </c>
      <c r="I333" s="38" t="s">
        <v>83</v>
      </c>
      <c r="J333" s="38" t="s">
        <v>61</v>
      </c>
      <c r="K333" s="42">
        <v>57323</v>
      </c>
      <c r="L333" s="38" t="s">
        <v>85</v>
      </c>
      <c r="M333" s="43">
        <v>0.46</v>
      </c>
      <c r="N333" s="43">
        <v>0.51</v>
      </c>
      <c r="O333" s="42">
        <v>39508.550000000003</v>
      </c>
      <c r="P333" s="42">
        <v>0</v>
      </c>
    </row>
    <row r="334" spans="1:16" ht="15" customHeight="1" x14ac:dyDescent="0.3">
      <c r="A334" s="38" t="s">
        <v>744</v>
      </c>
      <c r="B334" s="39">
        <v>44588</v>
      </c>
      <c r="C334" s="38" t="s">
        <v>745</v>
      </c>
      <c r="D334" s="38" t="s">
        <v>65</v>
      </c>
      <c r="E334" s="40">
        <v>13254</v>
      </c>
      <c r="F334" s="41">
        <v>0.16200000000000001</v>
      </c>
      <c r="G334" s="38">
        <v>60</v>
      </c>
      <c r="H334" s="38" t="s">
        <v>35</v>
      </c>
      <c r="I334" s="38" t="s">
        <v>71</v>
      </c>
      <c r="J334" s="38" t="s">
        <v>84</v>
      </c>
      <c r="K334" s="42">
        <v>46633</v>
      </c>
      <c r="L334" s="38" t="s">
        <v>85</v>
      </c>
      <c r="M334" s="43">
        <v>0.32</v>
      </c>
      <c r="N334" s="43">
        <v>0.76</v>
      </c>
      <c r="O334" s="42">
        <v>15401.15</v>
      </c>
      <c r="P334" s="42">
        <v>0</v>
      </c>
    </row>
    <row r="335" spans="1:16" ht="15" customHeight="1" x14ac:dyDescent="0.3">
      <c r="A335" s="44" t="s">
        <v>746</v>
      </c>
      <c r="B335" s="45">
        <v>44589</v>
      </c>
      <c r="C335" s="44" t="s">
        <v>747</v>
      </c>
      <c r="D335" s="44" t="s">
        <v>79</v>
      </c>
      <c r="E335" s="46">
        <v>26510</v>
      </c>
      <c r="F335" s="47">
        <v>0.22600000000000001</v>
      </c>
      <c r="G335" s="44">
        <v>36</v>
      </c>
      <c r="H335" s="44" t="s">
        <v>36</v>
      </c>
      <c r="I335" s="44" t="s">
        <v>60</v>
      </c>
      <c r="J335" s="44" t="s">
        <v>61</v>
      </c>
      <c r="K335" s="48">
        <v>75913</v>
      </c>
      <c r="L335" s="44" t="s">
        <v>62</v>
      </c>
      <c r="M335" s="49">
        <v>0.3</v>
      </c>
      <c r="N335" s="49">
        <v>0.59</v>
      </c>
      <c r="O335" s="48">
        <v>11560.44</v>
      </c>
      <c r="P335" s="48">
        <v>0</v>
      </c>
    </row>
    <row r="336" spans="1:16" ht="15" customHeight="1" x14ac:dyDescent="0.3">
      <c r="A336" s="44" t="s">
        <v>748</v>
      </c>
      <c r="B336" s="45">
        <v>44592</v>
      </c>
      <c r="C336" s="44" t="s">
        <v>749</v>
      </c>
      <c r="D336" s="44" t="s">
        <v>65</v>
      </c>
      <c r="E336" s="46">
        <v>17052</v>
      </c>
      <c r="F336" s="47">
        <v>0.246</v>
      </c>
      <c r="G336" s="44">
        <v>36</v>
      </c>
      <c r="H336" s="44" t="s">
        <v>36</v>
      </c>
      <c r="I336" s="44" t="s">
        <v>83</v>
      </c>
      <c r="J336" s="44" t="s">
        <v>76</v>
      </c>
      <c r="K336" s="48">
        <v>124881</v>
      </c>
      <c r="L336" s="44" t="s">
        <v>68</v>
      </c>
      <c r="M336" s="49">
        <v>0.5</v>
      </c>
      <c r="N336" s="49">
        <v>0.54</v>
      </c>
      <c r="O336" s="48">
        <v>6524.2</v>
      </c>
      <c r="P336" s="48">
        <v>0</v>
      </c>
    </row>
    <row r="337" spans="1:16" ht="15" customHeight="1" x14ac:dyDescent="0.3">
      <c r="A337" s="38" t="s">
        <v>750</v>
      </c>
      <c r="B337" s="39">
        <v>44592</v>
      </c>
      <c r="C337" s="38" t="s">
        <v>751</v>
      </c>
      <c r="D337" s="38" t="s">
        <v>59</v>
      </c>
      <c r="E337" s="40">
        <v>17369</v>
      </c>
      <c r="F337" s="41">
        <v>0.13300000000000001</v>
      </c>
      <c r="G337" s="38">
        <v>36</v>
      </c>
      <c r="H337" s="38" t="s">
        <v>35</v>
      </c>
      <c r="I337" s="38" t="s">
        <v>66</v>
      </c>
      <c r="J337" s="38" t="s">
        <v>61</v>
      </c>
      <c r="K337" s="42">
        <v>99341</v>
      </c>
      <c r="L337" s="38" t="s">
        <v>62</v>
      </c>
      <c r="M337" s="43">
        <v>0.32</v>
      </c>
      <c r="N337" s="43">
        <v>0.74</v>
      </c>
      <c r="O337" s="42">
        <v>19679.080000000002</v>
      </c>
      <c r="P337" s="42">
        <v>0</v>
      </c>
    </row>
    <row r="338" spans="1:16" ht="15" customHeight="1" x14ac:dyDescent="0.3">
      <c r="A338" s="38" t="s">
        <v>752</v>
      </c>
      <c r="B338" s="39">
        <v>44592</v>
      </c>
      <c r="C338" s="38" t="s">
        <v>753</v>
      </c>
      <c r="D338" s="38" t="s">
        <v>113</v>
      </c>
      <c r="E338" s="40">
        <v>26291</v>
      </c>
      <c r="F338" s="41">
        <v>0.19</v>
      </c>
      <c r="G338" s="38">
        <v>36</v>
      </c>
      <c r="H338" s="38" t="s">
        <v>35</v>
      </c>
      <c r="I338" s="38" t="s">
        <v>80</v>
      </c>
      <c r="J338" s="38" t="s">
        <v>76</v>
      </c>
      <c r="K338" s="42">
        <v>121036</v>
      </c>
      <c r="L338" s="38" t="s">
        <v>62</v>
      </c>
      <c r="M338" s="43">
        <v>0.14000000000000001</v>
      </c>
      <c r="N338" s="43">
        <v>0.55000000000000004</v>
      </c>
      <c r="O338" s="42">
        <v>31286.29</v>
      </c>
      <c r="P338" s="42">
        <v>0</v>
      </c>
    </row>
    <row r="339" spans="1:16" ht="15" customHeight="1" x14ac:dyDescent="0.3">
      <c r="A339" s="56" t="s">
        <v>754</v>
      </c>
      <c r="B339" s="57">
        <v>44592</v>
      </c>
      <c r="C339" s="56" t="s">
        <v>755</v>
      </c>
      <c r="D339" s="56" t="s">
        <v>79</v>
      </c>
      <c r="E339" s="58">
        <v>5895</v>
      </c>
      <c r="F339" s="59">
        <v>7.5999999999999998E-2</v>
      </c>
      <c r="G339" s="56">
        <v>36</v>
      </c>
      <c r="H339" s="56" t="s">
        <v>37</v>
      </c>
      <c r="I339" s="56" t="s">
        <v>114</v>
      </c>
      <c r="J339" s="56" t="s">
        <v>76</v>
      </c>
      <c r="K339" s="60">
        <v>80248</v>
      </c>
      <c r="L339" s="56" t="s">
        <v>62</v>
      </c>
      <c r="M339" s="61">
        <v>0.42</v>
      </c>
      <c r="N339" s="61">
        <v>0.77</v>
      </c>
      <c r="O339" s="60">
        <v>1855.91</v>
      </c>
      <c r="P339" s="60">
        <v>1714.08</v>
      </c>
    </row>
    <row r="340" spans="1:16" ht="15" customHeight="1" x14ac:dyDescent="0.3">
      <c r="A340" s="44" t="s">
        <v>756</v>
      </c>
      <c r="B340" s="45">
        <v>44593</v>
      </c>
      <c r="C340" s="44" t="s">
        <v>757</v>
      </c>
      <c r="D340" s="44" t="s">
        <v>79</v>
      </c>
      <c r="E340" s="46">
        <v>12536</v>
      </c>
      <c r="F340" s="47">
        <v>8.7999999999999995E-2</v>
      </c>
      <c r="G340" s="44">
        <v>36</v>
      </c>
      <c r="H340" s="44" t="s">
        <v>36</v>
      </c>
      <c r="I340" s="44" t="s">
        <v>71</v>
      </c>
      <c r="J340" s="44" t="s">
        <v>61</v>
      </c>
      <c r="K340" s="48">
        <v>148570</v>
      </c>
      <c r="L340" s="44" t="s">
        <v>85</v>
      </c>
      <c r="M340" s="49">
        <v>0.21</v>
      </c>
      <c r="N340" s="49">
        <v>0.68</v>
      </c>
      <c r="O340" s="48">
        <v>4401.21</v>
      </c>
      <c r="P340" s="48">
        <v>0</v>
      </c>
    </row>
    <row r="341" spans="1:16" ht="15" customHeight="1" x14ac:dyDescent="0.3">
      <c r="A341" s="38" t="s">
        <v>758</v>
      </c>
      <c r="B341" s="39">
        <v>44593</v>
      </c>
      <c r="C341" s="38" t="s">
        <v>759</v>
      </c>
      <c r="D341" s="38" t="s">
        <v>138</v>
      </c>
      <c r="E341" s="40">
        <v>16525</v>
      </c>
      <c r="F341" s="41">
        <v>0.126</v>
      </c>
      <c r="G341" s="38">
        <v>36</v>
      </c>
      <c r="H341" s="38" t="s">
        <v>35</v>
      </c>
      <c r="I341" s="38" t="s">
        <v>60</v>
      </c>
      <c r="J341" s="38" t="s">
        <v>84</v>
      </c>
      <c r="K341" s="42">
        <v>86583</v>
      </c>
      <c r="L341" s="38" t="s">
        <v>62</v>
      </c>
      <c r="M341" s="43">
        <v>0.47</v>
      </c>
      <c r="N341" s="43">
        <v>0.73</v>
      </c>
      <c r="O341" s="42">
        <v>18607.150000000001</v>
      </c>
      <c r="P341" s="42">
        <v>0</v>
      </c>
    </row>
    <row r="342" spans="1:16" ht="15" customHeight="1" x14ac:dyDescent="0.3">
      <c r="A342" s="38" t="s">
        <v>760</v>
      </c>
      <c r="B342" s="39">
        <v>44594</v>
      </c>
      <c r="C342" s="38" t="s">
        <v>761</v>
      </c>
      <c r="D342" s="38" t="s">
        <v>59</v>
      </c>
      <c r="E342" s="40">
        <v>34226</v>
      </c>
      <c r="F342" s="41">
        <v>9.4E-2</v>
      </c>
      <c r="G342" s="38">
        <v>36</v>
      </c>
      <c r="H342" s="38" t="s">
        <v>35</v>
      </c>
      <c r="I342" s="38" t="s">
        <v>80</v>
      </c>
      <c r="J342" s="38" t="s">
        <v>76</v>
      </c>
      <c r="K342" s="42">
        <v>142417</v>
      </c>
      <c r="L342" s="38" t="s">
        <v>68</v>
      </c>
      <c r="M342" s="43">
        <v>0.28000000000000003</v>
      </c>
      <c r="N342" s="43">
        <v>0.68</v>
      </c>
      <c r="O342" s="42">
        <v>37443.24</v>
      </c>
      <c r="P342" s="42">
        <v>0</v>
      </c>
    </row>
    <row r="343" spans="1:16" ht="15" customHeight="1" x14ac:dyDescent="0.3">
      <c r="A343" s="44" t="s">
        <v>762</v>
      </c>
      <c r="B343" s="45">
        <v>44594</v>
      </c>
      <c r="C343" s="44" t="s">
        <v>763</v>
      </c>
      <c r="D343" s="44" t="s">
        <v>108</v>
      </c>
      <c r="E343" s="46">
        <v>35268</v>
      </c>
      <c r="F343" s="47">
        <v>0.16200000000000001</v>
      </c>
      <c r="G343" s="44">
        <v>36</v>
      </c>
      <c r="H343" s="44" t="s">
        <v>36</v>
      </c>
      <c r="I343" s="44" t="s">
        <v>60</v>
      </c>
      <c r="J343" s="44" t="s">
        <v>72</v>
      </c>
      <c r="K343" s="48">
        <v>106674</v>
      </c>
      <c r="L343" s="44" t="s">
        <v>85</v>
      </c>
      <c r="M343" s="49">
        <v>0.13</v>
      </c>
      <c r="N343" s="49">
        <v>0.62</v>
      </c>
      <c r="O343" s="48">
        <v>14139.59</v>
      </c>
      <c r="P343" s="48">
        <v>0</v>
      </c>
    </row>
    <row r="344" spans="1:16" ht="15" customHeight="1" x14ac:dyDescent="0.3">
      <c r="A344" s="38" t="s">
        <v>764</v>
      </c>
      <c r="B344" s="39">
        <v>44594</v>
      </c>
      <c r="C344" s="38" t="s">
        <v>765</v>
      </c>
      <c r="D344" s="38" t="s">
        <v>88</v>
      </c>
      <c r="E344" s="40">
        <v>19024</v>
      </c>
      <c r="F344" s="41">
        <v>0.13</v>
      </c>
      <c r="G344" s="38">
        <v>36</v>
      </c>
      <c r="H344" s="38" t="s">
        <v>35</v>
      </c>
      <c r="I344" s="38" t="s">
        <v>83</v>
      </c>
      <c r="J344" s="38" t="s">
        <v>84</v>
      </c>
      <c r="K344" s="42">
        <v>132476</v>
      </c>
      <c r="L344" s="38" t="s">
        <v>68</v>
      </c>
      <c r="M344" s="43">
        <v>0.3</v>
      </c>
      <c r="N344" s="43">
        <v>0.55000000000000004</v>
      </c>
      <c r="O344" s="42">
        <v>21497.119999999999</v>
      </c>
      <c r="P344" s="42">
        <v>0</v>
      </c>
    </row>
    <row r="345" spans="1:16" ht="15" customHeight="1" x14ac:dyDescent="0.3">
      <c r="A345" s="44" t="s">
        <v>766</v>
      </c>
      <c r="B345" s="45">
        <v>44596</v>
      </c>
      <c r="C345" s="44" t="s">
        <v>767</v>
      </c>
      <c r="D345" s="44" t="s">
        <v>79</v>
      </c>
      <c r="E345" s="46">
        <v>2007</v>
      </c>
      <c r="F345" s="47">
        <v>0.246</v>
      </c>
      <c r="G345" s="44">
        <v>36</v>
      </c>
      <c r="H345" s="44" t="s">
        <v>36</v>
      </c>
      <c r="I345" s="44" t="s">
        <v>83</v>
      </c>
      <c r="J345" s="44" t="s">
        <v>67</v>
      </c>
      <c r="K345" s="48">
        <v>63340</v>
      </c>
      <c r="L345" s="44" t="s">
        <v>85</v>
      </c>
      <c r="M345" s="49">
        <v>0.17</v>
      </c>
      <c r="N345" s="49">
        <v>0.89</v>
      </c>
      <c r="O345" s="48">
        <v>182.76</v>
      </c>
      <c r="P345" s="48">
        <v>0</v>
      </c>
    </row>
    <row r="346" spans="1:16" ht="15" customHeight="1" x14ac:dyDescent="0.3">
      <c r="A346" s="44" t="s">
        <v>768</v>
      </c>
      <c r="B346" s="45">
        <v>44597</v>
      </c>
      <c r="C346" s="44" t="s">
        <v>769</v>
      </c>
      <c r="D346" s="44" t="s">
        <v>138</v>
      </c>
      <c r="E346" s="46">
        <v>10200</v>
      </c>
      <c r="F346" s="47">
        <v>0.248</v>
      </c>
      <c r="G346" s="44">
        <v>36</v>
      </c>
      <c r="H346" s="44" t="s">
        <v>36</v>
      </c>
      <c r="I346" s="44" t="s">
        <v>60</v>
      </c>
      <c r="J346" s="44" t="s">
        <v>67</v>
      </c>
      <c r="K346" s="48">
        <v>31630</v>
      </c>
      <c r="L346" s="44" t="s">
        <v>85</v>
      </c>
      <c r="M346" s="49">
        <v>0.38</v>
      </c>
      <c r="N346" s="49">
        <v>0.81</v>
      </c>
      <c r="O346" s="48">
        <v>2118.66</v>
      </c>
      <c r="P346" s="48">
        <v>0</v>
      </c>
    </row>
    <row r="347" spans="1:16" ht="15" customHeight="1" x14ac:dyDescent="0.3">
      <c r="A347" s="38" t="s">
        <v>770</v>
      </c>
      <c r="B347" s="39">
        <v>44597</v>
      </c>
      <c r="C347" s="38" t="s">
        <v>771</v>
      </c>
      <c r="D347" s="38" t="s">
        <v>113</v>
      </c>
      <c r="E347" s="40">
        <v>33284</v>
      </c>
      <c r="F347" s="41">
        <v>0.14399999999999999</v>
      </c>
      <c r="G347" s="38">
        <v>60</v>
      </c>
      <c r="H347" s="38" t="s">
        <v>35</v>
      </c>
      <c r="I347" s="38" t="s">
        <v>83</v>
      </c>
      <c r="J347" s="38" t="s">
        <v>72</v>
      </c>
      <c r="K347" s="42">
        <v>127537</v>
      </c>
      <c r="L347" s="38" t="s">
        <v>68</v>
      </c>
      <c r="M347" s="43">
        <v>0.49</v>
      </c>
      <c r="N347" s="43">
        <v>0.57999999999999996</v>
      </c>
      <c r="O347" s="42">
        <v>38076.9</v>
      </c>
      <c r="P347" s="42">
        <v>0</v>
      </c>
    </row>
    <row r="348" spans="1:16" ht="15" customHeight="1" x14ac:dyDescent="0.3">
      <c r="A348" s="38" t="s">
        <v>772</v>
      </c>
      <c r="B348" s="39">
        <v>44597</v>
      </c>
      <c r="C348" s="38" t="s">
        <v>773</v>
      </c>
      <c r="D348" s="38" t="s">
        <v>59</v>
      </c>
      <c r="E348" s="40">
        <v>4430</v>
      </c>
      <c r="F348" s="41">
        <v>0.17</v>
      </c>
      <c r="G348" s="38">
        <v>60</v>
      </c>
      <c r="H348" s="38" t="s">
        <v>35</v>
      </c>
      <c r="I348" s="38" t="s">
        <v>83</v>
      </c>
      <c r="J348" s="38" t="s">
        <v>72</v>
      </c>
      <c r="K348" s="42">
        <v>83442</v>
      </c>
      <c r="L348" s="38" t="s">
        <v>62</v>
      </c>
      <c r="M348" s="43">
        <v>0.19</v>
      </c>
      <c r="N348" s="43">
        <v>0.65</v>
      </c>
      <c r="O348" s="42">
        <v>5183.1000000000004</v>
      </c>
      <c r="P348" s="42">
        <v>0</v>
      </c>
    </row>
    <row r="349" spans="1:16" ht="15" customHeight="1" x14ac:dyDescent="0.3">
      <c r="A349" s="44" t="s">
        <v>774</v>
      </c>
      <c r="B349" s="45">
        <v>44598</v>
      </c>
      <c r="C349" s="44" t="s">
        <v>775</v>
      </c>
      <c r="D349" s="44" t="s">
        <v>88</v>
      </c>
      <c r="E349" s="46">
        <v>18625</v>
      </c>
      <c r="F349" s="47">
        <v>7.2999999999999995E-2</v>
      </c>
      <c r="G349" s="44">
        <v>60</v>
      </c>
      <c r="H349" s="44" t="s">
        <v>36</v>
      </c>
      <c r="I349" s="44" t="s">
        <v>80</v>
      </c>
      <c r="J349" s="44" t="s">
        <v>67</v>
      </c>
      <c r="K349" s="48">
        <v>31051</v>
      </c>
      <c r="L349" s="44" t="s">
        <v>68</v>
      </c>
      <c r="M349" s="49">
        <v>0.23</v>
      </c>
      <c r="N349" s="49">
        <v>0.51</v>
      </c>
      <c r="O349" s="48">
        <v>2501.9899999999998</v>
      </c>
      <c r="P349" s="48">
        <v>0</v>
      </c>
    </row>
    <row r="350" spans="1:16" ht="15" customHeight="1" x14ac:dyDescent="0.3">
      <c r="A350" s="56" t="s">
        <v>776</v>
      </c>
      <c r="B350" s="57">
        <v>44598</v>
      </c>
      <c r="C350" s="56" t="s">
        <v>777</v>
      </c>
      <c r="D350" s="56" t="s">
        <v>65</v>
      </c>
      <c r="E350" s="58">
        <v>38904</v>
      </c>
      <c r="F350" s="59">
        <v>0.23400000000000001</v>
      </c>
      <c r="G350" s="56">
        <v>60</v>
      </c>
      <c r="H350" s="56" t="s">
        <v>37</v>
      </c>
      <c r="I350" s="56" t="s">
        <v>80</v>
      </c>
      <c r="J350" s="56" t="s">
        <v>84</v>
      </c>
      <c r="K350" s="60">
        <v>57197</v>
      </c>
      <c r="L350" s="56" t="s">
        <v>62</v>
      </c>
      <c r="M350" s="61">
        <v>0.14000000000000001</v>
      </c>
      <c r="N350" s="61">
        <v>0.84</v>
      </c>
      <c r="O350" s="60">
        <v>13773.37</v>
      </c>
      <c r="P350" s="60">
        <v>12116.05</v>
      </c>
    </row>
    <row r="351" spans="1:16" ht="15" customHeight="1" x14ac:dyDescent="0.3">
      <c r="A351" s="38" t="s">
        <v>778</v>
      </c>
      <c r="B351" s="39">
        <v>44599</v>
      </c>
      <c r="C351" s="38" t="s">
        <v>779</v>
      </c>
      <c r="D351" s="38" t="s">
        <v>138</v>
      </c>
      <c r="E351" s="40">
        <v>16152</v>
      </c>
      <c r="F351" s="41">
        <v>0.124</v>
      </c>
      <c r="G351" s="38">
        <v>36</v>
      </c>
      <c r="H351" s="38" t="s">
        <v>35</v>
      </c>
      <c r="I351" s="38" t="s">
        <v>83</v>
      </c>
      <c r="J351" s="38" t="s">
        <v>67</v>
      </c>
      <c r="K351" s="42">
        <v>57526</v>
      </c>
      <c r="L351" s="38" t="s">
        <v>68</v>
      </c>
      <c r="M351" s="43">
        <v>0.28999999999999998</v>
      </c>
      <c r="N351" s="43">
        <v>0.55000000000000004</v>
      </c>
      <c r="O351" s="42">
        <v>18154.849999999999</v>
      </c>
      <c r="P351" s="42">
        <v>0</v>
      </c>
    </row>
    <row r="352" spans="1:16" ht="15" customHeight="1" x14ac:dyDescent="0.3">
      <c r="A352" s="38" t="s">
        <v>780</v>
      </c>
      <c r="B352" s="39">
        <v>44600</v>
      </c>
      <c r="C352" s="38" t="s">
        <v>781</v>
      </c>
      <c r="D352" s="38" t="s">
        <v>113</v>
      </c>
      <c r="E352" s="40">
        <v>19297</v>
      </c>
      <c r="F352" s="41">
        <v>0.221</v>
      </c>
      <c r="G352" s="38">
        <v>60</v>
      </c>
      <c r="H352" s="38" t="s">
        <v>35</v>
      </c>
      <c r="I352" s="38" t="s">
        <v>83</v>
      </c>
      <c r="J352" s="38" t="s">
        <v>67</v>
      </c>
      <c r="K352" s="42">
        <v>111570</v>
      </c>
      <c r="L352" s="38" t="s">
        <v>68</v>
      </c>
      <c r="M352" s="43">
        <v>0.42</v>
      </c>
      <c r="N352" s="43">
        <v>0.62</v>
      </c>
      <c r="O352" s="42">
        <v>23561.64</v>
      </c>
      <c r="P352" s="42">
        <v>0</v>
      </c>
    </row>
    <row r="353" spans="1:16" ht="15" customHeight="1" x14ac:dyDescent="0.3">
      <c r="A353" s="44" t="s">
        <v>782</v>
      </c>
      <c r="B353" s="45">
        <v>44601</v>
      </c>
      <c r="C353" s="44" t="s">
        <v>783</v>
      </c>
      <c r="D353" s="44" t="s">
        <v>108</v>
      </c>
      <c r="E353" s="46">
        <v>24040</v>
      </c>
      <c r="F353" s="47">
        <v>0.24099999999999999</v>
      </c>
      <c r="G353" s="44">
        <v>60</v>
      </c>
      <c r="H353" s="44" t="s">
        <v>36</v>
      </c>
      <c r="I353" s="44" t="s">
        <v>71</v>
      </c>
      <c r="J353" s="44" t="s">
        <v>76</v>
      </c>
      <c r="K353" s="48">
        <v>79996</v>
      </c>
      <c r="L353" s="44" t="s">
        <v>62</v>
      </c>
      <c r="M353" s="49">
        <v>0.34</v>
      </c>
      <c r="N353" s="49">
        <v>0.51</v>
      </c>
      <c r="O353" s="48">
        <v>3719.68</v>
      </c>
      <c r="P353" s="48">
        <v>0</v>
      </c>
    </row>
    <row r="354" spans="1:16" ht="15" customHeight="1" x14ac:dyDescent="0.3">
      <c r="A354" s="38" t="s">
        <v>784</v>
      </c>
      <c r="B354" s="39">
        <v>44603</v>
      </c>
      <c r="C354" s="38" t="s">
        <v>785</v>
      </c>
      <c r="D354" s="38" t="s">
        <v>138</v>
      </c>
      <c r="E354" s="40">
        <v>29921</v>
      </c>
      <c r="F354" s="41">
        <v>0.13300000000000001</v>
      </c>
      <c r="G354" s="38">
        <v>60</v>
      </c>
      <c r="H354" s="38" t="s">
        <v>35</v>
      </c>
      <c r="I354" s="38" t="s">
        <v>60</v>
      </c>
      <c r="J354" s="38" t="s">
        <v>61</v>
      </c>
      <c r="K354" s="42">
        <v>130922</v>
      </c>
      <c r="L354" s="38" t="s">
        <v>62</v>
      </c>
      <c r="M354" s="43">
        <v>0.15</v>
      </c>
      <c r="N354" s="43">
        <v>0.73</v>
      </c>
      <c r="O354" s="42">
        <v>33900.49</v>
      </c>
      <c r="P354" s="42">
        <v>0</v>
      </c>
    </row>
    <row r="355" spans="1:16" ht="15" customHeight="1" x14ac:dyDescent="0.3">
      <c r="A355" s="38" t="s">
        <v>786</v>
      </c>
      <c r="B355" s="39">
        <v>44604</v>
      </c>
      <c r="C355" s="38" t="s">
        <v>787</v>
      </c>
      <c r="D355" s="38" t="s">
        <v>138</v>
      </c>
      <c r="E355" s="40">
        <v>31220</v>
      </c>
      <c r="F355" s="41">
        <v>9.2999999999999999E-2</v>
      </c>
      <c r="G355" s="38">
        <v>36</v>
      </c>
      <c r="H355" s="38" t="s">
        <v>35</v>
      </c>
      <c r="I355" s="38" t="s">
        <v>71</v>
      </c>
      <c r="J355" s="38" t="s">
        <v>67</v>
      </c>
      <c r="K355" s="42">
        <v>126393</v>
      </c>
      <c r="L355" s="38" t="s">
        <v>62</v>
      </c>
      <c r="M355" s="43">
        <v>0.41</v>
      </c>
      <c r="N355" s="43">
        <v>0.89</v>
      </c>
      <c r="O355" s="42">
        <v>34123.46</v>
      </c>
      <c r="P355" s="42">
        <v>0</v>
      </c>
    </row>
    <row r="356" spans="1:16" ht="15" customHeight="1" x14ac:dyDescent="0.3">
      <c r="A356" s="44" t="s">
        <v>788</v>
      </c>
      <c r="B356" s="45">
        <v>44609</v>
      </c>
      <c r="C356" s="44" t="s">
        <v>789</v>
      </c>
      <c r="D356" s="44" t="s">
        <v>113</v>
      </c>
      <c r="E356" s="46">
        <v>18773</v>
      </c>
      <c r="F356" s="47">
        <v>0.248</v>
      </c>
      <c r="G356" s="44">
        <v>60</v>
      </c>
      <c r="H356" s="44" t="s">
        <v>36</v>
      </c>
      <c r="I356" s="44" t="s">
        <v>80</v>
      </c>
      <c r="J356" s="44" t="s">
        <v>76</v>
      </c>
      <c r="K356" s="48">
        <v>114486</v>
      </c>
      <c r="L356" s="44" t="s">
        <v>62</v>
      </c>
      <c r="M356" s="49">
        <v>0.36</v>
      </c>
      <c r="N356" s="49">
        <v>0.63</v>
      </c>
      <c r="O356" s="48">
        <v>4751.47</v>
      </c>
      <c r="P356" s="48">
        <v>0</v>
      </c>
    </row>
    <row r="357" spans="1:16" ht="15" customHeight="1" x14ac:dyDescent="0.3">
      <c r="A357" s="56" t="s">
        <v>790</v>
      </c>
      <c r="B357" s="57">
        <v>44614</v>
      </c>
      <c r="C357" s="56" t="s">
        <v>791</v>
      </c>
      <c r="D357" s="56" t="s">
        <v>75</v>
      </c>
      <c r="E357" s="58">
        <v>7721</v>
      </c>
      <c r="F357" s="59">
        <v>0.16</v>
      </c>
      <c r="G357" s="56">
        <v>60</v>
      </c>
      <c r="H357" s="56" t="s">
        <v>37</v>
      </c>
      <c r="I357" s="56" t="s">
        <v>60</v>
      </c>
      <c r="J357" s="56" t="s">
        <v>61</v>
      </c>
      <c r="K357" s="60">
        <v>141576</v>
      </c>
      <c r="L357" s="56" t="s">
        <v>85</v>
      </c>
      <c r="M357" s="61">
        <v>0.28000000000000003</v>
      </c>
      <c r="N357" s="61">
        <v>0.52</v>
      </c>
      <c r="O357" s="60">
        <v>2883.3</v>
      </c>
      <c r="P357" s="60">
        <v>822.57</v>
      </c>
    </row>
    <row r="358" spans="1:16" ht="15" customHeight="1" x14ac:dyDescent="0.3">
      <c r="A358" s="38" t="s">
        <v>792</v>
      </c>
      <c r="B358" s="39">
        <v>44614</v>
      </c>
      <c r="C358" s="38" t="s">
        <v>793</v>
      </c>
      <c r="D358" s="38" t="s">
        <v>88</v>
      </c>
      <c r="E358" s="40">
        <v>37935</v>
      </c>
      <c r="F358" s="41">
        <v>5.0999999999999997E-2</v>
      </c>
      <c r="G358" s="38">
        <v>36</v>
      </c>
      <c r="H358" s="38" t="s">
        <v>35</v>
      </c>
      <c r="I358" s="38" t="s">
        <v>83</v>
      </c>
      <c r="J358" s="38" t="s">
        <v>67</v>
      </c>
      <c r="K358" s="42">
        <v>76223</v>
      </c>
      <c r="L358" s="38" t="s">
        <v>85</v>
      </c>
      <c r="M358" s="43">
        <v>0.31</v>
      </c>
      <c r="N358" s="43">
        <v>0.61</v>
      </c>
      <c r="O358" s="42">
        <v>39869.68</v>
      </c>
      <c r="P358" s="42">
        <v>0</v>
      </c>
    </row>
    <row r="359" spans="1:16" ht="15" customHeight="1" x14ac:dyDescent="0.3">
      <c r="A359" s="38" t="s">
        <v>794</v>
      </c>
      <c r="B359" s="39">
        <v>44615</v>
      </c>
      <c r="C359" s="38" t="s">
        <v>795</v>
      </c>
      <c r="D359" s="38" t="s">
        <v>138</v>
      </c>
      <c r="E359" s="40">
        <v>12344</v>
      </c>
      <c r="F359" s="41">
        <v>8.5999999999999993E-2</v>
      </c>
      <c r="G359" s="38">
        <v>60</v>
      </c>
      <c r="H359" s="38" t="s">
        <v>35</v>
      </c>
      <c r="I359" s="38" t="s">
        <v>60</v>
      </c>
      <c r="J359" s="38" t="s">
        <v>76</v>
      </c>
      <c r="K359" s="42">
        <v>64660</v>
      </c>
      <c r="L359" s="38" t="s">
        <v>85</v>
      </c>
      <c r="M359" s="43">
        <v>0.21</v>
      </c>
      <c r="N359" s="43">
        <v>0.76</v>
      </c>
      <c r="O359" s="42">
        <v>13405.58</v>
      </c>
      <c r="P359" s="42">
        <v>0</v>
      </c>
    </row>
    <row r="360" spans="1:16" ht="15" customHeight="1" x14ac:dyDescent="0.3">
      <c r="A360" s="38" t="s">
        <v>796</v>
      </c>
      <c r="B360" s="39">
        <v>44616</v>
      </c>
      <c r="C360" s="38" t="s">
        <v>797</v>
      </c>
      <c r="D360" s="38" t="s">
        <v>108</v>
      </c>
      <c r="E360" s="40">
        <v>5437</v>
      </c>
      <c r="F360" s="41">
        <v>0.106</v>
      </c>
      <c r="G360" s="38">
        <v>36</v>
      </c>
      <c r="H360" s="38" t="s">
        <v>35</v>
      </c>
      <c r="I360" s="38" t="s">
        <v>60</v>
      </c>
      <c r="J360" s="38" t="s">
        <v>67</v>
      </c>
      <c r="K360" s="42">
        <v>109534</v>
      </c>
      <c r="L360" s="38" t="s">
        <v>85</v>
      </c>
      <c r="M360" s="43">
        <v>0.45</v>
      </c>
      <c r="N360" s="43">
        <v>0.72</v>
      </c>
      <c r="O360" s="42">
        <v>6013.32</v>
      </c>
      <c r="P360" s="42">
        <v>0</v>
      </c>
    </row>
    <row r="361" spans="1:16" ht="15" customHeight="1" x14ac:dyDescent="0.3">
      <c r="A361" s="56" t="s">
        <v>798</v>
      </c>
      <c r="B361" s="57">
        <v>44616</v>
      </c>
      <c r="C361" s="56" t="s">
        <v>799</v>
      </c>
      <c r="D361" s="56" t="s">
        <v>65</v>
      </c>
      <c r="E361" s="58">
        <v>36196</v>
      </c>
      <c r="F361" s="59">
        <v>0.19400000000000001</v>
      </c>
      <c r="G361" s="56">
        <v>36</v>
      </c>
      <c r="H361" s="56" t="s">
        <v>37</v>
      </c>
      <c r="I361" s="56" t="s">
        <v>114</v>
      </c>
      <c r="J361" s="56" t="s">
        <v>67</v>
      </c>
      <c r="K361" s="60">
        <v>55954</v>
      </c>
      <c r="L361" s="56" t="s">
        <v>62</v>
      </c>
      <c r="M361" s="61">
        <v>0.37</v>
      </c>
      <c r="N361" s="61">
        <v>0.74</v>
      </c>
      <c r="O361" s="60">
        <v>4744.32</v>
      </c>
      <c r="P361" s="60">
        <v>13544.73</v>
      </c>
    </row>
    <row r="362" spans="1:16" ht="15" customHeight="1" x14ac:dyDescent="0.3">
      <c r="A362" s="38" t="s">
        <v>800</v>
      </c>
      <c r="B362" s="39">
        <v>44618</v>
      </c>
      <c r="C362" s="38" t="s">
        <v>801</v>
      </c>
      <c r="D362" s="38" t="s">
        <v>138</v>
      </c>
      <c r="E362" s="40">
        <v>26766</v>
      </c>
      <c r="F362" s="41">
        <v>7.9000000000000001E-2</v>
      </c>
      <c r="G362" s="38">
        <v>60</v>
      </c>
      <c r="H362" s="38" t="s">
        <v>35</v>
      </c>
      <c r="I362" s="38" t="s">
        <v>83</v>
      </c>
      <c r="J362" s="38" t="s">
        <v>61</v>
      </c>
      <c r="K362" s="42">
        <v>108116</v>
      </c>
      <c r="L362" s="38" t="s">
        <v>68</v>
      </c>
      <c r="M362" s="43">
        <v>0.36</v>
      </c>
      <c r="N362" s="43">
        <v>0.94</v>
      </c>
      <c r="O362" s="42">
        <v>28880.51</v>
      </c>
      <c r="P362" s="42">
        <v>0</v>
      </c>
    </row>
    <row r="363" spans="1:16" ht="15" customHeight="1" x14ac:dyDescent="0.3">
      <c r="A363" s="44" t="s">
        <v>802</v>
      </c>
      <c r="B363" s="45">
        <v>44621</v>
      </c>
      <c r="C363" s="44" t="s">
        <v>803</v>
      </c>
      <c r="D363" s="44" t="s">
        <v>108</v>
      </c>
      <c r="E363" s="46">
        <v>14076</v>
      </c>
      <c r="F363" s="47">
        <v>0.16</v>
      </c>
      <c r="G363" s="44">
        <v>60</v>
      </c>
      <c r="H363" s="44" t="s">
        <v>36</v>
      </c>
      <c r="I363" s="44" t="s">
        <v>80</v>
      </c>
      <c r="J363" s="44" t="s">
        <v>72</v>
      </c>
      <c r="K363" s="48">
        <v>61923</v>
      </c>
      <c r="L363" s="44" t="s">
        <v>85</v>
      </c>
      <c r="M363" s="49">
        <v>0.35</v>
      </c>
      <c r="N363" s="49">
        <v>0.86</v>
      </c>
      <c r="O363" s="48">
        <v>6883.48</v>
      </c>
      <c r="P363" s="48">
        <v>0</v>
      </c>
    </row>
    <row r="364" spans="1:16" ht="15" customHeight="1" x14ac:dyDescent="0.3">
      <c r="A364" s="44" t="s">
        <v>804</v>
      </c>
      <c r="B364" s="45">
        <v>44625</v>
      </c>
      <c r="C364" s="44" t="s">
        <v>805</v>
      </c>
      <c r="D364" s="44" t="s">
        <v>59</v>
      </c>
      <c r="E364" s="46">
        <v>13330</v>
      </c>
      <c r="F364" s="47">
        <v>0.23100000000000001</v>
      </c>
      <c r="G364" s="44">
        <v>60</v>
      </c>
      <c r="H364" s="44" t="s">
        <v>36</v>
      </c>
      <c r="I364" s="44" t="s">
        <v>71</v>
      </c>
      <c r="J364" s="44" t="s">
        <v>84</v>
      </c>
      <c r="K364" s="48">
        <v>43026</v>
      </c>
      <c r="L364" s="44" t="s">
        <v>62</v>
      </c>
      <c r="M364" s="49">
        <v>0.2</v>
      </c>
      <c r="N364" s="49">
        <v>0.51</v>
      </c>
      <c r="O364" s="48">
        <v>3589.27</v>
      </c>
      <c r="P364" s="48">
        <v>0</v>
      </c>
    </row>
    <row r="365" spans="1:16" ht="15" customHeight="1" x14ac:dyDescent="0.3">
      <c r="A365" s="56" t="s">
        <v>806</v>
      </c>
      <c r="B365" s="57">
        <v>44628</v>
      </c>
      <c r="C365" s="56" t="s">
        <v>807</v>
      </c>
      <c r="D365" s="56" t="s">
        <v>88</v>
      </c>
      <c r="E365" s="58">
        <v>12425</v>
      </c>
      <c r="F365" s="59">
        <v>6.9000000000000006E-2</v>
      </c>
      <c r="G365" s="56">
        <v>36</v>
      </c>
      <c r="H365" s="56" t="s">
        <v>37</v>
      </c>
      <c r="I365" s="56" t="s">
        <v>80</v>
      </c>
      <c r="J365" s="56" t="s">
        <v>61</v>
      </c>
      <c r="K365" s="60">
        <v>104102</v>
      </c>
      <c r="L365" s="56" t="s">
        <v>62</v>
      </c>
      <c r="M365" s="61">
        <v>0.28999999999999998</v>
      </c>
      <c r="N365" s="61">
        <v>0.68</v>
      </c>
      <c r="O365" s="60">
        <v>2185.23</v>
      </c>
      <c r="P365" s="60">
        <v>5996.91</v>
      </c>
    </row>
    <row r="366" spans="1:16" ht="15" customHeight="1" x14ac:dyDescent="0.3">
      <c r="A366" s="44" t="s">
        <v>808</v>
      </c>
      <c r="B366" s="45">
        <v>44631</v>
      </c>
      <c r="C366" s="44" t="s">
        <v>809</v>
      </c>
      <c r="D366" s="44" t="s">
        <v>113</v>
      </c>
      <c r="E366" s="46">
        <v>24857</v>
      </c>
      <c r="F366" s="47">
        <v>0.23200000000000001</v>
      </c>
      <c r="G366" s="44">
        <v>60</v>
      </c>
      <c r="H366" s="44" t="s">
        <v>36</v>
      </c>
      <c r="I366" s="44" t="s">
        <v>80</v>
      </c>
      <c r="J366" s="44" t="s">
        <v>61</v>
      </c>
      <c r="K366" s="48">
        <v>97231</v>
      </c>
      <c r="L366" s="44" t="s">
        <v>85</v>
      </c>
      <c r="M366" s="49">
        <v>0.17</v>
      </c>
      <c r="N366" s="49">
        <v>0.55000000000000004</v>
      </c>
      <c r="O366" s="48">
        <v>7569.96</v>
      </c>
      <c r="P366" s="48">
        <v>0</v>
      </c>
    </row>
    <row r="367" spans="1:16" ht="15" customHeight="1" x14ac:dyDescent="0.3">
      <c r="A367" s="44" t="s">
        <v>810</v>
      </c>
      <c r="B367" s="45">
        <v>44631</v>
      </c>
      <c r="C367" s="44" t="s">
        <v>811</v>
      </c>
      <c r="D367" s="44" t="s">
        <v>88</v>
      </c>
      <c r="E367" s="46">
        <v>23911</v>
      </c>
      <c r="F367" s="47">
        <v>0.13100000000000001</v>
      </c>
      <c r="G367" s="44">
        <v>60</v>
      </c>
      <c r="H367" s="44" t="s">
        <v>36</v>
      </c>
      <c r="I367" s="44" t="s">
        <v>71</v>
      </c>
      <c r="J367" s="44" t="s">
        <v>67</v>
      </c>
      <c r="K367" s="48">
        <v>119499</v>
      </c>
      <c r="L367" s="44" t="s">
        <v>85</v>
      </c>
      <c r="M367" s="49">
        <v>0.5</v>
      </c>
      <c r="N367" s="49">
        <v>0.82</v>
      </c>
      <c r="O367" s="48">
        <v>5871.91</v>
      </c>
      <c r="P367" s="48">
        <v>0</v>
      </c>
    </row>
    <row r="368" spans="1:16" ht="15" customHeight="1" x14ac:dyDescent="0.3">
      <c r="A368" s="44" t="s">
        <v>812</v>
      </c>
      <c r="B368" s="45">
        <v>44631</v>
      </c>
      <c r="C368" s="44" t="s">
        <v>813</v>
      </c>
      <c r="D368" s="44" t="s">
        <v>113</v>
      </c>
      <c r="E368" s="46">
        <v>9734</v>
      </c>
      <c r="F368" s="47">
        <v>0.218</v>
      </c>
      <c r="G368" s="44">
        <v>36</v>
      </c>
      <c r="H368" s="44" t="s">
        <v>36</v>
      </c>
      <c r="I368" s="44" t="s">
        <v>83</v>
      </c>
      <c r="J368" s="44" t="s">
        <v>67</v>
      </c>
      <c r="K368" s="48">
        <v>71430</v>
      </c>
      <c r="L368" s="44" t="s">
        <v>68</v>
      </c>
      <c r="M368" s="49">
        <v>0.39</v>
      </c>
      <c r="N368" s="49">
        <v>0.56999999999999995</v>
      </c>
      <c r="O368" s="48">
        <v>3613.86</v>
      </c>
      <c r="P368" s="48">
        <v>0</v>
      </c>
    </row>
    <row r="369" spans="1:16" ht="15" customHeight="1" x14ac:dyDescent="0.3">
      <c r="A369" s="38" t="s">
        <v>814</v>
      </c>
      <c r="B369" s="39">
        <v>44634</v>
      </c>
      <c r="C369" s="38" t="s">
        <v>815</v>
      </c>
      <c r="D369" s="38" t="s">
        <v>125</v>
      </c>
      <c r="E369" s="40">
        <v>1281</v>
      </c>
      <c r="F369" s="41">
        <v>0.15</v>
      </c>
      <c r="G369" s="38">
        <v>60</v>
      </c>
      <c r="H369" s="38" t="s">
        <v>35</v>
      </c>
      <c r="I369" s="38" t="s">
        <v>83</v>
      </c>
      <c r="J369" s="38" t="s">
        <v>67</v>
      </c>
      <c r="K369" s="42">
        <v>123036</v>
      </c>
      <c r="L369" s="38" t="s">
        <v>85</v>
      </c>
      <c r="M369" s="43">
        <v>0.28000000000000003</v>
      </c>
      <c r="N369" s="43">
        <v>0.67</v>
      </c>
      <c r="O369" s="42">
        <v>1473.15</v>
      </c>
      <c r="P369" s="42">
        <v>0</v>
      </c>
    </row>
    <row r="370" spans="1:16" ht="15" customHeight="1" x14ac:dyDescent="0.3">
      <c r="A370" s="44" t="s">
        <v>816</v>
      </c>
      <c r="B370" s="45">
        <v>44634</v>
      </c>
      <c r="C370" s="44" t="s">
        <v>817</v>
      </c>
      <c r="D370" s="44" t="s">
        <v>79</v>
      </c>
      <c r="E370" s="46">
        <v>22754</v>
      </c>
      <c r="F370" s="47">
        <v>0.104</v>
      </c>
      <c r="G370" s="44">
        <v>36</v>
      </c>
      <c r="H370" s="44" t="s">
        <v>36</v>
      </c>
      <c r="I370" s="44" t="s">
        <v>80</v>
      </c>
      <c r="J370" s="44" t="s">
        <v>61</v>
      </c>
      <c r="K370" s="48">
        <v>63724</v>
      </c>
      <c r="L370" s="44" t="s">
        <v>85</v>
      </c>
      <c r="M370" s="49">
        <v>0.14000000000000001</v>
      </c>
      <c r="N370" s="49">
        <v>0.67</v>
      </c>
      <c r="O370" s="48">
        <v>6475.12</v>
      </c>
      <c r="P370" s="48">
        <v>0</v>
      </c>
    </row>
    <row r="371" spans="1:16" ht="15" customHeight="1" x14ac:dyDescent="0.3">
      <c r="A371" s="38" t="s">
        <v>818</v>
      </c>
      <c r="B371" s="39">
        <v>44638</v>
      </c>
      <c r="C371" s="38" t="s">
        <v>819</v>
      </c>
      <c r="D371" s="38" t="s">
        <v>125</v>
      </c>
      <c r="E371" s="40">
        <v>10996</v>
      </c>
      <c r="F371" s="41">
        <v>0.05</v>
      </c>
      <c r="G371" s="38">
        <v>60</v>
      </c>
      <c r="H371" s="38" t="s">
        <v>35</v>
      </c>
      <c r="I371" s="38" t="s">
        <v>71</v>
      </c>
      <c r="J371" s="38" t="s">
        <v>72</v>
      </c>
      <c r="K371" s="42">
        <v>82953</v>
      </c>
      <c r="L371" s="38" t="s">
        <v>62</v>
      </c>
      <c r="M371" s="43">
        <v>0.23</v>
      </c>
      <c r="N371" s="43">
        <v>0.55000000000000004</v>
      </c>
      <c r="O371" s="42">
        <v>11545.8</v>
      </c>
      <c r="P371" s="42">
        <v>0</v>
      </c>
    </row>
    <row r="372" spans="1:16" ht="15" customHeight="1" x14ac:dyDescent="0.3">
      <c r="A372" s="56" t="s">
        <v>820</v>
      </c>
      <c r="B372" s="57">
        <v>44638</v>
      </c>
      <c r="C372" s="56" t="s">
        <v>821</v>
      </c>
      <c r="D372" s="56" t="s">
        <v>138</v>
      </c>
      <c r="E372" s="58">
        <v>20877</v>
      </c>
      <c r="F372" s="59">
        <v>0.24199999999999999</v>
      </c>
      <c r="G372" s="56">
        <v>36</v>
      </c>
      <c r="H372" s="56" t="s">
        <v>37</v>
      </c>
      <c r="I372" s="56" t="s">
        <v>66</v>
      </c>
      <c r="J372" s="56" t="s">
        <v>61</v>
      </c>
      <c r="K372" s="60">
        <v>73618</v>
      </c>
      <c r="L372" s="56" t="s">
        <v>68</v>
      </c>
      <c r="M372" s="61">
        <v>0.3</v>
      </c>
      <c r="N372" s="61">
        <v>0.8</v>
      </c>
      <c r="O372" s="60">
        <v>4859.07</v>
      </c>
      <c r="P372" s="60">
        <v>9308.75</v>
      </c>
    </row>
    <row r="373" spans="1:16" ht="15" customHeight="1" x14ac:dyDescent="0.3">
      <c r="A373" s="38" t="s">
        <v>822</v>
      </c>
      <c r="B373" s="39">
        <v>44638</v>
      </c>
      <c r="C373" s="38" t="s">
        <v>823</v>
      </c>
      <c r="D373" s="38" t="s">
        <v>108</v>
      </c>
      <c r="E373" s="40">
        <v>19639</v>
      </c>
      <c r="F373" s="41">
        <v>0.23400000000000001</v>
      </c>
      <c r="G373" s="38">
        <v>36</v>
      </c>
      <c r="H373" s="38" t="s">
        <v>35</v>
      </c>
      <c r="I373" s="38" t="s">
        <v>114</v>
      </c>
      <c r="J373" s="38" t="s">
        <v>72</v>
      </c>
      <c r="K373" s="42">
        <v>86541</v>
      </c>
      <c r="L373" s="38" t="s">
        <v>68</v>
      </c>
      <c r="M373" s="43">
        <v>0.37</v>
      </c>
      <c r="N373" s="43">
        <v>0.87</v>
      </c>
      <c r="O373" s="42">
        <v>24234.53</v>
      </c>
      <c r="P373" s="42">
        <v>0</v>
      </c>
    </row>
    <row r="374" spans="1:16" ht="15" customHeight="1" x14ac:dyDescent="0.3">
      <c r="A374" s="44" t="s">
        <v>824</v>
      </c>
      <c r="B374" s="45">
        <v>44639</v>
      </c>
      <c r="C374" s="44" t="s">
        <v>825</v>
      </c>
      <c r="D374" s="44" t="s">
        <v>138</v>
      </c>
      <c r="E374" s="46">
        <v>2382</v>
      </c>
      <c r="F374" s="47">
        <v>0.16400000000000001</v>
      </c>
      <c r="G374" s="44">
        <v>36</v>
      </c>
      <c r="H374" s="44" t="s">
        <v>36</v>
      </c>
      <c r="I374" s="44" t="s">
        <v>60</v>
      </c>
      <c r="J374" s="44" t="s">
        <v>67</v>
      </c>
      <c r="K374" s="48">
        <v>141461</v>
      </c>
      <c r="L374" s="44" t="s">
        <v>85</v>
      </c>
      <c r="M374" s="49">
        <v>0.23</v>
      </c>
      <c r="N374" s="49">
        <v>0.54</v>
      </c>
      <c r="O374" s="48">
        <v>791.85</v>
      </c>
      <c r="P374" s="48">
        <v>0</v>
      </c>
    </row>
    <row r="375" spans="1:16" ht="15" customHeight="1" x14ac:dyDescent="0.3">
      <c r="A375" s="38" t="s">
        <v>826</v>
      </c>
      <c r="B375" s="39">
        <v>44640</v>
      </c>
      <c r="C375" s="38" t="s">
        <v>827</v>
      </c>
      <c r="D375" s="38" t="s">
        <v>75</v>
      </c>
      <c r="E375" s="40">
        <v>15859</v>
      </c>
      <c r="F375" s="41">
        <v>0.161</v>
      </c>
      <c r="G375" s="38">
        <v>60</v>
      </c>
      <c r="H375" s="38" t="s">
        <v>35</v>
      </c>
      <c r="I375" s="38" t="s">
        <v>71</v>
      </c>
      <c r="J375" s="38" t="s">
        <v>76</v>
      </c>
      <c r="K375" s="42">
        <v>52164</v>
      </c>
      <c r="L375" s="38" t="s">
        <v>62</v>
      </c>
      <c r="M375" s="43">
        <v>0.35</v>
      </c>
      <c r="N375" s="43">
        <v>0.53</v>
      </c>
      <c r="O375" s="42">
        <v>18412.3</v>
      </c>
      <c r="P375" s="42">
        <v>0</v>
      </c>
    </row>
    <row r="376" spans="1:16" ht="15" customHeight="1" x14ac:dyDescent="0.3">
      <c r="A376" s="56" t="s">
        <v>828</v>
      </c>
      <c r="B376" s="57">
        <v>44641</v>
      </c>
      <c r="C376" s="56" t="s">
        <v>829</v>
      </c>
      <c r="D376" s="56" t="s">
        <v>59</v>
      </c>
      <c r="E376" s="58">
        <v>4041</v>
      </c>
      <c r="F376" s="59">
        <v>0.21</v>
      </c>
      <c r="G376" s="56">
        <v>60</v>
      </c>
      <c r="H376" s="56" t="s">
        <v>37</v>
      </c>
      <c r="I376" s="56" t="s">
        <v>66</v>
      </c>
      <c r="J376" s="56" t="s">
        <v>84</v>
      </c>
      <c r="K376" s="60">
        <v>61085</v>
      </c>
      <c r="L376" s="56" t="s">
        <v>68</v>
      </c>
      <c r="M376" s="61">
        <v>0.42</v>
      </c>
      <c r="N376" s="61">
        <v>0.82</v>
      </c>
      <c r="O376" s="60">
        <v>858.39</v>
      </c>
      <c r="P376" s="60">
        <v>1009</v>
      </c>
    </row>
    <row r="377" spans="1:16" ht="15" customHeight="1" x14ac:dyDescent="0.3">
      <c r="A377" s="44" t="s">
        <v>830</v>
      </c>
      <c r="B377" s="45">
        <v>44641</v>
      </c>
      <c r="C377" s="44" t="s">
        <v>831</v>
      </c>
      <c r="D377" s="44" t="s">
        <v>65</v>
      </c>
      <c r="E377" s="46">
        <v>21022</v>
      </c>
      <c r="F377" s="47">
        <v>0.107</v>
      </c>
      <c r="G377" s="44">
        <v>60</v>
      </c>
      <c r="H377" s="44" t="s">
        <v>36</v>
      </c>
      <c r="I377" s="44" t="s">
        <v>83</v>
      </c>
      <c r="J377" s="44" t="s">
        <v>76</v>
      </c>
      <c r="K377" s="48">
        <v>91799</v>
      </c>
      <c r="L377" s="44" t="s">
        <v>85</v>
      </c>
      <c r="M377" s="49">
        <v>0.14000000000000001</v>
      </c>
      <c r="N377" s="49">
        <v>0.82</v>
      </c>
      <c r="O377" s="48">
        <v>5630.06</v>
      </c>
      <c r="P377" s="48">
        <v>0</v>
      </c>
    </row>
    <row r="378" spans="1:16" ht="15" customHeight="1" x14ac:dyDescent="0.3">
      <c r="A378" s="38" t="s">
        <v>832</v>
      </c>
      <c r="B378" s="39">
        <v>44643</v>
      </c>
      <c r="C378" s="38" t="s">
        <v>833</v>
      </c>
      <c r="D378" s="38" t="s">
        <v>59</v>
      </c>
      <c r="E378" s="40">
        <v>39525</v>
      </c>
      <c r="F378" s="41">
        <v>6.6000000000000003E-2</v>
      </c>
      <c r="G378" s="38">
        <v>36</v>
      </c>
      <c r="H378" s="38" t="s">
        <v>35</v>
      </c>
      <c r="I378" s="38" t="s">
        <v>66</v>
      </c>
      <c r="J378" s="38" t="s">
        <v>72</v>
      </c>
      <c r="K378" s="42">
        <v>80818</v>
      </c>
      <c r="L378" s="38" t="s">
        <v>85</v>
      </c>
      <c r="M378" s="43">
        <v>0.12</v>
      </c>
      <c r="N378" s="43">
        <v>0.5</v>
      </c>
      <c r="O378" s="42">
        <v>42133.65</v>
      </c>
      <c r="P378" s="42">
        <v>0</v>
      </c>
    </row>
    <row r="379" spans="1:16" ht="15" customHeight="1" x14ac:dyDescent="0.3">
      <c r="A379" s="50" t="s">
        <v>834</v>
      </c>
      <c r="B379" s="51">
        <v>44645</v>
      </c>
      <c r="C379" s="50" t="s">
        <v>835</v>
      </c>
      <c r="D379" s="50" t="s">
        <v>108</v>
      </c>
      <c r="E379" s="52">
        <v>1619</v>
      </c>
      <c r="F379" s="53">
        <v>0.13100000000000001</v>
      </c>
      <c r="G379" s="50">
        <v>60</v>
      </c>
      <c r="H379" s="50" t="s">
        <v>38</v>
      </c>
      <c r="I379" s="50" t="s">
        <v>257</v>
      </c>
      <c r="J379" s="50" t="s">
        <v>72</v>
      </c>
      <c r="K379" s="54">
        <v>89174</v>
      </c>
      <c r="L379" s="50" t="s">
        <v>85</v>
      </c>
      <c r="M379" s="55">
        <v>0.47</v>
      </c>
      <c r="N379" s="55">
        <v>0.54</v>
      </c>
      <c r="O379" s="54">
        <v>0</v>
      </c>
      <c r="P379" s="54">
        <v>0</v>
      </c>
    </row>
    <row r="380" spans="1:16" ht="15" customHeight="1" x14ac:dyDescent="0.3">
      <c r="A380" s="44" t="s">
        <v>836</v>
      </c>
      <c r="B380" s="45">
        <v>44646</v>
      </c>
      <c r="C380" s="44" t="s">
        <v>837</v>
      </c>
      <c r="D380" s="44" t="s">
        <v>79</v>
      </c>
      <c r="E380" s="46">
        <v>4814</v>
      </c>
      <c r="F380" s="47">
        <v>0.21299999999999999</v>
      </c>
      <c r="G380" s="44">
        <v>60</v>
      </c>
      <c r="H380" s="44" t="s">
        <v>36</v>
      </c>
      <c r="I380" s="44" t="s">
        <v>66</v>
      </c>
      <c r="J380" s="44" t="s">
        <v>67</v>
      </c>
      <c r="K380" s="48">
        <v>58018</v>
      </c>
      <c r="L380" s="44" t="s">
        <v>62</v>
      </c>
      <c r="M380" s="49">
        <v>0.11</v>
      </c>
      <c r="N380" s="49">
        <v>0.89</v>
      </c>
      <c r="O380" s="48">
        <v>724.86</v>
      </c>
      <c r="P380" s="48">
        <v>0</v>
      </c>
    </row>
    <row r="381" spans="1:16" ht="15" customHeight="1" x14ac:dyDescent="0.3">
      <c r="A381" s="44" t="s">
        <v>838</v>
      </c>
      <c r="B381" s="45">
        <v>44648</v>
      </c>
      <c r="C381" s="44" t="s">
        <v>839</v>
      </c>
      <c r="D381" s="44" t="s">
        <v>108</v>
      </c>
      <c r="E381" s="46">
        <v>15818</v>
      </c>
      <c r="F381" s="47">
        <v>0.08</v>
      </c>
      <c r="G381" s="44">
        <v>36</v>
      </c>
      <c r="H381" s="44" t="s">
        <v>36</v>
      </c>
      <c r="I381" s="44" t="s">
        <v>83</v>
      </c>
      <c r="J381" s="44" t="s">
        <v>67</v>
      </c>
      <c r="K381" s="48">
        <v>35898</v>
      </c>
      <c r="L381" s="44" t="s">
        <v>85</v>
      </c>
      <c r="M381" s="49">
        <v>0.23</v>
      </c>
      <c r="N381" s="49">
        <v>0.56999999999999995</v>
      </c>
      <c r="O381" s="48">
        <v>2467.0100000000002</v>
      </c>
      <c r="P381" s="48">
        <v>0</v>
      </c>
    </row>
    <row r="382" spans="1:16" ht="15" customHeight="1" x14ac:dyDescent="0.3">
      <c r="A382" s="56" t="s">
        <v>840</v>
      </c>
      <c r="B382" s="57">
        <v>44649</v>
      </c>
      <c r="C382" s="56" t="s">
        <v>841</v>
      </c>
      <c r="D382" s="56" t="s">
        <v>138</v>
      </c>
      <c r="E382" s="58">
        <v>6626</v>
      </c>
      <c r="F382" s="59">
        <v>0.246</v>
      </c>
      <c r="G382" s="56">
        <v>36</v>
      </c>
      <c r="H382" s="56" t="s">
        <v>37</v>
      </c>
      <c r="I382" s="56" t="s">
        <v>257</v>
      </c>
      <c r="J382" s="56" t="s">
        <v>76</v>
      </c>
      <c r="K382" s="60">
        <v>74435</v>
      </c>
      <c r="L382" s="56" t="s">
        <v>62</v>
      </c>
      <c r="M382" s="61">
        <v>0.13</v>
      </c>
      <c r="N382" s="61">
        <v>0.67</v>
      </c>
      <c r="O382" s="60">
        <v>2618.92</v>
      </c>
      <c r="P382" s="60">
        <v>2120.33</v>
      </c>
    </row>
    <row r="383" spans="1:16" ht="15" customHeight="1" x14ac:dyDescent="0.3">
      <c r="A383" s="38" t="s">
        <v>842</v>
      </c>
      <c r="B383" s="39">
        <v>44649</v>
      </c>
      <c r="C383" s="38" t="s">
        <v>843</v>
      </c>
      <c r="D383" s="38" t="s">
        <v>59</v>
      </c>
      <c r="E383" s="40">
        <v>22452</v>
      </c>
      <c r="F383" s="41">
        <v>0.113</v>
      </c>
      <c r="G383" s="38">
        <v>60</v>
      </c>
      <c r="H383" s="38" t="s">
        <v>35</v>
      </c>
      <c r="I383" s="38" t="s">
        <v>114</v>
      </c>
      <c r="J383" s="38" t="s">
        <v>76</v>
      </c>
      <c r="K383" s="42">
        <v>67228</v>
      </c>
      <c r="L383" s="38" t="s">
        <v>68</v>
      </c>
      <c r="M383" s="43">
        <v>0.36</v>
      </c>
      <c r="N383" s="43">
        <v>0.9</v>
      </c>
      <c r="O383" s="42">
        <v>24989.08</v>
      </c>
      <c r="P383" s="42">
        <v>0</v>
      </c>
    </row>
    <row r="384" spans="1:16" ht="15" customHeight="1" x14ac:dyDescent="0.3">
      <c r="A384" s="44" t="s">
        <v>844</v>
      </c>
      <c r="B384" s="45">
        <v>44649</v>
      </c>
      <c r="C384" s="44" t="s">
        <v>845</v>
      </c>
      <c r="D384" s="44" t="s">
        <v>125</v>
      </c>
      <c r="E384" s="46">
        <v>15199</v>
      </c>
      <c r="F384" s="47">
        <v>0.16700000000000001</v>
      </c>
      <c r="G384" s="44">
        <v>60</v>
      </c>
      <c r="H384" s="44" t="s">
        <v>36</v>
      </c>
      <c r="I384" s="44" t="s">
        <v>83</v>
      </c>
      <c r="J384" s="44" t="s">
        <v>76</v>
      </c>
      <c r="K384" s="48">
        <v>135022</v>
      </c>
      <c r="L384" s="44" t="s">
        <v>68</v>
      </c>
      <c r="M384" s="49">
        <v>0.23</v>
      </c>
      <c r="N384" s="49">
        <v>0.84</v>
      </c>
      <c r="O384" s="48">
        <v>3413</v>
      </c>
      <c r="P384" s="48">
        <v>0</v>
      </c>
    </row>
    <row r="385" spans="1:16" ht="15" customHeight="1" x14ac:dyDescent="0.3">
      <c r="A385" s="38" t="s">
        <v>846</v>
      </c>
      <c r="B385" s="39">
        <v>44651</v>
      </c>
      <c r="C385" s="38" t="s">
        <v>847</v>
      </c>
      <c r="D385" s="38" t="s">
        <v>97</v>
      </c>
      <c r="E385" s="40">
        <v>26003</v>
      </c>
      <c r="F385" s="41">
        <v>0.13400000000000001</v>
      </c>
      <c r="G385" s="38">
        <v>36</v>
      </c>
      <c r="H385" s="38" t="s">
        <v>35</v>
      </c>
      <c r="I385" s="38" t="s">
        <v>66</v>
      </c>
      <c r="J385" s="38" t="s">
        <v>72</v>
      </c>
      <c r="K385" s="42">
        <v>35750</v>
      </c>
      <c r="L385" s="38" t="s">
        <v>68</v>
      </c>
      <c r="M385" s="43">
        <v>0.24</v>
      </c>
      <c r="N385" s="43">
        <v>0.63</v>
      </c>
      <c r="O385" s="42">
        <v>29487.4</v>
      </c>
      <c r="P385" s="42">
        <v>0</v>
      </c>
    </row>
    <row r="386" spans="1:16" ht="15" customHeight="1" x14ac:dyDescent="0.3">
      <c r="A386" s="44" t="s">
        <v>848</v>
      </c>
      <c r="B386" s="45">
        <v>44652</v>
      </c>
      <c r="C386" s="44" t="s">
        <v>849</v>
      </c>
      <c r="D386" s="44" t="s">
        <v>125</v>
      </c>
      <c r="E386" s="46">
        <v>1661</v>
      </c>
      <c r="F386" s="47">
        <v>5.7000000000000002E-2</v>
      </c>
      <c r="G386" s="44">
        <v>36</v>
      </c>
      <c r="H386" s="44" t="s">
        <v>36</v>
      </c>
      <c r="I386" s="44" t="s">
        <v>71</v>
      </c>
      <c r="J386" s="44" t="s">
        <v>84</v>
      </c>
      <c r="K386" s="48">
        <v>45408</v>
      </c>
      <c r="L386" s="44" t="s">
        <v>85</v>
      </c>
      <c r="M386" s="49">
        <v>0.45</v>
      </c>
      <c r="N386" s="49">
        <v>0.92</v>
      </c>
      <c r="O386" s="48">
        <v>117.05</v>
      </c>
      <c r="P386" s="48">
        <v>0</v>
      </c>
    </row>
    <row r="387" spans="1:16" ht="15" customHeight="1" x14ac:dyDescent="0.3">
      <c r="A387" s="44" t="s">
        <v>850</v>
      </c>
      <c r="B387" s="45">
        <v>44652</v>
      </c>
      <c r="C387" s="44" t="s">
        <v>851</v>
      </c>
      <c r="D387" s="44" t="s">
        <v>113</v>
      </c>
      <c r="E387" s="46">
        <v>29145</v>
      </c>
      <c r="F387" s="47">
        <v>6.9000000000000006E-2</v>
      </c>
      <c r="G387" s="44">
        <v>36</v>
      </c>
      <c r="H387" s="44" t="s">
        <v>36</v>
      </c>
      <c r="I387" s="44" t="s">
        <v>257</v>
      </c>
      <c r="J387" s="44" t="s">
        <v>76</v>
      </c>
      <c r="K387" s="48">
        <v>38026</v>
      </c>
      <c r="L387" s="44" t="s">
        <v>85</v>
      </c>
      <c r="M387" s="49">
        <v>0.28999999999999998</v>
      </c>
      <c r="N387" s="49">
        <v>0.69</v>
      </c>
      <c r="O387" s="48">
        <v>4504.3900000000003</v>
      </c>
      <c r="P387" s="48">
        <v>0</v>
      </c>
    </row>
    <row r="388" spans="1:16" ht="15" customHeight="1" x14ac:dyDescent="0.3">
      <c r="A388" s="44" t="s">
        <v>852</v>
      </c>
      <c r="B388" s="45">
        <v>44653</v>
      </c>
      <c r="C388" s="44" t="s">
        <v>853</v>
      </c>
      <c r="D388" s="44" t="s">
        <v>79</v>
      </c>
      <c r="E388" s="46">
        <v>27155</v>
      </c>
      <c r="F388" s="47">
        <v>0.183</v>
      </c>
      <c r="G388" s="44">
        <v>36</v>
      </c>
      <c r="H388" s="44" t="s">
        <v>36</v>
      </c>
      <c r="I388" s="44" t="s">
        <v>80</v>
      </c>
      <c r="J388" s="44" t="s">
        <v>61</v>
      </c>
      <c r="K388" s="48">
        <v>128530</v>
      </c>
      <c r="L388" s="44" t="s">
        <v>62</v>
      </c>
      <c r="M388" s="49">
        <v>0.31</v>
      </c>
      <c r="N388" s="49">
        <v>0.56000000000000005</v>
      </c>
      <c r="O388" s="48">
        <v>9838.16</v>
      </c>
      <c r="P388" s="48">
        <v>0</v>
      </c>
    </row>
    <row r="389" spans="1:16" ht="15" customHeight="1" x14ac:dyDescent="0.3">
      <c r="A389" s="44" t="s">
        <v>854</v>
      </c>
      <c r="B389" s="45">
        <v>44653</v>
      </c>
      <c r="C389" s="44" t="s">
        <v>855</v>
      </c>
      <c r="D389" s="44" t="s">
        <v>75</v>
      </c>
      <c r="E389" s="46">
        <v>31087</v>
      </c>
      <c r="F389" s="47">
        <v>9.2999999999999999E-2</v>
      </c>
      <c r="G389" s="44">
        <v>36</v>
      </c>
      <c r="H389" s="44" t="s">
        <v>36</v>
      </c>
      <c r="I389" s="44" t="s">
        <v>71</v>
      </c>
      <c r="J389" s="44" t="s">
        <v>61</v>
      </c>
      <c r="K389" s="48">
        <v>84199</v>
      </c>
      <c r="L389" s="44" t="s">
        <v>85</v>
      </c>
      <c r="M389" s="49">
        <v>0.46</v>
      </c>
      <c r="N389" s="49">
        <v>0.89</v>
      </c>
      <c r="O389" s="48">
        <v>7602.33</v>
      </c>
      <c r="P389" s="48">
        <v>0</v>
      </c>
    </row>
    <row r="390" spans="1:16" ht="15" customHeight="1" x14ac:dyDescent="0.3">
      <c r="A390" s="56" t="s">
        <v>856</v>
      </c>
      <c r="B390" s="57">
        <v>44656</v>
      </c>
      <c r="C390" s="56" t="s">
        <v>857</v>
      </c>
      <c r="D390" s="56" t="s">
        <v>113</v>
      </c>
      <c r="E390" s="58">
        <v>26931</v>
      </c>
      <c r="F390" s="59">
        <v>5.7000000000000002E-2</v>
      </c>
      <c r="G390" s="56">
        <v>36</v>
      </c>
      <c r="H390" s="56" t="s">
        <v>37</v>
      </c>
      <c r="I390" s="56" t="s">
        <v>71</v>
      </c>
      <c r="J390" s="56" t="s">
        <v>76</v>
      </c>
      <c r="K390" s="60">
        <v>116908</v>
      </c>
      <c r="L390" s="56" t="s">
        <v>68</v>
      </c>
      <c r="M390" s="61">
        <v>0.35</v>
      </c>
      <c r="N390" s="61">
        <v>0.61</v>
      </c>
      <c r="O390" s="60">
        <v>8489.4699999999993</v>
      </c>
      <c r="P390" s="60">
        <v>8648.65</v>
      </c>
    </row>
    <row r="391" spans="1:16" ht="15" customHeight="1" x14ac:dyDescent="0.3">
      <c r="A391" s="44" t="s">
        <v>858</v>
      </c>
      <c r="B391" s="45">
        <v>44656</v>
      </c>
      <c r="C391" s="44" t="s">
        <v>859</v>
      </c>
      <c r="D391" s="44" t="s">
        <v>65</v>
      </c>
      <c r="E391" s="46">
        <v>36796</v>
      </c>
      <c r="F391" s="47">
        <v>5.8000000000000003E-2</v>
      </c>
      <c r="G391" s="44">
        <v>60</v>
      </c>
      <c r="H391" s="44" t="s">
        <v>36</v>
      </c>
      <c r="I391" s="44" t="s">
        <v>60</v>
      </c>
      <c r="J391" s="44" t="s">
        <v>76</v>
      </c>
      <c r="K391" s="48">
        <v>73442</v>
      </c>
      <c r="L391" s="44" t="s">
        <v>85</v>
      </c>
      <c r="M391" s="49">
        <v>0.34</v>
      </c>
      <c r="N391" s="49">
        <v>0.62</v>
      </c>
      <c r="O391" s="48">
        <v>13503.79</v>
      </c>
      <c r="P391" s="48">
        <v>0</v>
      </c>
    </row>
    <row r="392" spans="1:16" ht="15" customHeight="1" x14ac:dyDescent="0.3">
      <c r="A392" s="56" t="s">
        <v>860</v>
      </c>
      <c r="B392" s="57">
        <v>44657</v>
      </c>
      <c r="C392" s="56" t="s">
        <v>861</v>
      </c>
      <c r="D392" s="56" t="s">
        <v>75</v>
      </c>
      <c r="E392" s="58">
        <v>5648</v>
      </c>
      <c r="F392" s="59">
        <v>0.217</v>
      </c>
      <c r="G392" s="56">
        <v>60</v>
      </c>
      <c r="H392" s="56" t="s">
        <v>37</v>
      </c>
      <c r="I392" s="56" t="s">
        <v>71</v>
      </c>
      <c r="J392" s="56" t="s">
        <v>76</v>
      </c>
      <c r="K392" s="60">
        <v>133224</v>
      </c>
      <c r="L392" s="56" t="s">
        <v>85</v>
      </c>
      <c r="M392" s="61">
        <v>0.28000000000000003</v>
      </c>
      <c r="N392" s="61">
        <v>0.76</v>
      </c>
      <c r="O392" s="60">
        <v>2180.3000000000002</v>
      </c>
      <c r="P392" s="60">
        <v>1908.91</v>
      </c>
    </row>
    <row r="393" spans="1:16" ht="15" customHeight="1" x14ac:dyDescent="0.3">
      <c r="A393" s="38" t="s">
        <v>862</v>
      </c>
      <c r="B393" s="39">
        <v>44660</v>
      </c>
      <c r="C393" s="38" t="s">
        <v>863</v>
      </c>
      <c r="D393" s="38" t="s">
        <v>108</v>
      </c>
      <c r="E393" s="40">
        <v>26280</v>
      </c>
      <c r="F393" s="41">
        <v>0.125</v>
      </c>
      <c r="G393" s="38">
        <v>60</v>
      </c>
      <c r="H393" s="38" t="s">
        <v>35</v>
      </c>
      <c r="I393" s="38" t="s">
        <v>80</v>
      </c>
      <c r="J393" s="38" t="s">
        <v>76</v>
      </c>
      <c r="K393" s="42">
        <v>95133</v>
      </c>
      <c r="L393" s="38" t="s">
        <v>85</v>
      </c>
      <c r="M393" s="43">
        <v>0.37</v>
      </c>
      <c r="N393" s="43">
        <v>0.92</v>
      </c>
      <c r="O393" s="42">
        <v>29565</v>
      </c>
      <c r="P393" s="42">
        <v>0</v>
      </c>
    </row>
    <row r="394" spans="1:16" ht="15" customHeight="1" x14ac:dyDescent="0.3">
      <c r="A394" s="38" t="s">
        <v>864</v>
      </c>
      <c r="B394" s="39">
        <v>44663</v>
      </c>
      <c r="C394" s="38" t="s">
        <v>865</v>
      </c>
      <c r="D394" s="38" t="s">
        <v>88</v>
      </c>
      <c r="E394" s="40">
        <v>2622</v>
      </c>
      <c r="F394" s="41">
        <v>0.14899999999999999</v>
      </c>
      <c r="G394" s="38">
        <v>60</v>
      </c>
      <c r="H394" s="38" t="s">
        <v>35</v>
      </c>
      <c r="I394" s="38" t="s">
        <v>114</v>
      </c>
      <c r="J394" s="38" t="s">
        <v>67</v>
      </c>
      <c r="K394" s="42">
        <v>133361</v>
      </c>
      <c r="L394" s="38" t="s">
        <v>62</v>
      </c>
      <c r="M394" s="43">
        <v>0.17</v>
      </c>
      <c r="N394" s="43">
        <v>0.87</v>
      </c>
      <c r="O394" s="42">
        <v>3012.68</v>
      </c>
      <c r="P394" s="42">
        <v>0</v>
      </c>
    </row>
    <row r="395" spans="1:16" ht="15" customHeight="1" x14ac:dyDescent="0.3">
      <c r="A395" s="38" t="s">
        <v>866</v>
      </c>
      <c r="B395" s="39">
        <v>44664</v>
      </c>
      <c r="C395" s="38" t="s">
        <v>867</v>
      </c>
      <c r="D395" s="38" t="s">
        <v>75</v>
      </c>
      <c r="E395" s="40">
        <v>9636</v>
      </c>
      <c r="F395" s="41">
        <v>0.14099999999999999</v>
      </c>
      <c r="G395" s="38">
        <v>60</v>
      </c>
      <c r="H395" s="38" t="s">
        <v>35</v>
      </c>
      <c r="I395" s="38" t="s">
        <v>60</v>
      </c>
      <c r="J395" s="38" t="s">
        <v>61</v>
      </c>
      <c r="K395" s="42">
        <v>93627</v>
      </c>
      <c r="L395" s="38" t="s">
        <v>68</v>
      </c>
      <c r="M395" s="43">
        <v>0.24</v>
      </c>
      <c r="N395" s="43">
        <v>0.79</v>
      </c>
      <c r="O395" s="42">
        <v>10994.68</v>
      </c>
      <c r="P395" s="42">
        <v>0</v>
      </c>
    </row>
    <row r="396" spans="1:16" ht="15" customHeight="1" x14ac:dyDescent="0.3">
      <c r="A396" s="44" t="s">
        <v>868</v>
      </c>
      <c r="B396" s="45">
        <v>44665</v>
      </c>
      <c r="C396" s="44" t="s">
        <v>869</v>
      </c>
      <c r="D396" s="44" t="s">
        <v>88</v>
      </c>
      <c r="E396" s="46">
        <v>27715</v>
      </c>
      <c r="F396" s="47">
        <v>0.23699999999999999</v>
      </c>
      <c r="G396" s="44">
        <v>36</v>
      </c>
      <c r="H396" s="44" t="s">
        <v>36</v>
      </c>
      <c r="I396" s="44" t="s">
        <v>257</v>
      </c>
      <c r="J396" s="44" t="s">
        <v>67</v>
      </c>
      <c r="K396" s="48">
        <v>133243</v>
      </c>
      <c r="L396" s="44" t="s">
        <v>68</v>
      </c>
      <c r="M396" s="49">
        <v>0.11</v>
      </c>
      <c r="N396" s="49">
        <v>0.86</v>
      </c>
      <c r="O396" s="48">
        <v>9020.5300000000007</v>
      </c>
      <c r="P396" s="48">
        <v>0</v>
      </c>
    </row>
    <row r="397" spans="1:16" ht="15" customHeight="1" x14ac:dyDescent="0.3">
      <c r="A397" s="38" t="s">
        <v>870</v>
      </c>
      <c r="B397" s="39">
        <v>44666</v>
      </c>
      <c r="C397" s="38" t="s">
        <v>871</v>
      </c>
      <c r="D397" s="38" t="s">
        <v>138</v>
      </c>
      <c r="E397" s="40">
        <v>30192</v>
      </c>
      <c r="F397" s="41">
        <v>0.105</v>
      </c>
      <c r="G397" s="38">
        <v>60</v>
      </c>
      <c r="H397" s="38" t="s">
        <v>35</v>
      </c>
      <c r="I397" s="38" t="s">
        <v>60</v>
      </c>
      <c r="J397" s="38" t="s">
        <v>67</v>
      </c>
      <c r="K397" s="42">
        <v>68437</v>
      </c>
      <c r="L397" s="38" t="s">
        <v>68</v>
      </c>
      <c r="M397" s="43">
        <v>0.3</v>
      </c>
      <c r="N397" s="43">
        <v>0.63</v>
      </c>
      <c r="O397" s="42">
        <v>33362.160000000003</v>
      </c>
      <c r="P397" s="42">
        <v>0</v>
      </c>
    </row>
    <row r="398" spans="1:16" ht="15" customHeight="1" x14ac:dyDescent="0.3">
      <c r="A398" s="50" t="s">
        <v>872</v>
      </c>
      <c r="B398" s="51">
        <v>44667</v>
      </c>
      <c r="C398" s="50" t="s">
        <v>873</v>
      </c>
      <c r="D398" s="50" t="s">
        <v>138</v>
      </c>
      <c r="E398" s="52">
        <v>32585</v>
      </c>
      <c r="F398" s="53">
        <v>0.104</v>
      </c>
      <c r="G398" s="50">
        <v>60</v>
      </c>
      <c r="H398" s="50" t="s">
        <v>38</v>
      </c>
      <c r="I398" s="50" t="s">
        <v>71</v>
      </c>
      <c r="J398" s="50" t="s">
        <v>61</v>
      </c>
      <c r="K398" s="54">
        <v>33373</v>
      </c>
      <c r="L398" s="50" t="s">
        <v>62</v>
      </c>
      <c r="M398" s="55">
        <v>0.5</v>
      </c>
      <c r="N398" s="55">
        <v>0.93</v>
      </c>
      <c r="O398" s="54">
        <v>0</v>
      </c>
      <c r="P398" s="54">
        <v>0</v>
      </c>
    </row>
    <row r="399" spans="1:16" ht="15" customHeight="1" x14ac:dyDescent="0.3">
      <c r="A399" s="44" t="s">
        <v>874</v>
      </c>
      <c r="B399" s="45">
        <v>44667</v>
      </c>
      <c r="C399" s="44" t="s">
        <v>875</v>
      </c>
      <c r="D399" s="44" t="s">
        <v>59</v>
      </c>
      <c r="E399" s="46">
        <v>30257</v>
      </c>
      <c r="F399" s="47">
        <v>0.11799999999999999</v>
      </c>
      <c r="G399" s="44">
        <v>36</v>
      </c>
      <c r="H399" s="44" t="s">
        <v>36</v>
      </c>
      <c r="I399" s="44" t="s">
        <v>83</v>
      </c>
      <c r="J399" s="44" t="s">
        <v>76</v>
      </c>
      <c r="K399" s="48">
        <v>133699</v>
      </c>
      <c r="L399" s="44" t="s">
        <v>85</v>
      </c>
      <c r="M399" s="49">
        <v>0.32</v>
      </c>
      <c r="N399" s="49">
        <v>0.63</v>
      </c>
      <c r="O399" s="48">
        <v>10757.13</v>
      </c>
      <c r="P399" s="48">
        <v>0</v>
      </c>
    </row>
    <row r="400" spans="1:16" ht="15" customHeight="1" x14ac:dyDescent="0.3">
      <c r="A400" s="38" t="s">
        <v>876</v>
      </c>
      <c r="B400" s="39">
        <v>44667</v>
      </c>
      <c r="C400" s="38" t="s">
        <v>877</v>
      </c>
      <c r="D400" s="38" t="s">
        <v>138</v>
      </c>
      <c r="E400" s="40">
        <v>25817</v>
      </c>
      <c r="F400" s="41">
        <v>0.105</v>
      </c>
      <c r="G400" s="38">
        <v>60</v>
      </c>
      <c r="H400" s="38" t="s">
        <v>35</v>
      </c>
      <c r="I400" s="38" t="s">
        <v>60</v>
      </c>
      <c r="J400" s="38" t="s">
        <v>67</v>
      </c>
      <c r="K400" s="42">
        <v>95006</v>
      </c>
      <c r="L400" s="38" t="s">
        <v>85</v>
      </c>
      <c r="M400" s="43">
        <v>0.38</v>
      </c>
      <c r="N400" s="43">
        <v>0.61</v>
      </c>
      <c r="O400" s="42">
        <v>28527.78</v>
      </c>
      <c r="P400" s="42">
        <v>0</v>
      </c>
    </row>
    <row r="401" spans="1:16" ht="15" customHeight="1" x14ac:dyDescent="0.3">
      <c r="A401" s="44" t="s">
        <v>878</v>
      </c>
      <c r="B401" s="45">
        <v>44669</v>
      </c>
      <c r="C401" s="44" t="s">
        <v>879</v>
      </c>
      <c r="D401" s="44" t="s">
        <v>113</v>
      </c>
      <c r="E401" s="46">
        <v>35636</v>
      </c>
      <c r="F401" s="47">
        <v>8.5999999999999993E-2</v>
      </c>
      <c r="G401" s="44">
        <v>36</v>
      </c>
      <c r="H401" s="44" t="s">
        <v>36</v>
      </c>
      <c r="I401" s="44" t="s">
        <v>114</v>
      </c>
      <c r="J401" s="44" t="s">
        <v>76</v>
      </c>
      <c r="K401" s="48">
        <v>142599</v>
      </c>
      <c r="L401" s="44" t="s">
        <v>68</v>
      </c>
      <c r="M401" s="49">
        <v>0.24</v>
      </c>
      <c r="N401" s="49">
        <v>0.54</v>
      </c>
      <c r="O401" s="48">
        <v>13449.63</v>
      </c>
      <c r="P401" s="48">
        <v>0</v>
      </c>
    </row>
    <row r="402" spans="1:16" ht="15" customHeight="1" x14ac:dyDescent="0.3">
      <c r="A402" s="44" t="s">
        <v>880</v>
      </c>
      <c r="B402" s="45">
        <v>44670</v>
      </c>
      <c r="C402" s="44" t="s">
        <v>881</v>
      </c>
      <c r="D402" s="44" t="s">
        <v>75</v>
      </c>
      <c r="E402" s="46">
        <v>9927</v>
      </c>
      <c r="F402" s="47">
        <v>8.4000000000000005E-2</v>
      </c>
      <c r="G402" s="44">
        <v>60</v>
      </c>
      <c r="H402" s="44" t="s">
        <v>36</v>
      </c>
      <c r="I402" s="44" t="s">
        <v>60</v>
      </c>
      <c r="J402" s="44" t="s">
        <v>84</v>
      </c>
      <c r="K402" s="48">
        <v>84028</v>
      </c>
      <c r="L402" s="44" t="s">
        <v>68</v>
      </c>
      <c r="M402" s="49">
        <v>0.28999999999999998</v>
      </c>
      <c r="N402" s="49">
        <v>0.76</v>
      </c>
      <c r="O402" s="48">
        <v>2126.9699999999998</v>
      </c>
      <c r="P402" s="48">
        <v>0</v>
      </c>
    </row>
    <row r="403" spans="1:16" ht="15" customHeight="1" x14ac:dyDescent="0.3">
      <c r="A403" s="44" t="s">
        <v>882</v>
      </c>
      <c r="B403" s="45">
        <v>44670</v>
      </c>
      <c r="C403" s="44" t="s">
        <v>883</v>
      </c>
      <c r="D403" s="44" t="s">
        <v>138</v>
      </c>
      <c r="E403" s="46">
        <v>20982</v>
      </c>
      <c r="F403" s="47">
        <v>0.187</v>
      </c>
      <c r="G403" s="44">
        <v>36</v>
      </c>
      <c r="H403" s="44" t="s">
        <v>36</v>
      </c>
      <c r="I403" s="44" t="s">
        <v>60</v>
      </c>
      <c r="J403" s="44" t="s">
        <v>67</v>
      </c>
      <c r="K403" s="48">
        <v>42192</v>
      </c>
      <c r="L403" s="44" t="s">
        <v>85</v>
      </c>
      <c r="M403" s="49">
        <v>0.23</v>
      </c>
      <c r="N403" s="49">
        <v>0.73</v>
      </c>
      <c r="O403" s="48">
        <v>7649.25</v>
      </c>
      <c r="P403" s="48">
        <v>0</v>
      </c>
    </row>
    <row r="404" spans="1:16" ht="15" customHeight="1" x14ac:dyDescent="0.3">
      <c r="A404" s="56" t="s">
        <v>884</v>
      </c>
      <c r="B404" s="57">
        <v>44671</v>
      </c>
      <c r="C404" s="56" t="s">
        <v>885</v>
      </c>
      <c r="D404" s="56" t="s">
        <v>88</v>
      </c>
      <c r="E404" s="58">
        <v>25226</v>
      </c>
      <c r="F404" s="59">
        <v>8.6999999999999994E-2</v>
      </c>
      <c r="G404" s="56">
        <v>36</v>
      </c>
      <c r="H404" s="56" t="s">
        <v>37</v>
      </c>
      <c r="I404" s="56" t="s">
        <v>114</v>
      </c>
      <c r="J404" s="56" t="s">
        <v>61</v>
      </c>
      <c r="K404" s="60">
        <v>58820</v>
      </c>
      <c r="L404" s="56" t="s">
        <v>85</v>
      </c>
      <c r="M404" s="61">
        <v>0.28999999999999998</v>
      </c>
      <c r="N404" s="61">
        <v>0.91</v>
      </c>
      <c r="O404" s="60">
        <v>9893.8700000000008</v>
      </c>
      <c r="P404" s="60">
        <v>7297.15</v>
      </c>
    </row>
    <row r="405" spans="1:16" ht="15" customHeight="1" x14ac:dyDescent="0.3">
      <c r="A405" s="56" t="s">
        <v>886</v>
      </c>
      <c r="B405" s="57">
        <v>44671</v>
      </c>
      <c r="C405" s="56" t="s">
        <v>887</v>
      </c>
      <c r="D405" s="56" t="s">
        <v>79</v>
      </c>
      <c r="E405" s="58">
        <v>36835</v>
      </c>
      <c r="F405" s="59">
        <v>5.7000000000000002E-2</v>
      </c>
      <c r="G405" s="56">
        <v>60</v>
      </c>
      <c r="H405" s="56" t="s">
        <v>37</v>
      </c>
      <c r="I405" s="56" t="s">
        <v>66</v>
      </c>
      <c r="J405" s="56" t="s">
        <v>76</v>
      </c>
      <c r="K405" s="60">
        <v>32581</v>
      </c>
      <c r="L405" s="56" t="s">
        <v>68</v>
      </c>
      <c r="M405" s="61">
        <v>0.35</v>
      </c>
      <c r="N405" s="61">
        <v>0.55000000000000004</v>
      </c>
      <c r="O405" s="60">
        <v>5580.8</v>
      </c>
      <c r="P405" s="60">
        <v>9880.57</v>
      </c>
    </row>
    <row r="406" spans="1:16" ht="15" customHeight="1" x14ac:dyDescent="0.3">
      <c r="A406" s="50" t="s">
        <v>888</v>
      </c>
      <c r="B406" s="51">
        <v>44672</v>
      </c>
      <c r="C406" s="50" t="s">
        <v>889</v>
      </c>
      <c r="D406" s="50" t="s">
        <v>59</v>
      </c>
      <c r="E406" s="52">
        <v>32822</v>
      </c>
      <c r="F406" s="53">
        <v>0.20599999999999999</v>
      </c>
      <c r="G406" s="50">
        <v>60</v>
      </c>
      <c r="H406" s="50" t="s">
        <v>38</v>
      </c>
      <c r="I406" s="50" t="s">
        <v>66</v>
      </c>
      <c r="J406" s="50" t="s">
        <v>61</v>
      </c>
      <c r="K406" s="54">
        <v>90281</v>
      </c>
      <c r="L406" s="50" t="s">
        <v>62</v>
      </c>
      <c r="M406" s="55">
        <v>0.14000000000000001</v>
      </c>
      <c r="N406" s="55">
        <v>0.7</v>
      </c>
      <c r="O406" s="54">
        <v>0</v>
      </c>
      <c r="P406" s="54">
        <v>0</v>
      </c>
    </row>
    <row r="407" spans="1:16" ht="15" customHeight="1" x14ac:dyDescent="0.3">
      <c r="A407" s="38" t="s">
        <v>890</v>
      </c>
      <c r="B407" s="39">
        <v>44672</v>
      </c>
      <c r="C407" s="38" t="s">
        <v>891</v>
      </c>
      <c r="D407" s="38" t="s">
        <v>138</v>
      </c>
      <c r="E407" s="40">
        <v>17082</v>
      </c>
      <c r="F407" s="41">
        <v>0.155</v>
      </c>
      <c r="G407" s="38">
        <v>36</v>
      </c>
      <c r="H407" s="38" t="s">
        <v>35</v>
      </c>
      <c r="I407" s="38" t="s">
        <v>83</v>
      </c>
      <c r="J407" s="38" t="s">
        <v>67</v>
      </c>
      <c r="K407" s="42">
        <v>140107</v>
      </c>
      <c r="L407" s="38" t="s">
        <v>62</v>
      </c>
      <c r="M407" s="43">
        <v>0.32</v>
      </c>
      <c r="N407" s="43">
        <v>0.69</v>
      </c>
      <c r="O407" s="42">
        <v>19729.71</v>
      </c>
      <c r="P407" s="42">
        <v>0</v>
      </c>
    </row>
    <row r="408" spans="1:16" ht="15" customHeight="1" x14ac:dyDescent="0.3">
      <c r="A408" s="38" t="s">
        <v>892</v>
      </c>
      <c r="B408" s="39">
        <v>44672</v>
      </c>
      <c r="C408" s="38" t="s">
        <v>893</v>
      </c>
      <c r="D408" s="38" t="s">
        <v>88</v>
      </c>
      <c r="E408" s="40">
        <v>20576</v>
      </c>
      <c r="F408" s="41">
        <v>0.05</v>
      </c>
      <c r="G408" s="38">
        <v>60</v>
      </c>
      <c r="H408" s="38" t="s">
        <v>35</v>
      </c>
      <c r="I408" s="38" t="s">
        <v>80</v>
      </c>
      <c r="J408" s="38" t="s">
        <v>76</v>
      </c>
      <c r="K408" s="42">
        <v>95982</v>
      </c>
      <c r="L408" s="38" t="s">
        <v>85</v>
      </c>
      <c r="M408" s="43">
        <v>0.48</v>
      </c>
      <c r="N408" s="43">
        <v>0.65</v>
      </c>
      <c r="O408" s="42">
        <v>21604.799999999999</v>
      </c>
      <c r="P408" s="42">
        <v>0</v>
      </c>
    </row>
    <row r="409" spans="1:16" ht="15" customHeight="1" x14ac:dyDescent="0.3">
      <c r="A409" s="44" t="s">
        <v>894</v>
      </c>
      <c r="B409" s="45">
        <v>44673</v>
      </c>
      <c r="C409" s="44" t="s">
        <v>895</v>
      </c>
      <c r="D409" s="44" t="s">
        <v>125</v>
      </c>
      <c r="E409" s="46">
        <v>31561</v>
      </c>
      <c r="F409" s="47">
        <v>0.129</v>
      </c>
      <c r="G409" s="44">
        <v>36</v>
      </c>
      <c r="H409" s="44" t="s">
        <v>36</v>
      </c>
      <c r="I409" s="44" t="s">
        <v>83</v>
      </c>
      <c r="J409" s="44" t="s">
        <v>67</v>
      </c>
      <c r="K409" s="48">
        <v>65618</v>
      </c>
      <c r="L409" s="44" t="s">
        <v>68</v>
      </c>
      <c r="M409" s="49">
        <v>0.49</v>
      </c>
      <c r="N409" s="49">
        <v>0.52</v>
      </c>
      <c r="O409" s="48">
        <v>12777.42</v>
      </c>
      <c r="P409" s="48">
        <v>0</v>
      </c>
    </row>
    <row r="410" spans="1:16" ht="15" customHeight="1" x14ac:dyDescent="0.3">
      <c r="A410" s="38" t="s">
        <v>896</v>
      </c>
      <c r="B410" s="39">
        <v>44674</v>
      </c>
      <c r="C410" s="38" t="s">
        <v>897</v>
      </c>
      <c r="D410" s="38" t="s">
        <v>75</v>
      </c>
      <c r="E410" s="40">
        <v>35503</v>
      </c>
      <c r="F410" s="41">
        <v>0.20200000000000001</v>
      </c>
      <c r="G410" s="38">
        <v>36</v>
      </c>
      <c r="H410" s="38" t="s">
        <v>35</v>
      </c>
      <c r="I410" s="38" t="s">
        <v>80</v>
      </c>
      <c r="J410" s="38" t="s">
        <v>61</v>
      </c>
      <c r="K410" s="42">
        <v>117225</v>
      </c>
      <c r="L410" s="38" t="s">
        <v>85</v>
      </c>
      <c r="M410" s="43">
        <v>0.23</v>
      </c>
      <c r="N410" s="43">
        <v>0.77</v>
      </c>
      <c r="O410" s="42">
        <v>42674.61</v>
      </c>
      <c r="P410" s="42">
        <v>0</v>
      </c>
    </row>
    <row r="411" spans="1:16" ht="15" customHeight="1" x14ac:dyDescent="0.3">
      <c r="A411" s="38" t="s">
        <v>898</v>
      </c>
      <c r="B411" s="39">
        <v>44681</v>
      </c>
      <c r="C411" s="38" t="s">
        <v>899</v>
      </c>
      <c r="D411" s="38" t="s">
        <v>79</v>
      </c>
      <c r="E411" s="40">
        <v>31907</v>
      </c>
      <c r="F411" s="41">
        <v>0.188</v>
      </c>
      <c r="G411" s="38">
        <v>36</v>
      </c>
      <c r="H411" s="38" t="s">
        <v>35</v>
      </c>
      <c r="I411" s="38" t="s">
        <v>114</v>
      </c>
      <c r="J411" s="38" t="s">
        <v>61</v>
      </c>
      <c r="K411" s="42">
        <v>131820</v>
      </c>
      <c r="L411" s="38" t="s">
        <v>85</v>
      </c>
      <c r="M411" s="43">
        <v>0.24</v>
      </c>
      <c r="N411" s="43">
        <v>0.94</v>
      </c>
      <c r="O411" s="42">
        <v>37905.519999999997</v>
      </c>
      <c r="P411" s="42">
        <v>0</v>
      </c>
    </row>
    <row r="412" spans="1:16" ht="15" customHeight="1" x14ac:dyDescent="0.3">
      <c r="A412" s="38" t="s">
        <v>900</v>
      </c>
      <c r="B412" s="39">
        <v>44681</v>
      </c>
      <c r="C412" s="38" t="s">
        <v>901</v>
      </c>
      <c r="D412" s="38" t="s">
        <v>97</v>
      </c>
      <c r="E412" s="40">
        <v>5760</v>
      </c>
      <c r="F412" s="41">
        <v>0.21299999999999999</v>
      </c>
      <c r="G412" s="38">
        <v>36</v>
      </c>
      <c r="H412" s="38" t="s">
        <v>35</v>
      </c>
      <c r="I412" s="38" t="s">
        <v>66</v>
      </c>
      <c r="J412" s="38" t="s">
        <v>61</v>
      </c>
      <c r="K412" s="42">
        <v>124220</v>
      </c>
      <c r="L412" s="38" t="s">
        <v>62</v>
      </c>
      <c r="M412" s="43">
        <v>0.27</v>
      </c>
      <c r="N412" s="43">
        <v>0.63</v>
      </c>
      <c r="O412" s="42">
        <v>6986.88</v>
      </c>
      <c r="P412" s="42">
        <v>0</v>
      </c>
    </row>
    <row r="413" spans="1:16" ht="15" customHeight="1" x14ac:dyDescent="0.3">
      <c r="A413" s="38" t="s">
        <v>902</v>
      </c>
      <c r="B413" s="39">
        <v>44684</v>
      </c>
      <c r="C413" s="38" t="s">
        <v>903</v>
      </c>
      <c r="D413" s="38" t="s">
        <v>125</v>
      </c>
      <c r="E413" s="40">
        <v>35707</v>
      </c>
      <c r="F413" s="41">
        <v>0.2</v>
      </c>
      <c r="G413" s="38">
        <v>60</v>
      </c>
      <c r="H413" s="38" t="s">
        <v>35</v>
      </c>
      <c r="I413" s="38" t="s">
        <v>60</v>
      </c>
      <c r="J413" s="38" t="s">
        <v>67</v>
      </c>
      <c r="K413" s="42">
        <v>62954</v>
      </c>
      <c r="L413" s="38" t="s">
        <v>62</v>
      </c>
      <c r="M413" s="43">
        <v>0.43</v>
      </c>
      <c r="N413" s="43">
        <v>0.79</v>
      </c>
      <c r="O413" s="42">
        <v>42848.4</v>
      </c>
      <c r="P413" s="42">
        <v>0</v>
      </c>
    </row>
    <row r="414" spans="1:16" ht="15" customHeight="1" x14ac:dyDescent="0.3">
      <c r="A414" s="38" t="s">
        <v>904</v>
      </c>
      <c r="B414" s="39">
        <v>44684</v>
      </c>
      <c r="C414" s="38" t="s">
        <v>905</v>
      </c>
      <c r="D414" s="38" t="s">
        <v>79</v>
      </c>
      <c r="E414" s="40">
        <v>4342</v>
      </c>
      <c r="F414" s="41">
        <v>0.123</v>
      </c>
      <c r="G414" s="38">
        <v>36</v>
      </c>
      <c r="H414" s="38" t="s">
        <v>35</v>
      </c>
      <c r="I414" s="38" t="s">
        <v>257</v>
      </c>
      <c r="J414" s="38" t="s">
        <v>72</v>
      </c>
      <c r="K414" s="42">
        <v>30917</v>
      </c>
      <c r="L414" s="38" t="s">
        <v>85</v>
      </c>
      <c r="M414" s="43">
        <v>0.43</v>
      </c>
      <c r="N414" s="43">
        <v>0.59</v>
      </c>
      <c r="O414" s="42">
        <v>4876.07</v>
      </c>
      <c r="P414" s="42">
        <v>0</v>
      </c>
    </row>
    <row r="415" spans="1:16" ht="15" customHeight="1" x14ac:dyDescent="0.3">
      <c r="A415" s="56" t="s">
        <v>906</v>
      </c>
      <c r="B415" s="57">
        <v>44685</v>
      </c>
      <c r="C415" s="56" t="s">
        <v>907</v>
      </c>
      <c r="D415" s="56" t="s">
        <v>108</v>
      </c>
      <c r="E415" s="58">
        <v>32883</v>
      </c>
      <c r="F415" s="59">
        <v>0.20300000000000001</v>
      </c>
      <c r="G415" s="56">
        <v>60</v>
      </c>
      <c r="H415" s="56" t="s">
        <v>37</v>
      </c>
      <c r="I415" s="56" t="s">
        <v>71</v>
      </c>
      <c r="J415" s="56" t="s">
        <v>61</v>
      </c>
      <c r="K415" s="60">
        <v>144100</v>
      </c>
      <c r="L415" s="56" t="s">
        <v>62</v>
      </c>
      <c r="M415" s="61">
        <v>0.19</v>
      </c>
      <c r="N415" s="61">
        <v>0.65</v>
      </c>
      <c r="O415" s="60">
        <v>7504.97</v>
      </c>
      <c r="P415" s="60">
        <v>9677.33</v>
      </c>
    </row>
    <row r="416" spans="1:16" ht="15" customHeight="1" x14ac:dyDescent="0.3">
      <c r="A416" s="38" t="s">
        <v>908</v>
      </c>
      <c r="B416" s="39">
        <v>44686</v>
      </c>
      <c r="C416" s="38" t="s">
        <v>909</v>
      </c>
      <c r="D416" s="38" t="s">
        <v>125</v>
      </c>
      <c r="E416" s="40">
        <v>27705</v>
      </c>
      <c r="F416" s="41">
        <v>0.16</v>
      </c>
      <c r="G416" s="38">
        <v>60</v>
      </c>
      <c r="H416" s="38" t="s">
        <v>35</v>
      </c>
      <c r="I416" s="38" t="s">
        <v>60</v>
      </c>
      <c r="J416" s="38" t="s">
        <v>72</v>
      </c>
      <c r="K416" s="42">
        <v>113178</v>
      </c>
      <c r="L416" s="38" t="s">
        <v>68</v>
      </c>
      <c r="M416" s="43">
        <v>0.26</v>
      </c>
      <c r="N416" s="43">
        <v>0.82</v>
      </c>
      <c r="O416" s="42">
        <v>32137.8</v>
      </c>
      <c r="P416" s="42">
        <v>0</v>
      </c>
    </row>
    <row r="417" spans="1:16" ht="15" customHeight="1" x14ac:dyDescent="0.3">
      <c r="A417" s="38" t="s">
        <v>910</v>
      </c>
      <c r="B417" s="39">
        <v>44687</v>
      </c>
      <c r="C417" s="38" t="s">
        <v>911</v>
      </c>
      <c r="D417" s="38" t="s">
        <v>88</v>
      </c>
      <c r="E417" s="40">
        <v>34535</v>
      </c>
      <c r="F417" s="41">
        <v>9.0999999999999998E-2</v>
      </c>
      <c r="G417" s="38">
        <v>36</v>
      </c>
      <c r="H417" s="38" t="s">
        <v>35</v>
      </c>
      <c r="I417" s="38" t="s">
        <v>83</v>
      </c>
      <c r="J417" s="38" t="s">
        <v>61</v>
      </c>
      <c r="K417" s="42">
        <v>142669</v>
      </c>
      <c r="L417" s="38" t="s">
        <v>85</v>
      </c>
      <c r="M417" s="43">
        <v>0.44</v>
      </c>
      <c r="N417" s="43">
        <v>0.5</v>
      </c>
      <c r="O417" s="42">
        <v>37677.68</v>
      </c>
      <c r="P417" s="42">
        <v>0</v>
      </c>
    </row>
    <row r="418" spans="1:16" ht="15" customHeight="1" x14ac:dyDescent="0.3">
      <c r="A418" s="38" t="s">
        <v>912</v>
      </c>
      <c r="B418" s="39">
        <v>44688</v>
      </c>
      <c r="C418" s="38" t="s">
        <v>913</v>
      </c>
      <c r="D418" s="38" t="s">
        <v>65</v>
      </c>
      <c r="E418" s="40">
        <v>22288</v>
      </c>
      <c r="F418" s="41">
        <v>9.5000000000000001E-2</v>
      </c>
      <c r="G418" s="38">
        <v>60</v>
      </c>
      <c r="H418" s="38" t="s">
        <v>35</v>
      </c>
      <c r="I418" s="38" t="s">
        <v>83</v>
      </c>
      <c r="J418" s="38" t="s">
        <v>76</v>
      </c>
      <c r="K418" s="42">
        <v>75838</v>
      </c>
      <c r="L418" s="38" t="s">
        <v>62</v>
      </c>
      <c r="M418" s="43">
        <v>0.31</v>
      </c>
      <c r="N418" s="43">
        <v>0.59</v>
      </c>
      <c r="O418" s="42">
        <v>24405.360000000001</v>
      </c>
      <c r="P418" s="42">
        <v>0</v>
      </c>
    </row>
    <row r="419" spans="1:16" ht="15" customHeight="1" x14ac:dyDescent="0.3">
      <c r="A419" s="38" t="s">
        <v>914</v>
      </c>
      <c r="B419" s="39">
        <v>44689</v>
      </c>
      <c r="C419" s="38" t="s">
        <v>915</v>
      </c>
      <c r="D419" s="38" t="s">
        <v>79</v>
      </c>
      <c r="E419" s="40">
        <v>22520</v>
      </c>
      <c r="F419" s="41">
        <v>0.113</v>
      </c>
      <c r="G419" s="38">
        <v>60</v>
      </c>
      <c r="H419" s="38" t="s">
        <v>35</v>
      </c>
      <c r="I419" s="38" t="s">
        <v>83</v>
      </c>
      <c r="J419" s="38" t="s">
        <v>61</v>
      </c>
      <c r="K419" s="42">
        <v>85612</v>
      </c>
      <c r="L419" s="38" t="s">
        <v>85</v>
      </c>
      <c r="M419" s="43">
        <v>0.1</v>
      </c>
      <c r="N419" s="43">
        <v>0.74</v>
      </c>
      <c r="O419" s="42">
        <v>25064.76</v>
      </c>
      <c r="P419" s="42">
        <v>0</v>
      </c>
    </row>
    <row r="420" spans="1:16" ht="15" customHeight="1" x14ac:dyDescent="0.3">
      <c r="A420" s="38" t="s">
        <v>916</v>
      </c>
      <c r="B420" s="39">
        <v>44690</v>
      </c>
      <c r="C420" s="38" t="s">
        <v>917</v>
      </c>
      <c r="D420" s="38" t="s">
        <v>125</v>
      </c>
      <c r="E420" s="40">
        <v>29380</v>
      </c>
      <c r="F420" s="41">
        <v>0.20200000000000001</v>
      </c>
      <c r="G420" s="38">
        <v>60</v>
      </c>
      <c r="H420" s="38" t="s">
        <v>35</v>
      </c>
      <c r="I420" s="38" t="s">
        <v>71</v>
      </c>
      <c r="J420" s="38" t="s">
        <v>72</v>
      </c>
      <c r="K420" s="42">
        <v>104960</v>
      </c>
      <c r="L420" s="38" t="s">
        <v>62</v>
      </c>
      <c r="M420" s="43">
        <v>0.18</v>
      </c>
      <c r="N420" s="43">
        <v>0.52</v>
      </c>
      <c r="O420" s="42">
        <v>35314.76</v>
      </c>
      <c r="P420" s="42">
        <v>0</v>
      </c>
    </row>
    <row r="421" spans="1:16" ht="15" customHeight="1" x14ac:dyDescent="0.3">
      <c r="A421" s="44" t="s">
        <v>918</v>
      </c>
      <c r="B421" s="45">
        <v>44693</v>
      </c>
      <c r="C421" s="44" t="s">
        <v>919</v>
      </c>
      <c r="D421" s="44" t="s">
        <v>113</v>
      </c>
      <c r="E421" s="46">
        <v>20623</v>
      </c>
      <c r="F421" s="47">
        <v>7.9000000000000001E-2</v>
      </c>
      <c r="G421" s="44">
        <v>60</v>
      </c>
      <c r="H421" s="44" t="s">
        <v>36</v>
      </c>
      <c r="I421" s="44" t="s">
        <v>71</v>
      </c>
      <c r="J421" s="44" t="s">
        <v>67</v>
      </c>
      <c r="K421" s="48">
        <v>55525</v>
      </c>
      <c r="L421" s="44" t="s">
        <v>62</v>
      </c>
      <c r="M421" s="49">
        <v>0.1</v>
      </c>
      <c r="N421" s="49">
        <v>0.65</v>
      </c>
      <c r="O421" s="48">
        <v>6871.78</v>
      </c>
      <c r="P421" s="48">
        <v>0</v>
      </c>
    </row>
    <row r="422" spans="1:16" ht="15" customHeight="1" x14ac:dyDescent="0.3">
      <c r="A422" s="38" t="s">
        <v>920</v>
      </c>
      <c r="B422" s="39">
        <v>44693</v>
      </c>
      <c r="C422" s="38" t="s">
        <v>921</v>
      </c>
      <c r="D422" s="38" t="s">
        <v>97</v>
      </c>
      <c r="E422" s="40">
        <v>9782</v>
      </c>
      <c r="F422" s="41">
        <v>0.214</v>
      </c>
      <c r="G422" s="38">
        <v>36</v>
      </c>
      <c r="H422" s="38" t="s">
        <v>35</v>
      </c>
      <c r="I422" s="38" t="s">
        <v>83</v>
      </c>
      <c r="J422" s="38" t="s">
        <v>76</v>
      </c>
      <c r="K422" s="42">
        <v>49404</v>
      </c>
      <c r="L422" s="38" t="s">
        <v>85</v>
      </c>
      <c r="M422" s="43">
        <v>0.41</v>
      </c>
      <c r="N422" s="43">
        <v>0.51</v>
      </c>
      <c r="O422" s="42">
        <v>11875.35</v>
      </c>
      <c r="P422" s="42">
        <v>0</v>
      </c>
    </row>
    <row r="423" spans="1:16" ht="15" customHeight="1" x14ac:dyDescent="0.3">
      <c r="A423" s="56" t="s">
        <v>922</v>
      </c>
      <c r="B423" s="57">
        <v>44695</v>
      </c>
      <c r="C423" s="56" t="s">
        <v>923</v>
      </c>
      <c r="D423" s="56" t="s">
        <v>59</v>
      </c>
      <c r="E423" s="58">
        <v>14547</v>
      </c>
      <c r="F423" s="59">
        <v>0.13700000000000001</v>
      </c>
      <c r="G423" s="56">
        <v>60</v>
      </c>
      <c r="H423" s="56" t="s">
        <v>37</v>
      </c>
      <c r="I423" s="56" t="s">
        <v>257</v>
      </c>
      <c r="J423" s="56" t="s">
        <v>84</v>
      </c>
      <c r="K423" s="60">
        <v>44995</v>
      </c>
      <c r="L423" s="56" t="s">
        <v>62</v>
      </c>
      <c r="M423" s="61">
        <v>0.21</v>
      </c>
      <c r="N423" s="61">
        <v>0.78</v>
      </c>
      <c r="O423" s="60">
        <v>5567.14</v>
      </c>
      <c r="P423" s="60">
        <v>1935.32</v>
      </c>
    </row>
    <row r="424" spans="1:16" ht="15" customHeight="1" x14ac:dyDescent="0.3">
      <c r="A424" s="38" t="s">
        <v>924</v>
      </c>
      <c r="B424" s="39">
        <v>44696</v>
      </c>
      <c r="C424" s="38" t="s">
        <v>925</v>
      </c>
      <c r="D424" s="38" t="s">
        <v>125</v>
      </c>
      <c r="E424" s="40">
        <v>14612</v>
      </c>
      <c r="F424" s="41">
        <v>0.248</v>
      </c>
      <c r="G424" s="38">
        <v>60</v>
      </c>
      <c r="H424" s="38" t="s">
        <v>35</v>
      </c>
      <c r="I424" s="38" t="s">
        <v>60</v>
      </c>
      <c r="J424" s="38" t="s">
        <v>72</v>
      </c>
      <c r="K424" s="42">
        <v>84567</v>
      </c>
      <c r="L424" s="38" t="s">
        <v>68</v>
      </c>
      <c r="M424" s="43">
        <v>0.38</v>
      </c>
      <c r="N424" s="43">
        <v>0.52</v>
      </c>
      <c r="O424" s="42">
        <v>18235.78</v>
      </c>
      <c r="P424" s="42">
        <v>0</v>
      </c>
    </row>
    <row r="425" spans="1:16" ht="15" customHeight="1" x14ac:dyDescent="0.3">
      <c r="A425" s="38" t="s">
        <v>926</v>
      </c>
      <c r="B425" s="39">
        <v>44698</v>
      </c>
      <c r="C425" s="38" t="s">
        <v>927</v>
      </c>
      <c r="D425" s="38" t="s">
        <v>65</v>
      </c>
      <c r="E425" s="40">
        <v>37618</v>
      </c>
      <c r="F425" s="41">
        <v>0.10299999999999999</v>
      </c>
      <c r="G425" s="38">
        <v>36</v>
      </c>
      <c r="H425" s="38" t="s">
        <v>35</v>
      </c>
      <c r="I425" s="38" t="s">
        <v>83</v>
      </c>
      <c r="J425" s="38" t="s">
        <v>76</v>
      </c>
      <c r="K425" s="42">
        <v>83592</v>
      </c>
      <c r="L425" s="38" t="s">
        <v>85</v>
      </c>
      <c r="M425" s="43">
        <v>0.19</v>
      </c>
      <c r="N425" s="43">
        <v>0.57999999999999996</v>
      </c>
      <c r="O425" s="42">
        <v>41492.65</v>
      </c>
      <c r="P425" s="42">
        <v>0</v>
      </c>
    </row>
    <row r="426" spans="1:16" ht="15" customHeight="1" x14ac:dyDescent="0.3">
      <c r="A426" s="38" t="s">
        <v>928</v>
      </c>
      <c r="B426" s="39">
        <v>44698</v>
      </c>
      <c r="C426" s="38" t="s">
        <v>929</v>
      </c>
      <c r="D426" s="38" t="s">
        <v>113</v>
      </c>
      <c r="E426" s="40">
        <v>23861</v>
      </c>
      <c r="F426" s="41">
        <v>0.157</v>
      </c>
      <c r="G426" s="38">
        <v>36</v>
      </c>
      <c r="H426" s="38" t="s">
        <v>35</v>
      </c>
      <c r="I426" s="38" t="s">
        <v>66</v>
      </c>
      <c r="J426" s="38" t="s">
        <v>61</v>
      </c>
      <c r="K426" s="42">
        <v>81934</v>
      </c>
      <c r="L426" s="38" t="s">
        <v>68</v>
      </c>
      <c r="M426" s="43">
        <v>0.46</v>
      </c>
      <c r="N426" s="43">
        <v>0.78</v>
      </c>
      <c r="O426" s="42">
        <v>27607.18</v>
      </c>
      <c r="P426" s="42">
        <v>0</v>
      </c>
    </row>
    <row r="427" spans="1:16" ht="15" customHeight="1" x14ac:dyDescent="0.3">
      <c r="A427" s="38" t="s">
        <v>930</v>
      </c>
      <c r="B427" s="39">
        <v>44699</v>
      </c>
      <c r="C427" s="38" t="s">
        <v>931</v>
      </c>
      <c r="D427" s="38" t="s">
        <v>138</v>
      </c>
      <c r="E427" s="40">
        <v>20541</v>
      </c>
      <c r="F427" s="41">
        <v>0.11799999999999999</v>
      </c>
      <c r="G427" s="38">
        <v>36</v>
      </c>
      <c r="H427" s="38" t="s">
        <v>35</v>
      </c>
      <c r="I427" s="38" t="s">
        <v>71</v>
      </c>
      <c r="J427" s="38" t="s">
        <v>61</v>
      </c>
      <c r="K427" s="42">
        <v>49996</v>
      </c>
      <c r="L427" s="38" t="s">
        <v>68</v>
      </c>
      <c r="M427" s="43">
        <v>0.28000000000000003</v>
      </c>
      <c r="N427" s="43">
        <v>0.5</v>
      </c>
      <c r="O427" s="42">
        <v>22964.84</v>
      </c>
      <c r="P427" s="42">
        <v>0</v>
      </c>
    </row>
    <row r="428" spans="1:16" ht="15" customHeight="1" x14ac:dyDescent="0.3">
      <c r="A428" s="44" t="s">
        <v>932</v>
      </c>
      <c r="B428" s="45">
        <v>44699</v>
      </c>
      <c r="C428" s="44" t="s">
        <v>933</v>
      </c>
      <c r="D428" s="44" t="s">
        <v>65</v>
      </c>
      <c r="E428" s="46">
        <v>3472</v>
      </c>
      <c r="F428" s="47">
        <v>0.10299999999999999</v>
      </c>
      <c r="G428" s="44">
        <v>60</v>
      </c>
      <c r="H428" s="44" t="s">
        <v>36</v>
      </c>
      <c r="I428" s="44" t="s">
        <v>66</v>
      </c>
      <c r="J428" s="44" t="s">
        <v>61</v>
      </c>
      <c r="K428" s="48">
        <v>86889</v>
      </c>
      <c r="L428" s="44" t="s">
        <v>62</v>
      </c>
      <c r="M428" s="49">
        <v>0.28999999999999998</v>
      </c>
      <c r="N428" s="49">
        <v>0.66</v>
      </c>
      <c r="O428" s="48">
        <v>679.21</v>
      </c>
      <c r="P428" s="48">
        <v>0</v>
      </c>
    </row>
    <row r="429" spans="1:16" ht="15" customHeight="1" x14ac:dyDescent="0.3">
      <c r="A429" s="38" t="s">
        <v>934</v>
      </c>
      <c r="B429" s="39">
        <v>44699</v>
      </c>
      <c r="C429" s="38" t="s">
        <v>935</v>
      </c>
      <c r="D429" s="38" t="s">
        <v>97</v>
      </c>
      <c r="E429" s="40">
        <v>18905</v>
      </c>
      <c r="F429" s="41">
        <v>0.13700000000000001</v>
      </c>
      <c r="G429" s="38">
        <v>60</v>
      </c>
      <c r="H429" s="38" t="s">
        <v>35</v>
      </c>
      <c r="I429" s="38" t="s">
        <v>60</v>
      </c>
      <c r="J429" s="38" t="s">
        <v>76</v>
      </c>
      <c r="K429" s="42">
        <v>106502</v>
      </c>
      <c r="L429" s="38" t="s">
        <v>68</v>
      </c>
      <c r="M429" s="43">
        <v>0.22</v>
      </c>
      <c r="N429" s="43">
        <v>0.72</v>
      </c>
      <c r="O429" s="42">
        <v>21494.98</v>
      </c>
      <c r="P429" s="42">
        <v>0</v>
      </c>
    </row>
    <row r="430" spans="1:16" ht="15" customHeight="1" x14ac:dyDescent="0.3">
      <c r="A430" s="50" t="s">
        <v>936</v>
      </c>
      <c r="B430" s="51">
        <v>44700</v>
      </c>
      <c r="C430" s="50" t="s">
        <v>937</v>
      </c>
      <c r="D430" s="50" t="s">
        <v>79</v>
      </c>
      <c r="E430" s="52">
        <v>6495</v>
      </c>
      <c r="F430" s="53">
        <v>0.249</v>
      </c>
      <c r="G430" s="50">
        <v>36</v>
      </c>
      <c r="H430" s="50" t="s">
        <v>38</v>
      </c>
      <c r="I430" s="50" t="s">
        <v>71</v>
      </c>
      <c r="J430" s="50" t="s">
        <v>67</v>
      </c>
      <c r="K430" s="54">
        <v>123063</v>
      </c>
      <c r="L430" s="50" t="s">
        <v>62</v>
      </c>
      <c r="M430" s="55">
        <v>0.21</v>
      </c>
      <c r="N430" s="55">
        <v>0.56000000000000005</v>
      </c>
      <c r="O430" s="54">
        <v>0</v>
      </c>
      <c r="P430" s="54">
        <v>0</v>
      </c>
    </row>
    <row r="431" spans="1:16" ht="15" customHeight="1" x14ac:dyDescent="0.3">
      <c r="A431" s="38" t="s">
        <v>938</v>
      </c>
      <c r="B431" s="39">
        <v>44701</v>
      </c>
      <c r="C431" s="38" t="s">
        <v>939</v>
      </c>
      <c r="D431" s="38" t="s">
        <v>108</v>
      </c>
      <c r="E431" s="40">
        <v>17309</v>
      </c>
      <c r="F431" s="41">
        <v>0.23200000000000001</v>
      </c>
      <c r="G431" s="38">
        <v>36</v>
      </c>
      <c r="H431" s="38" t="s">
        <v>35</v>
      </c>
      <c r="I431" s="38" t="s">
        <v>71</v>
      </c>
      <c r="J431" s="38" t="s">
        <v>72</v>
      </c>
      <c r="K431" s="42">
        <v>41349</v>
      </c>
      <c r="L431" s="38" t="s">
        <v>62</v>
      </c>
      <c r="M431" s="43">
        <v>0.18</v>
      </c>
      <c r="N431" s="43">
        <v>0.86</v>
      </c>
      <c r="O431" s="42">
        <v>21324.69</v>
      </c>
      <c r="P431" s="42">
        <v>0</v>
      </c>
    </row>
    <row r="432" spans="1:16" ht="15" customHeight="1" x14ac:dyDescent="0.3">
      <c r="A432" s="44" t="s">
        <v>940</v>
      </c>
      <c r="B432" s="45">
        <v>44705</v>
      </c>
      <c r="C432" s="44" t="s">
        <v>941</v>
      </c>
      <c r="D432" s="44" t="s">
        <v>125</v>
      </c>
      <c r="E432" s="46">
        <v>25058</v>
      </c>
      <c r="F432" s="47">
        <v>0.24199999999999999</v>
      </c>
      <c r="G432" s="44">
        <v>36</v>
      </c>
      <c r="H432" s="44" t="s">
        <v>36</v>
      </c>
      <c r="I432" s="44" t="s">
        <v>60</v>
      </c>
      <c r="J432" s="44" t="s">
        <v>72</v>
      </c>
      <c r="K432" s="48">
        <v>56946</v>
      </c>
      <c r="L432" s="44" t="s">
        <v>68</v>
      </c>
      <c r="M432" s="49">
        <v>0.22</v>
      </c>
      <c r="N432" s="49">
        <v>0.61</v>
      </c>
      <c r="O432" s="48">
        <v>9355.1299999999992</v>
      </c>
      <c r="P432" s="48">
        <v>0</v>
      </c>
    </row>
    <row r="433" spans="1:16" ht="15" customHeight="1" x14ac:dyDescent="0.3">
      <c r="A433" s="56" t="s">
        <v>942</v>
      </c>
      <c r="B433" s="57">
        <v>44706</v>
      </c>
      <c r="C433" s="56" t="s">
        <v>943</v>
      </c>
      <c r="D433" s="56" t="s">
        <v>88</v>
      </c>
      <c r="E433" s="58">
        <v>25578</v>
      </c>
      <c r="F433" s="59">
        <v>0.191</v>
      </c>
      <c r="G433" s="56">
        <v>60</v>
      </c>
      <c r="H433" s="56" t="s">
        <v>37</v>
      </c>
      <c r="I433" s="56" t="s">
        <v>80</v>
      </c>
      <c r="J433" s="56" t="s">
        <v>72</v>
      </c>
      <c r="K433" s="60">
        <v>115679</v>
      </c>
      <c r="L433" s="56" t="s">
        <v>85</v>
      </c>
      <c r="M433" s="61">
        <v>0.13</v>
      </c>
      <c r="N433" s="61">
        <v>0.86</v>
      </c>
      <c r="O433" s="60">
        <v>3866.58</v>
      </c>
      <c r="P433" s="60">
        <v>7371.47</v>
      </c>
    </row>
    <row r="434" spans="1:16" ht="15" customHeight="1" x14ac:dyDescent="0.3">
      <c r="A434" s="38" t="s">
        <v>944</v>
      </c>
      <c r="B434" s="39">
        <v>44707</v>
      </c>
      <c r="C434" s="38" t="s">
        <v>945</v>
      </c>
      <c r="D434" s="38" t="s">
        <v>88</v>
      </c>
      <c r="E434" s="40">
        <v>18650</v>
      </c>
      <c r="F434" s="41">
        <v>0.17499999999999999</v>
      </c>
      <c r="G434" s="38">
        <v>60</v>
      </c>
      <c r="H434" s="38" t="s">
        <v>35</v>
      </c>
      <c r="I434" s="38" t="s">
        <v>80</v>
      </c>
      <c r="J434" s="38" t="s">
        <v>67</v>
      </c>
      <c r="K434" s="42">
        <v>67099</v>
      </c>
      <c r="L434" s="38" t="s">
        <v>85</v>
      </c>
      <c r="M434" s="43">
        <v>0.19</v>
      </c>
      <c r="N434" s="43">
        <v>0.7</v>
      </c>
      <c r="O434" s="42">
        <v>21913.75</v>
      </c>
      <c r="P434" s="42">
        <v>0</v>
      </c>
    </row>
    <row r="435" spans="1:16" ht="15" customHeight="1" x14ac:dyDescent="0.3">
      <c r="A435" s="38" t="s">
        <v>946</v>
      </c>
      <c r="B435" s="39">
        <v>44707</v>
      </c>
      <c r="C435" s="38" t="s">
        <v>947</v>
      </c>
      <c r="D435" s="38" t="s">
        <v>113</v>
      </c>
      <c r="E435" s="40">
        <v>20250</v>
      </c>
      <c r="F435" s="41">
        <v>0.128</v>
      </c>
      <c r="G435" s="38">
        <v>60</v>
      </c>
      <c r="H435" s="38" t="s">
        <v>35</v>
      </c>
      <c r="I435" s="38" t="s">
        <v>114</v>
      </c>
      <c r="J435" s="38" t="s">
        <v>61</v>
      </c>
      <c r="K435" s="42">
        <v>32763</v>
      </c>
      <c r="L435" s="38" t="s">
        <v>62</v>
      </c>
      <c r="M435" s="43">
        <v>0.47</v>
      </c>
      <c r="N435" s="43">
        <v>0.73</v>
      </c>
      <c r="O435" s="42">
        <v>22842</v>
      </c>
      <c r="P435" s="42">
        <v>0</v>
      </c>
    </row>
    <row r="436" spans="1:16" ht="15" customHeight="1" x14ac:dyDescent="0.3">
      <c r="A436" s="44" t="s">
        <v>948</v>
      </c>
      <c r="B436" s="45">
        <v>44707</v>
      </c>
      <c r="C436" s="44" t="s">
        <v>949</v>
      </c>
      <c r="D436" s="44" t="s">
        <v>108</v>
      </c>
      <c r="E436" s="46">
        <v>14994</v>
      </c>
      <c r="F436" s="47">
        <v>0.109</v>
      </c>
      <c r="G436" s="44">
        <v>60</v>
      </c>
      <c r="H436" s="44" t="s">
        <v>36</v>
      </c>
      <c r="I436" s="44" t="s">
        <v>60</v>
      </c>
      <c r="J436" s="44" t="s">
        <v>61</v>
      </c>
      <c r="K436" s="48">
        <v>135428</v>
      </c>
      <c r="L436" s="44" t="s">
        <v>68</v>
      </c>
      <c r="M436" s="49">
        <v>0.4</v>
      </c>
      <c r="N436" s="49">
        <v>0.51</v>
      </c>
      <c r="O436" s="48">
        <v>3543.54</v>
      </c>
      <c r="P436" s="48">
        <v>0</v>
      </c>
    </row>
    <row r="437" spans="1:16" ht="15" customHeight="1" x14ac:dyDescent="0.3">
      <c r="A437" s="38" t="s">
        <v>950</v>
      </c>
      <c r="B437" s="39">
        <v>44708</v>
      </c>
      <c r="C437" s="38" t="s">
        <v>951</v>
      </c>
      <c r="D437" s="38" t="s">
        <v>75</v>
      </c>
      <c r="E437" s="40">
        <v>32575</v>
      </c>
      <c r="F437" s="41">
        <v>0.121</v>
      </c>
      <c r="G437" s="38">
        <v>60</v>
      </c>
      <c r="H437" s="38" t="s">
        <v>35</v>
      </c>
      <c r="I437" s="38" t="s">
        <v>257</v>
      </c>
      <c r="J437" s="38" t="s">
        <v>76</v>
      </c>
      <c r="K437" s="42">
        <v>66289</v>
      </c>
      <c r="L437" s="38" t="s">
        <v>62</v>
      </c>
      <c r="M437" s="43">
        <v>0.34</v>
      </c>
      <c r="N437" s="43">
        <v>0.95</v>
      </c>
      <c r="O437" s="42">
        <v>36516.57</v>
      </c>
      <c r="P437" s="42">
        <v>0</v>
      </c>
    </row>
    <row r="438" spans="1:16" ht="15" customHeight="1" x14ac:dyDescent="0.3">
      <c r="A438" s="44" t="s">
        <v>952</v>
      </c>
      <c r="B438" s="45">
        <v>44709</v>
      </c>
      <c r="C438" s="44" t="s">
        <v>953</v>
      </c>
      <c r="D438" s="44" t="s">
        <v>97</v>
      </c>
      <c r="E438" s="46">
        <v>10160</v>
      </c>
      <c r="F438" s="47">
        <v>0.13</v>
      </c>
      <c r="G438" s="44">
        <v>60</v>
      </c>
      <c r="H438" s="44" t="s">
        <v>36</v>
      </c>
      <c r="I438" s="44" t="s">
        <v>60</v>
      </c>
      <c r="J438" s="44" t="s">
        <v>61</v>
      </c>
      <c r="K438" s="48">
        <v>123332</v>
      </c>
      <c r="L438" s="44" t="s">
        <v>68</v>
      </c>
      <c r="M438" s="49">
        <v>0.35</v>
      </c>
      <c r="N438" s="49">
        <v>0.68</v>
      </c>
      <c r="O438" s="48">
        <v>1593.02</v>
      </c>
      <c r="P438" s="48">
        <v>0</v>
      </c>
    </row>
    <row r="439" spans="1:16" ht="15" customHeight="1" x14ac:dyDescent="0.3">
      <c r="A439" s="38" t="s">
        <v>954</v>
      </c>
      <c r="B439" s="39">
        <v>44709</v>
      </c>
      <c r="C439" s="38" t="s">
        <v>955</v>
      </c>
      <c r="D439" s="38" t="s">
        <v>65</v>
      </c>
      <c r="E439" s="40">
        <v>7540</v>
      </c>
      <c r="F439" s="41">
        <v>0.151</v>
      </c>
      <c r="G439" s="38">
        <v>60</v>
      </c>
      <c r="H439" s="38" t="s">
        <v>35</v>
      </c>
      <c r="I439" s="38" t="s">
        <v>60</v>
      </c>
      <c r="J439" s="38" t="s">
        <v>67</v>
      </c>
      <c r="K439" s="42">
        <v>108824</v>
      </c>
      <c r="L439" s="38" t="s">
        <v>62</v>
      </c>
      <c r="M439" s="43">
        <v>0.14000000000000001</v>
      </c>
      <c r="N439" s="43">
        <v>0.78</v>
      </c>
      <c r="O439" s="42">
        <v>8678.5400000000009</v>
      </c>
      <c r="P439" s="42">
        <v>0</v>
      </c>
    </row>
    <row r="440" spans="1:16" ht="15" customHeight="1" x14ac:dyDescent="0.3">
      <c r="A440" s="38" t="s">
        <v>956</v>
      </c>
      <c r="B440" s="39">
        <v>44710</v>
      </c>
      <c r="C440" s="38" t="s">
        <v>957</v>
      </c>
      <c r="D440" s="38" t="s">
        <v>59</v>
      </c>
      <c r="E440" s="40">
        <v>24177</v>
      </c>
      <c r="F440" s="41">
        <v>9.0999999999999998E-2</v>
      </c>
      <c r="G440" s="38">
        <v>60</v>
      </c>
      <c r="H440" s="38" t="s">
        <v>35</v>
      </c>
      <c r="I440" s="38" t="s">
        <v>257</v>
      </c>
      <c r="J440" s="38" t="s">
        <v>61</v>
      </c>
      <c r="K440" s="42">
        <v>147192</v>
      </c>
      <c r="L440" s="38" t="s">
        <v>62</v>
      </c>
      <c r="M440" s="43">
        <v>0.49</v>
      </c>
      <c r="N440" s="43">
        <v>0.57999999999999996</v>
      </c>
      <c r="O440" s="42">
        <v>26377.11</v>
      </c>
      <c r="P440" s="42">
        <v>0</v>
      </c>
    </row>
    <row r="441" spans="1:16" ht="15" customHeight="1" x14ac:dyDescent="0.3">
      <c r="A441" s="56" t="s">
        <v>958</v>
      </c>
      <c r="B441" s="57">
        <v>44712</v>
      </c>
      <c r="C441" s="56" t="s">
        <v>959</v>
      </c>
      <c r="D441" s="56" t="s">
        <v>59</v>
      </c>
      <c r="E441" s="58">
        <v>14467</v>
      </c>
      <c r="F441" s="59">
        <v>6.9000000000000006E-2</v>
      </c>
      <c r="G441" s="56">
        <v>36</v>
      </c>
      <c r="H441" s="56" t="s">
        <v>37</v>
      </c>
      <c r="I441" s="56" t="s">
        <v>60</v>
      </c>
      <c r="J441" s="56" t="s">
        <v>72</v>
      </c>
      <c r="K441" s="60">
        <v>97384</v>
      </c>
      <c r="L441" s="56" t="s">
        <v>68</v>
      </c>
      <c r="M441" s="61">
        <v>0.42</v>
      </c>
      <c r="N441" s="61">
        <v>0.69</v>
      </c>
      <c r="O441" s="60">
        <v>5293.66</v>
      </c>
      <c r="P441" s="60">
        <v>1335.02</v>
      </c>
    </row>
    <row r="442" spans="1:16" ht="15" customHeight="1" x14ac:dyDescent="0.3">
      <c r="A442" s="38" t="s">
        <v>960</v>
      </c>
      <c r="B442" s="39">
        <v>44712</v>
      </c>
      <c r="C442" s="38" t="s">
        <v>961</v>
      </c>
      <c r="D442" s="38" t="s">
        <v>88</v>
      </c>
      <c r="E442" s="40">
        <v>22563</v>
      </c>
      <c r="F442" s="41">
        <v>0.248</v>
      </c>
      <c r="G442" s="38">
        <v>60</v>
      </c>
      <c r="H442" s="38" t="s">
        <v>35</v>
      </c>
      <c r="I442" s="38" t="s">
        <v>60</v>
      </c>
      <c r="J442" s="38" t="s">
        <v>84</v>
      </c>
      <c r="K442" s="42">
        <v>135627</v>
      </c>
      <c r="L442" s="38" t="s">
        <v>85</v>
      </c>
      <c r="M442" s="43">
        <v>0.2</v>
      </c>
      <c r="N442" s="43">
        <v>0.78</v>
      </c>
      <c r="O442" s="42">
        <v>28158.62</v>
      </c>
      <c r="P442" s="42">
        <v>0</v>
      </c>
    </row>
    <row r="443" spans="1:16" ht="15" customHeight="1" x14ac:dyDescent="0.3">
      <c r="A443" s="44" t="s">
        <v>962</v>
      </c>
      <c r="B443" s="45">
        <v>44713</v>
      </c>
      <c r="C443" s="44" t="s">
        <v>963</v>
      </c>
      <c r="D443" s="44" t="s">
        <v>79</v>
      </c>
      <c r="E443" s="46">
        <v>11526</v>
      </c>
      <c r="F443" s="47">
        <v>0.111</v>
      </c>
      <c r="G443" s="44">
        <v>36</v>
      </c>
      <c r="H443" s="44" t="s">
        <v>36</v>
      </c>
      <c r="I443" s="44" t="s">
        <v>66</v>
      </c>
      <c r="J443" s="44" t="s">
        <v>76</v>
      </c>
      <c r="K443" s="48">
        <v>147551</v>
      </c>
      <c r="L443" s="44" t="s">
        <v>85</v>
      </c>
      <c r="M443" s="49">
        <v>0.37</v>
      </c>
      <c r="N443" s="49">
        <v>0.68</v>
      </c>
      <c r="O443" s="48">
        <v>1006.42</v>
      </c>
      <c r="P443" s="48">
        <v>0</v>
      </c>
    </row>
    <row r="444" spans="1:16" ht="15" customHeight="1" x14ac:dyDescent="0.3">
      <c r="A444" s="44" t="s">
        <v>964</v>
      </c>
      <c r="B444" s="45">
        <v>44714</v>
      </c>
      <c r="C444" s="44" t="s">
        <v>965</v>
      </c>
      <c r="D444" s="44" t="s">
        <v>88</v>
      </c>
      <c r="E444" s="46">
        <v>27572</v>
      </c>
      <c r="F444" s="47">
        <v>0.20799999999999999</v>
      </c>
      <c r="G444" s="44">
        <v>36</v>
      </c>
      <c r="H444" s="44" t="s">
        <v>36</v>
      </c>
      <c r="I444" s="44" t="s">
        <v>114</v>
      </c>
      <c r="J444" s="44" t="s">
        <v>76</v>
      </c>
      <c r="K444" s="48">
        <v>106234</v>
      </c>
      <c r="L444" s="44" t="s">
        <v>85</v>
      </c>
      <c r="M444" s="49">
        <v>0.16</v>
      </c>
      <c r="N444" s="49">
        <v>0.78</v>
      </c>
      <c r="O444" s="48">
        <v>3453.07</v>
      </c>
      <c r="P444" s="48">
        <v>0</v>
      </c>
    </row>
    <row r="445" spans="1:16" ht="15" customHeight="1" x14ac:dyDescent="0.3">
      <c r="A445" s="56" t="s">
        <v>966</v>
      </c>
      <c r="B445" s="57">
        <v>44714</v>
      </c>
      <c r="C445" s="56" t="s">
        <v>967</v>
      </c>
      <c r="D445" s="56" t="s">
        <v>88</v>
      </c>
      <c r="E445" s="58">
        <v>7099</v>
      </c>
      <c r="F445" s="59">
        <v>0.223</v>
      </c>
      <c r="G445" s="56">
        <v>60</v>
      </c>
      <c r="H445" s="56" t="s">
        <v>37</v>
      </c>
      <c r="I445" s="56" t="s">
        <v>71</v>
      </c>
      <c r="J445" s="56" t="s">
        <v>67</v>
      </c>
      <c r="K445" s="60">
        <v>110072</v>
      </c>
      <c r="L445" s="56" t="s">
        <v>62</v>
      </c>
      <c r="M445" s="61">
        <v>0.44</v>
      </c>
      <c r="N445" s="61">
        <v>0.51</v>
      </c>
      <c r="O445" s="60">
        <v>1756.33</v>
      </c>
      <c r="P445" s="60">
        <v>874.52</v>
      </c>
    </row>
    <row r="446" spans="1:16" ht="15" customHeight="1" x14ac:dyDescent="0.3">
      <c r="A446" s="38" t="s">
        <v>968</v>
      </c>
      <c r="B446" s="39">
        <v>44717</v>
      </c>
      <c r="C446" s="38" t="s">
        <v>969</v>
      </c>
      <c r="D446" s="38" t="s">
        <v>75</v>
      </c>
      <c r="E446" s="40">
        <v>22223</v>
      </c>
      <c r="F446" s="41">
        <v>5.8999999999999997E-2</v>
      </c>
      <c r="G446" s="38">
        <v>60</v>
      </c>
      <c r="H446" s="38" t="s">
        <v>35</v>
      </c>
      <c r="I446" s="38" t="s">
        <v>83</v>
      </c>
      <c r="J446" s="38" t="s">
        <v>84</v>
      </c>
      <c r="K446" s="42">
        <v>64217</v>
      </c>
      <c r="L446" s="38" t="s">
        <v>68</v>
      </c>
      <c r="M446" s="43">
        <v>0.16</v>
      </c>
      <c r="N446" s="43">
        <v>0.82</v>
      </c>
      <c r="O446" s="42">
        <v>23534.16</v>
      </c>
      <c r="P446" s="42">
        <v>0</v>
      </c>
    </row>
    <row r="447" spans="1:16" ht="15" customHeight="1" x14ac:dyDescent="0.3">
      <c r="A447" s="44" t="s">
        <v>970</v>
      </c>
      <c r="B447" s="45">
        <v>44717</v>
      </c>
      <c r="C447" s="44" t="s">
        <v>971</v>
      </c>
      <c r="D447" s="44" t="s">
        <v>65</v>
      </c>
      <c r="E447" s="46">
        <v>2341</v>
      </c>
      <c r="F447" s="47">
        <v>0.17699999999999999</v>
      </c>
      <c r="G447" s="44">
        <v>60</v>
      </c>
      <c r="H447" s="44" t="s">
        <v>36</v>
      </c>
      <c r="I447" s="44" t="s">
        <v>71</v>
      </c>
      <c r="J447" s="44" t="s">
        <v>84</v>
      </c>
      <c r="K447" s="48">
        <v>144072</v>
      </c>
      <c r="L447" s="44" t="s">
        <v>62</v>
      </c>
      <c r="M447" s="49">
        <v>0.41</v>
      </c>
      <c r="N447" s="49">
        <v>0.61</v>
      </c>
      <c r="O447" s="48">
        <v>714.53</v>
      </c>
      <c r="P447" s="48">
        <v>0</v>
      </c>
    </row>
    <row r="448" spans="1:16" ht="15" customHeight="1" x14ac:dyDescent="0.3">
      <c r="A448" s="44" t="s">
        <v>972</v>
      </c>
      <c r="B448" s="45">
        <v>44718</v>
      </c>
      <c r="C448" s="44" t="s">
        <v>973</v>
      </c>
      <c r="D448" s="44" t="s">
        <v>138</v>
      </c>
      <c r="E448" s="46">
        <v>27385</v>
      </c>
      <c r="F448" s="47">
        <v>0.245</v>
      </c>
      <c r="G448" s="44">
        <v>36</v>
      </c>
      <c r="H448" s="44" t="s">
        <v>36</v>
      </c>
      <c r="I448" s="44" t="s">
        <v>83</v>
      </c>
      <c r="J448" s="44" t="s">
        <v>61</v>
      </c>
      <c r="K448" s="48">
        <v>64087</v>
      </c>
      <c r="L448" s="44" t="s">
        <v>62</v>
      </c>
      <c r="M448" s="49">
        <v>0.38</v>
      </c>
      <c r="N448" s="49">
        <v>0.57999999999999996</v>
      </c>
      <c r="O448" s="48">
        <v>6334.16</v>
      </c>
      <c r="P448" s="48">
        <v>0</v>
      </c>
    </row>
    <row r="449" spans="1:16" ht="15" customHeight="1" x14ac:dyDescent="0.3">
      <c r="A449" s="38" t="s">
        <v>974</v>
      </c>
      <c r="B449" s="39">
        <v>44720</v>
      </c>
      <c r="C449" s="38" t="s">
        <v>975</v>
      </c>
      <c r="D449" s="38" t="s">
        <v>97</v>
      </c>
      <c r="E449" s="40">
        <v>30165</v>
      </c>
      <c r="F449" s="41">
        <v>7.0000000000000007E-2</v>
      </c>
      <c r="G449" s="38">
        <v>36</v>
      </c>
      <c r="H449" s="38" t="s">
        <v>35</v>
      </c>
      <c r="I449" s="38" t="s">
        <v>66</v>
      </c>
      <c r="J449" s="38" t="s">
        <v>84</v>
      </c>
      <c r="K449" s="42">
        <v>71235</v>
      </c>
      <c r="L449" s="38" t="s">
        <v>85</v>
      </c>
      <c r="M449" s="43">
        <v>0.12</v>
      </c>
      <c r="N449" s="43">
        <v>0.82</v>
      </c>
      <c r="O449" s="42">
        <v>32276.55</v>
      </c>
      <c r="P449" s="42">
        <v>0</v>
      </c>
    </row>
    <row r="450" spans="1:16" ht="15" customHeight="1" x14ac:dyDescent="0.3">
      <c r="A450" s="38" t="s">
        <v>976</v>
      </c>
      <c r="B450" s="39">
        <v>44721</v>
      </c>
      <c r="C450" s="38" t="s">
        <v>977</v>
      </c>
      <c r="D450" s="38" t="s">
        <v>79</v>
      </c>
      <c r="E450" s="40">
        <v>32705</v>
      </c>
      <c r="F450" s="41">
        <v>0.218</v>
      </c>
      <c r="G450" s="38">
        <v>60</v>
      </c>
      <c r="H450" s="38" t="s">
        <v>35</v>
      </c>
      <c r="I450" s="38" t="s">
        <v>71</v>
      </c>
      <c r="J450" s="38" t="s">
        <v>72</v>
      </c>
      <c r="K450" s="42">
        <v>90935</v>
      </c>
      <c r="L450" s="38" t="s">
        <v>68</v>
      </c>
      <c r="M450" s="43">
        <v>0.13</v>
      </c>
      <c r="N450" s="43">
        <v>0.52</v>
      </c>
      <c r="O450" s="42">
        <v>39834.69</v>
      </c>
      <c r="P450" s="42">
        <v>0</v>
      </c>
    </row>
    <row r="451" spans="1:16" ht="15" customHeight="1" x14ac:dyDescent="0.3">
      <c r="A451" s="44" t="s">
        <v>978</v>
      </c>
      <c r="B451" s="45">
        <v>44721</v>
      </c>
      <c r="C451" s="44" t="s">
        <v>979</v>
      </c>
      <c r="D451" s="44" t="s">
        <v>108</v>
      </c>
      <c r="E451" s="46">
        <v>10882</v>
      </c>
      <c r="F451" s="47">
        <v>7.0000000000000007E-2</v>
      </c>
      <c r="G451" s="44">
        <v>36</v>
      </c>
      <c r="H451" s="44" t="s">
        <v>36</v>
      </c>
      <c r="I451" s="44" t="s">
        <v>71</v>
      </c>
      <c r="J451" s="44" t="s">
        <v>67</v>
      </c>
      <c r="K451" s="48">
        <v>106312</v>
      </c>
      <c r="L451" s="44" t="s">
        <v>68</v>
      </c>
      <c r="M451" s="49">
        <v>0.37</v>
      </c>
      <c r="N451" s="49">
        <v>0.66</v>
      </c>
      <c r="O451" s="48">
        <v>3592.5</v>
      </c>
      <c r="P451" s="48">
        <v>0</v>
      </c>
    </row>
    <row r="452" spans="1:16" ht="15" customHeight="1" x14ac:dyDescent="0.3">
      <c r="A452" s="38" t="s">
        <v>980</v>
      </c>
      <c r="B452" s="39">
        <v>44722</v>
      </c>
      <c r="C452" s="38" t="s">
        <v>981</v>
      </c>
      <c r="D452" s="38" t="s">
        <v>88</v>
      </c>
      <c r="E452" s="40">
        <v>34361</v>
      </c>
      <c r="F452" s="41">
        <v>9.6000000000000002E-2</v>
      </c>
      <c r="G452" s="38">
        <v>60</v>
      </c>
      <c r="H452" s="38" t="s">
        <v>35</v>
      </c>
      <c r="I452" s="38" t="s">
        <v>60</v>
      </c>
      <c r="J452" s="38" t="s">
        <v>67</v>
      </c>
      <c r="K452" s="42">
        <v>102373</v>
      </c>
      <c r="L452" s="38" t="s">
        <v>85</v>
      </c>
      <c r="M452" s="43">
        <v>0.4</v>
      </c>
      <c r="N452" s="43">
        <v>0.73</v>
      </c>
      <c r="O452" s="42">
        <v>37659.660000000003</v>
      </c>
      <c r="P452" s="42">
        <v>0</v>
      </c>
    </row>
    <row r="453" spans="1:16" ht="15" customHeight="1" x14ac:dyDescent="0.3">
      <c r="A453" s="38" t="s">
        <v>982</v>
      </c>
      <c r="B453" s="39">
        <v>44722</v>
      </c>
      <c r="C453" s="38" t="s">
        <v>983</v>
      </c>
      <c r="D453" s="38" t="s">
        <v>88</v>
      </c>
      <c r="E453" s="40">
        <v>12207</v>
      </c>
      <c r="F453" s="41">
        <v>0.192</v>
      </c>
      <c r="G453" s="38">
        <v>36</v>
      </c>
      <c r="H453" s="38" t="s">
        <v>35</v>
      </c>
      <c r="I453" s="38" t="s">
        <v>60</v>
      </c>
      <c r="J453" s="38" t="s">
        <v>67</v>
      </c>
      <c r="K453" s="42">
        <v>101128</v>
      </c>
      <c r="L453" s="38" t="s">
        <v>85</v>
      </c>
      <c r="M453" s="43">
        <v>0.26</v>
      </c>
      <c r="N453" s="43">
        <v>0.76</v>
      </c>
      <c r="O453" s="42">
        <v>14550.74</v>
      </c>
      <c r="P453" s="42">
        <v>0</v>
      </c>
    </row>
    <row r="454" spans="1:16" ht="15" customHeight="1" x14ac:dyDescent="0.3">
      <c r="A454" s="38" t="s">
        <v>984</v>
      </c>
      <c r="B454" s="39">
        <v>44722</v>
      </c>
      <c r="C454" s="38" t="s">
        <v>985</v>
      </c>
      <c r="D454" s="38" t="s">
        <v>59</v>
      </c>
      <c r="E454" s="40">
        <v>18824</v>
      </c>
      <c r="F454" s="41">
        <v>0.156</v>
      </c>
      <c r="G454" s="38">
        <v>36</v>
      </c>
      <c r="H454" s="38" t="s">
        <v>35</v>
      </c>
      <c r="I454" s="38" t="s">
        <v>80</v>
      </c>
      <c r="J454" s="38" t="s">
        <v>67</v>
      </c>
      <c r="K454" s="42">
        <v>106474</v>
      </c>
      <c r="L454" s="38" t="s">
        <v>68</v>
      </c>
      <c r="M454" s="43">
        <v>0.2</v>
      </c>
      <c r="N454" s="43">
        <v>0.55000000000000004</v>
      </c>
      <c r="O454" s="42">
        <v>21760.54</v>
      </c>
      <c r="P454" s="42">
        <v>0</v>
      </c>
    </row>
    <row r="455" spans="1:16" ht="15" customHeight="1" x14ac:dyDescent="0.3">
      <c r="A455" s="44" t="s">
        <v>986</v>
      </c>
      <c r="B455" s="45">
        <v>44728</v>
      </c>
      <c r="C455" s="44" t="s">
        <v>987</v>
      </c>
      <c r="D455" s="44" t="s">
        <v>108</v>
      </c>
      <c r="E455" s="46">
        <v>11617</v>
      </c>
      <c r="F455" s="47">
        <v>0.20300000000000001</v>
      </c>
      <c r="G455" s="44">
        <v>36</v>
      </c>
      <c r="H455" s="44" t="s">
        <v>36</v>
      </c>
      <c r="I455" s="44" t="s">
        <v>257</v>
      </c>
      <c r="J455" s="44" t="s">
        <v>61</v>
      </c>
      <c r="K455" s="48">
        <v>90006</v>
      </c>
      <c r="L455" s="44" t="s">
        <v>85</v>
      </c>
      <c r="M455" s="49">
        <v>0.36</v>
      </c>
      <c r="N455" s="49">
        <v>0.86</v>
      </c>
      <c r="O455" s="48">
        <v>5667.24</v>
      </c>
      <c r="P455" s="48">
        <v>0</v>
      </c>
    </row>
    <row r="456" spans="1:16" ht="15" customHeight="1" x14ac:dyDescent="0.3">
      <c r="A456" s="38" t="s">
        <v>988</v>
      </c>
      <c r="B456" s="39">
        <v>44730</v>
      </c>
      <c r="C456" s="38" t="s">
        <v>989</v>
      </c>
      <c r="D456" s="38" t="s">
        <v>108</v>
      </c>
      <c r="E456" s="40">
        <v>20614</v>
      </c>
      <c r="F456" s="41">
        <v>9.6000000000000002E-2</v>
      </c>
      <c r="G456" s="38">
        <v>60</v>
      </c>
      <c r="H456" s="38" t="s">
        <v>35</v>
      </c>
      <c r="I456" s="38" t="s">
        <v>80</v>
      </c>
      <c r="J456" s="38" t="s">
        <v>67</v>
      </c>
      <c r="K456" s="42">
        <v>40878</v>
      </c>
      <c r="L456" s="38" t="s">
        <v>68</v>
      </c>
      <c r="M456" s="43">
        <v>0.28000000000000003</v>
      </c>
      <c r="N456" s="43">
        <v>0.89</v>
      </c>
      <c r="O456" s="42">
        <v>22592.94</v>
      </c>
      <c r="P456" s="42">
        <v>0</v>
      </c>
    </row>
    <row r="457" spans="1:16" ht="15" customHeight="1" x14ac:dyDescent="0.3">
      <c r="A457" s="50" t="s">
        <v>990</v>
      </c>
      <c r="B457" s="51">
        <v>44733</v>
      </c>
      <c r="C457" s="50" t="s">
        <v>991</v>
      </c>
      <c r="D457" s="50" t="s">
        <v>108</v>
      </c>
      <c r="E457" s="52">
        <v>9234</v>
      </c>
      <c r="F457" s="53">
        <v>0.14199999999999999</v>
      </c>
      <c r="G457" s="50">
        <v>36</v>
      </c>
      <c r="H457" s="50" t="s">
        <v>38</v>
      </c>
      <c r="I457" s="50" t="s">
        <v>60</v>
      </c>
      <c r="J457" s="50" t="s">
        <v>76</v>
      </c>
      <c r="K457" s="54">
        <v>131132</v>
      </c>
      <c r="L457" s="50" t="s">
        <v>68</v>
      </c>
      <c r="M457" s="55">
        <v>0.33</v>
      </c>
      <c r="N457" s="55">
        <v>0.63</v>
      </c>
      <c r="O457" s="54">
        <v>0</v>
      </c>
      <c r="P457" s="54">
        <v>0</v>
      </c>
    </row>
    <row r="458" spans="1:16" ht="15" customHeight="1" x14ac:dyDescent="0.3">
      <c r="A458" s="56" t="s">
        <v>992</v>
      </c>
      <c r="B458" s="57">
        <v>44733</v>
      </c>
      <c r="C458" s="56" t="s">
        <v>993</v>
      </c>
      <c r="D458" s="56" t="s">
        <v>88</v>
      </c>
      <c r="E458" s="58">
        <v>30619</v>
      </c>
      <c r="F458" s="59">
        <v>0.20399999999999999</v>
      </c>
      <c r="G458" s="56">
        <v>36</v>
      </c>
      <c r="H458" s="56" t="s">
        <v>37</v>
      </c>
      <c r="I458" s="56" t="s">
        <v>60</v>
      </c>
      <c r="J458" s="56" t="s">
        <v>61</v>
      </c>
      <c r="K458" s="60">
        <v>34765</v>
      </c>
      <c r="L458" s="56" t="s">
        <v>68</v>
      </c>
      <c r="M458" s="61">
        <v>0.27</v>
      </c>
      <c r="N458" s="61">
        <v>0.56999999999999995</v>
      </c>
      <c r="O458" s="60">
        <v>7701.21</v>
      </c>
      <c r="P458" s="60">
        <v>8440.1</v>
      </c>
    </row>
    <row r="459" spans="1:16" ht="15" customHeight="1" x14ac:dyDescent="0.3">
      <c r="A459" s="38" t="s">
        <v>994</v>
      </c>
      <c r="B459" s="39">
        <v>44734</v>
      </c>
      <c r="C459" s="38" t="s">
        <v>995</v>
      </c>
      <c r="D459" s="38" t="s">
        <v>65</v>
      </c>
      <c r="E459" s="40">
        <v>11177</v>
      </c>
      <c r="F459" s="41">
        <v>7.8E-2</v>
      </c>
      <c r="G459" s="38">
        <v>36</v>
      </c>
      <c r="H459" s="38" t="s">
        <v>35</v>
      </c>
      <c r="I459" s="38" t="s">
        <v>83</v>
      </c>
      <c r="J459" s="38" t="s">
        <v>84</v>
      </c>
      <c r="K459" s="42">
        <v>128132</v>
      </c>
      <c r="L459" s="38" t="s">
        <v>85</v>
      </c>
      <c r="M459" s="43">
        <v>0.44</v>
      </c>
      <c r="N459" s="43">
        <v>0.68</v>
      </c>
      <c r="O459" s="42">
        <v>12048.81</v>
      </c>
      <c r="P459" s="42">
        <v>0</v>
      </c>
    </row>
    <row r="460" spans="1:16" ht="15" customHeight="1" x14ac:dyDescent="0.3">
      <c r="A460" s="44" t="s">
        <v>996</v>
      </c>
      <c r="B460" s="45">
        <v>44736</v>
      </c>
      <c r="C460" s="44" t="s">
        <v>997</v>
      </c>
      <c r="D460" s="44" t="s">
        <v>125</v>
      </c>
      <c r="E460" s="46">
        <v>27723</v>
      </c>
      <c r="F460" s="47">
        <v>0.17499999999999999</v>
      </c>
      <c r="G460" s="44">
        <v>60</v>
      </c>
      <c r="H460" s="44" t="s">
        <v>36</v>
      </c>
      <c r="I460" s="44" t="s">
        <v>257</v>
      </c>
      <c r="J460" s="44" t="s">
        <v>67</v>
      </c>
      <c r="K460" s="48">
        <v>76525</v>
      </c>
      <c r="L460" s="44" t="s">
        <v>85</v>
      </c>
      <c r="M460" s="49">
        <v>0.15</v>
      </c>
      <c r="N460" s="49">
        <v>0.82</v>
      </c>
      <c r="O460" s="48">
        <v>12716.99</v>
      </c>
      <c r="P460" s="48">
        <v>0</v>
      </c>
    </row>
    <row r="461" spans="1:16" ht="15" customHeight="1" x14ac:dyDescent="0.3">
      <c r="A461" s="44" t="s">
        <v>998</v>
      </c>
      <c r="B461" s="45">
        <v>44737</v>
      </c>
      <c r="C461" s="44" t="s">
        <v>999</v>
      </c>
      <c r="D461" s="44" t="s">
        <v>138</v>
      </c>
      <c r="E461" s="46">
        <v>30866</v>
      </c>
      <c r="F461" s="47">
        <v>0.155</v>
      </c>
      <c r="G461" s="44">
        <v>60</v>
      </c>
      <c r="H461" s="44" t="s">
        <v>36</v>
      </c>
      <c r="I461" s="44" t="s">
        <v>66</v>
      </c>
      <c r="J461" s="44" t="s">
        <v>72</v>
      </c>
      <c r="K461" s="48">
        <v>62821</v>
      </c>
      <c r="L461" s="44" t="s">
        <v>62</v>
      </c>
      <c r="M461" s="49">
        <v>0.16</v>
      </c>
      <c r="N461" s="49">
        <v>0.65</v>
      </c>
      <c r="O461" s="48">
        <v>5435.42</v>
      </c>
      <c r="P461" s="48">
        <v>0</v>
      </c>
    </row>
    <row r="462" spans="1:16" ht="15" customHeight="1" x14ac:dyDescent="0.3">
      <c r="A462" s="56" t="s">
        <v>1000</v>
      </c>
      <c r="B462" s="57">
        <v>44738</v>
      </c>
      <c r="C462" s="56" t="s">
        <v>1001</v>
      </c>
      <c r="D462" s="56" t="s">
        <v>75</v>
      </c>
      <c r="E462" s="58">
        <v>5470</v>
      </c>
      <c r="F462" s="59">
        <v>0.127</v>
      </c>
      <c r="G462" s="56">
        <v>60</v>
      </c>
      <c r="H462" s="56" t="s">
        <v>37</v>
      </c>
      <c r="I462" s="56" t="s">
        <v>80</v>
      </c>
      <c r="J462" s="56" t="s">
        <v>84</v>
      </c>
      <c r="K462" s="60">
        <v>38597</v>
      </c>
      <c r="L462" s="56" t="s">
        <v>62</v>
      </c>
      <c r="M462" s="61">
        <v>0.3</v>
      </c>
      <c r="N462" s="61">
        <v>0.79</v>
      </c>
      <c r="O462" s="60">
        <v>1347.15</v>
      </c>
      <c r="P462" s="60">
        <v>2258.6</v>
      </c>
    </row>
    <row r="463" spans="1:16" ht="15" customHeight="1" x14ac:dyDescent="0.3">
      <c r="A463" s="44" t="s">
        <v>1002</v>
      </c>
      <c r="B463" s="45">
        <v>44739</v>
      </c>
      <c r="C463" s="44" t="s">
        <v>1003</v>
      </c>
      <c r="D463" s="44" t="s">
        <v>113</v>
      </c>
      <c r="E463" s="46">
        <v>30734</v>
      </c>
      <c r="F463" s="47">
        <v>0.13800000000000001</v>
      </c>
      <c r="G463" s="44">
        <v>36</v>
      </c>
      <c r="H463" s="44" t="s">
        <v>36</v>
      </c>
      <c r="I463" s="44" t="s">
        <v>80</v>
      </c>
      <c r="J463" s="44" t="s">
        <v>84</v>
      </c>
      <c r="K463" s="48">
        <v>76922</v>
      </c>
      <c r="L463" s="44" t="s">
        <v>85</v>
      </c>
      <c r="M463" s="49">
        <v>0.17</v>
      </c>
      <c r="N463" s="49">
        <v>0.8</v>
      </c>
      <c r="O463" s="48">
        <v>2244.9</v>
      </c>
      <c r="P463" s="48">
        <v>0</v>
      </c>
    </row>
    <row r="464" spans="1:16" ht="15" customHeight="1" x14ac:dyDescent="0.3">
      <c r="A464" s="44" t="s">
        <v>1004</v>
      </c>
      <c r="B464" s="45">
        <v>44742</v>
      </c>
      <c r="C464" s="44" t="s">
        <v>1005</v>
      </c>
      <c r="D464" s="44" t="s">
        <v>65</v>
      </c>
      <c r="E464" s="46">
        <v>5114</v>
      </c>
      <c r="F464" s="47">
        <v>0.13300000000000001</v>
      </c>
      <c r="G464" s="44">
        <v>36</v>
      </c>
      <c r="H464" s="44" t="s">
        <v>36</v>
      </c>
      <c r="I464" s="44" t="s">
        <v>60</v>
      </c>
      <c r="J464" s="44" t="s">
        <v>67</v>
      </c>
      <c r="K464" s="48">
        <v>30336</v>
      </c>
      <c r="L464" s="44" t="s">
        <v>62</v>
      </c>
      <c r="M464" s="49">
        <v>0.5</v>
      </c>
      <c r="N464" s="49">
        <v>0.69</v>
      </c>
      <c r="O464" s="48">
        <v>260.63</v>
      </c>
      <c r="P464" s="48">
        <v>0</v>
      </c>
    </row>
    <row r="465" spans="1:16" ht="15" customHeight="1" x14ac:dyDescent="0.3">
      <c r="A465" s="38" t="s">
        <v>1006</v>
      </c>
      <c r="B465" s="39">
        <v>44742</v>
      </c>
      <c r="C465" s="38" t="s">
        <v>1007</v>
      </c>
      <c r="D465" s="38" t="s">
        <v>65</v>
      </c>
      <c r="E465" s="40">
        <v>37487</v>
      </c>
      <c r="F465" s="41">
        <v>0.152</v>
      </c>
      <c r="G465" s="38">
        <v>36</v>
      </c>
      <c r="H465" s="38" t="s">
        <v>35</v>
      </c>
      <c r="I465" s="38" t="s">
        <v>60</v>
      </c>
      <c r="J465" s="38" t="s">
        <v>67</v>
      </c>
      <c r="K465" s="42">
        <v>116402</v>
      </c>
      <c r="L465" s="38" t="s">
        <v>68</v>
      </c>
      <c r="M465" s="43">
        <v>0.36</v>
      </c>
      <c r="N465" s="43">
        <v>0.68</v>
      </c>
      <c r="O465" s="42">
        <v>43185.02</v>
      </c>
      <c r="P465" s="42">
        <v>0</v>
      </c>
    </row>
    <row r="466" spans="1:16" ht="15" customHeight="1" x14ac:dyDescent="0.3">
      <c r="A466" s="44" t="s">
        <v>1008</v>
      </c>
      <c r="B466" s="45">
        <v>44743</v>
      </c>
      <c r="C466" s="44" t="s">
        <v>1009</v>
      </c>
      <c r="D466" s="44" t="s">
        <v>108</v>
      </c>
      <c r="E466" s="46">
        <v>19546</v>
      </c>
      <c r="F466" s="47">
        <v>0.19600000000000001</v>
      </c>
      <c r="G466" s="44">
        <v>36</v>
      </c>
      <c r="H466" s="44" t="s">
        <v>36</v>
      </c>
      <c r="I466" s="44" t="s">
        <v>66</v>
      </c>
      <c r="J466" s="44" t="s">
        <v>84</v>
      </c>
      <c r="K466" s="48">
        <v>58302</v>
      </c>
      <c r="L466" s="44" t="s">
        <v>68</v>
      </c>
      <c r="M466" s="49">
        <v>0.3</v>
      </c>
      <c r="N466" s="49">
        <v>0.88</v>
      </c>
      <c r="O466" s="48">
        <v>2381.36</v>
      </c>
      <c r="P466" s="48">
        <v>0</v>
      </c>
    </row>
    <row r="467" spans="1:16" ht="15" customHeight="1" x14ac:dyDescent="0.3">
      <c r="A467" s="44" t="s">
        <v>1010</v>
      </c>
      <c r="B467" s="45">
        <v>44744</v>
      </c>
      <c r="C467" s="44" t="s">
        <v>1011</v>
      </c>
      <c r="D467" s="44" t="s">
        <v>138</v>
      </c>
      <c r="E467" s="46">
        <v>24486</v>
      </c>
      <c r="F467" s="47">
        <v>0.122</v>
      </c>
      <c r="G467" s="44">
        <v>60</v>
      </c>
      <c r="H467" s="44" t="s">
        <v>36</v>
      </c>
      <c r="I467" s="44" t="s">
        <v>60</v>
      </c>
      <c r="J467" s="44" t="s">
        <v>61</v>
      </c>
      <c r="K467" s="48">
        <v>121400</v>
      </c>
      <c r="L467" s="44" t="s">
        <v>68</v>
      </c>
      <c r="M467" s="49">
        <v>0.39</v>
      </c>
      <c r="N467" s="49">
        <v>0.7</v>
      </c>
      <c r="O467" s="48">
        <v>9438.77</v>
      </c>
      <c r="P467" s="48">
        <v>0</v>
      </c>
    </row>
    <row r="468" spans="1:16" ht="15" customHeight="1" x14ac:dyDescent="0.3">
      <c r="A468" s="50" t="s">
        <v>1012</v>
      </c>
      <c r="B468" s="51">
        <v>44746</v>
      </c>
      <c r="C468" s="50" t="s">
        <v>1013</v>
      </c>
      <c r="D468" s="50" t="s">
        <v>138</v>
      </c>
      <c r="E468" s="52">
        <v>19752</v>
      </c>
      <c r="F468" s="53">
        <v>0.16700000000000001</v>
      </c>
      <c r="G468" s="50">
        <v>60</v>
      </c>
      <c r="H468" s="50" t="s">
        <v>38</v>
      </c>
      <c r="I468" s="50" t="s">
        <v>83</v>
      </c>
      <c r="J468" s="50" t="s">
        <v>72</v>
      </c>
      <c r="K468" s="54">
        <v>127057</v>
      </c>
      <c r="L468" s="50" t="s">
        <v>68</v>
      </c>
      <c r="M468" s="55">
        <v>0.43</v>
      </c>
      <c r="N468" s="55">
        <v>0.64</v>
      </c>
      <c r="O468" s="54">
        <v>0</v>
      </c>
      <c r="P468" s="54">
        <v>0</v>
      </c>
    </row>
    <row r="469" spans="1:16" ht="15" customHeight="1" x14ac:dyDescent="0.3">
      <c r="A469" s="38" t="s">
        <v>1014</v>
      </c>
      <c r="B469" s="39">
        <v>44746</v>
      </c>
      <c r="C469" s="38" t="s">
        <v>1015</v>
      </c>
      <c r="D469" s="38" t="s">
        <v>79</v>
      </c>
      <c r="E469" s="40">
        <v>33581</v>
      </c>
      <c r="F469" s="41">
        <v>0.14099999999999999</v>
      </c>
      <c r="G469" s="38">
        <v>60</v>
      </c>
      <c r="H469" s="38" t="s">
        <v>35</v>
      </c>
      <c r="I469" s="38" t="s">
        <v>60</v>
      </c>
      <c r="J469" s="38" t="s">
        <v>84</v>
      </c>
      <c r="K469" s="42">
        <v>119959</v>
      </c>
      <c r="L469" s="38" t="s">
        <v>85</v>
      </c>
      <c r="M469" s="43">
        <v>0.2</v>
      </c>
      <c r="N469" s="43">
        <v>0.81</v>
      </c>
      <c r="O469" s="42">
        <v>38315.919999999998</v>
      </c>
      <c r="P469" s="42">
        <v>0</v>
      </c>
    </row>
    <row r="470" spans="1:16" ht="15" customHeight="1" x14ac:dyDescent="0.3">
      <c r="A470" s="38" t="s">
        <v>1016</v>
      </c>
      <c r="B470" s="39">
        <v>44747</v>
      </c>
      <c r="C470" s="38" t="s">
        <v>1017</v>
      </c>
      <c r="D470" s="38" t="s">
        <v>88</v>
      </c>
      <c r="E470" s="40">
        <v>33123</v>
      </c>
      <c r="F470" s="41">
        <v>0.11</v>
      </c>
      <c r="G470" s="38">
        <v>36</v>
      </c>
      <c r="H470" s="38" t="s">
        <v>35</v>
      </c>
      <c r="I470" s="38" t="s">
        <v>83</v>
      </c>
      <c r="J470" s="38" t="s">
        <v>67</v>
      </c>
      <c r="K470" s="42">
        <v>73395</v>
      </c>
      <c r="L470" s="38" t="s">
        <v>85</v>
      </c>
      <c r="M470" s="43">
        <v>0.22</v>
      </c>
      <c r="N470" s="43">
        <v>0.75</v>
      </c>
      <c r="O470" s="42">
        <v>36766.53</v>
      </c>
      <c r="P470" s="42">
        <v>0</v>
      </c>
    </row>
    <row r="471" spans="1:16" ht="15" customHeight="1" x14ac:dyDescent="0.3">
      <c r="A471" s="38" t="s">
        <v>1018</v>
      </c>
      <c r="B471" s="39">
        <v>44747</v>
      </c>
      <c r="C471" s="38" t="s">
        <v>1019</v>
      </c>
      <c r="D471" s="38" t="s">
        <v>88</v>
      </c>
      <c r="E471" s="40">
        <v>27431</v>
      </c>
      <c r="F471" s="41">
        <v>0.215</v>
      </c>
      <c r="G471" s="38">
        <v>36</v>
      </c>
      <c r="H471" s="38" t="s">
        <v>35</v>
      </c>
      <c r="I471" s="38" t="s">
        <v>114</v>
      </c>
      <c r="J471" s="38" t="s">
        <v>76</v>
      </c>
      <c r="K471" s="42">
        <v>133466</v>
      </c>
      <c r="L471" s="38" t="s">
        <v>62</v>
      </c>
      <c r="M471" s="43">
        <v>0.3</v>
      </c>
      <c r="N471" s="43">
        <v>0.78</v>
      </c>
      <c r="O471" s="42">
        <v>33328.660000000003</v>
      </c>
      <c r="P471" s="42">
        <v>0</v>
      </c>
    </row>
    <row r="472" spans="1:16" ht="15" customHeight="1" x14ac:dyDescent="0.3">
      <c r="A472" s="44" t="s">
        <v>1020</v>
      </c>
      <c r="B472" s="45">
        <v>44748</v>
      </c>
      <c r="C472" s="44" t="s">
        <v>1021</v>
      </c>
      <c r="D472" s="44" t="s">
        <v>108</v>
      </c>
      <c r="E472" s="46">
        <v>8394</v>
      </c>
      <c r="F472" s="47">
        <v>0.13300000000000001</v>
      </c>
      <c r="G472" s="44">
        <v>36</v>
      </c>
      <c r="H472" s="44" t="s">
        <v>36</v>
      </c>
      <c r="I472" s="44" t="s">
        <v>83</v>
      </c>
      <c r="J472" s="44" t="s">
        <v>72</v>
      </c>
      <c r="K472" s="48">
        <v>50884</v>
      </c>
      <c r="L472" s="44" t="s">
        <v>85</v>
      </c>
      <c r="M472" s="49">
        <v>0.28000000000000003</v>
      </c>
      <c r="N472" s="49">
        <v>0.91</v>
      </c>
      <c r="O472" s="48">
        <v>2520.1</v>
      </c>
      <c r="P472" s="48">
        <v>0</v>
      </c>
    </row>
    <row r="473" spans="1:16" ht="15" customHeight="1" x14ac:dyDescent="0.3">
      <c r="A473" s="38" t="s">
        <v>1022</v>
      </c>
      <c r="B473" s="39">
        <v>44750</v>
      </c>
      <c r="C473" s="38" t="s">
        <v>1023</v>
      </c>
      <c r="D473" s="38" t="s">
        <v>59</v>
      </c>
      <c r="E473" s="40">
        <v>5255</v>
      </c>
      <c r="F473" s="41">
        <v>9.2999999999999999E-2</v>
      </c>
      <c r="G473" s="38">
        <v>60</v>
      </c>
      <c r="H473" s="38" t="s">
        <v>35</v>
      </c>
      <c r="I473" s="38" t="s">
        <v>257</v>
      </c>
      <c r="J473" s="38" t="s">
        <v>84</v>
      </c>
      <c r="K473" s="42">
        <v>146205</v>
      </c>
      <c r="L473" s="38" t="s">
        <v>85</v>
      </c>
      <c r="M473" s="43">
        <v>0.14000000000000001</v>
      </c>
      <c r="N473" s="43">
        <v>0.82</v>
      </c>
      <c r="O473" s="42">
        <v>5743.72</v>
      </c>
      <c r="P473" s="42">
        <v>0</v>
      </c>
    </row>
    <row r="474" spans="1:16" ht="15" customHeight="1" x14ac:dyDescent="0.3">
      <c r="A474" s="38" t="s">
        <v>1024</v>
      </c>
      <c r="B474" s="39">
        <v>44753</v>
      </c>
      <c r="C474" s="38" t="s">
        <v>1025</v>
      </c>
      <c r="D474" s="38" t="s">
        <v>88</v>
      </c>
      <c r="E474" s="40">
        <v>13651</v>
      </c>
      <c r="F474" s="41">
        <v>0.2</v>
      </c>
      <c r="G474" s="38">
        <v>36</v>
      </c>
      <c r="H474" s="38" t="s">
        <v>35</v>
      </c>
      <c r="I474" s="38" t="s">
        <v>60</v>
      </c>
      <c r="J474" s="38" t="s">
        <v>67</v>
      </c>
      <c r="K474" s="42">
        <v>68712</v>
      </c>
      <c r="L474" s="38" t="s">
        <v>62</v>
      </c>
      <c r="M474" s="43">
        <v>0.48</v>
      </c>
      <c r="N474" s="43">
        <v>0.51</v>
      </c>
      <c r="O474" s="42">
        <v>16381.2</v>
      </c>
      <c r="P474" s="42">
        <v>0</v>
      </c>
    </row>
    <row r="475" spans="1:16" ht="15" customHeight="1" x14ac:dyDescent="0.3">
      <c r="A475" s="50" t="s">
        <v>1026</v>
      </c>
      <c r="B475" s="51">
        <v>44755</v>
      </c>
      <c r="C475" s="50" t="s">
        <v>1027</v>
      </c>
      <c r="D475" s="50" t="s">
        <v>88</v>
      </c>
      <c r="E475" s="52">
        <v>32401</v>
      </c>
      <c r="F475" s="53">
        <v>0.224</v>
      </c>
      <c r="G475" s="50">
        <v>36</v>
      </c>
      <c r="H475" s="50" t="s">
        <v>38</v>
      </c>
      <c r="I475" s="50" t="s">
        <v>80</v>
      </c>
      <c r="J475" s="50" t="s">
        <v>61</v>
      </c>
      <c r="K475" s="54">
        <v>146192</v>
      </c>
      <c r="L475" s="50" t="s">
        <v>85</v>
      </c>
      <c r="M475" s="55">
        <v>0.16</v>
      </c>
      <c r="N475" s="55">
        <v>0.95</v>
      </c>
      <c r="O475" s="54">
        <v>0</v>
      </c>
      <c r="P475" s="54">
        <v>0</v>
      </c>
    </row>
    <row r="476" spans="1:16" ht="15" customHeight="1" x14ac:dyDescent="0.3">
      <c r="A476" s="56" t="s">
        <v>1028</v>
      </c>
      <c r="B476" s="57">
        <v>44756</v>
      </c>
      <c r="C476" s="56" t="s">
        <v>1029</v>
      </c>
      <c r="D476" s="56" t="s">
        <v>59</v>
      </c>
      <c r="E476" s="58">
        <v>17422</v>
      </c>
      <c r="F476" s="59">
        <v>5.7000000000000002E-2</v>
      </c>
      <c r="G476" s="56">
        <v>36</v>
      </c>
      <c r="H476" s="56" t="s">
        <v>37</v>
      </c>
      <c r="I476" s="56" t="s">
        <v>257</v>
      </c>
      <c r="J476" s="56" t="s">
        <v>72</v>
      </c>
      <c r="K476" s="60">
        <v>114425</v>
      </c>
      <c r="L476" s="56" t="s">
        <v>62</v>
      </c>
      <c r="M476" s="61">
        <v>0.46</v>
      </c>
      <c r="N476" s="61">
        <v>0.67</v>
      </c>
      <c r="O476" s="60">
        <v>4227.59</v>
      </c>
      <c r="P476" s="60">
        <v>6267.26</v>
      </c>
    </row>
    <row r="477" spans="1:16" ht="15" customHeight="1" x14ac:dyDescent="0.3">
      <c r="A477" s="38" t="s">
        <v>1030</v>
      </c>
      <c r="B477" s="39">
        <v>44757</v>
      </c>
      <c r="C477" s="38" t="s">
        <v>1031</v>
      </c>
      <c r="D477" s="38" t="s">
        <v>79</v>
      </c>
      <c r="E477" s="40">
        <v>8967</v>
      </c>
      <c r="F477" s="41">
        <v>7.0000000000000007E-2</v>
      </c>
      <c r="G477" s="38">
        <v>60</v>
      </c>
      <c r="H477" s="38" t="s">
        <v>35</v>
      </c>
      <c r="I477" s="38" t="s">
        <v>60</v>
      </c>
      <c r="J477" s="38" t="s">
        <v>84</v>
      </c>
      <c r="K477" s="42">
        <v>65440</v>
      </c>
      <c r="L477" s="38" t="s">
        <v>62</v>
      </c>
      <c r="M477" s="43">
        <v>0.31</v>
      </c>
      <c r="N477" s="43">
        <v>0.88</v>
      </c>
      <c r="O477" s="42">
        <v>9594.69</v>
      </c>
      <c r="P477" s="42">
        <v>0</v>
      </c>
    </row>
    <row r="478" spans="1:16" ht="15" customHeight="1" x14ac:dyDescent="0.3">
      <c r="A478" s="44" t="s">
        <v>1032</v>
      </c>
      <c r="B478" s="45">
        <v>44759</v>
      </c>
      <c r="C478" s="44" t="s">
        <v>1033</v>
      </c>
      <c r="D478" s="44" t="s">
        <v>108</v>
      </c>
      <c r="E478" s="46">
        <v>15663</v>
      </c>
      <c r="F478" s="47">
        <v>0.219</v>
      </c>
      <c r="G478" s="44">
        <v>60</v>
      </c>
      <c r="H478" s="44" t="s">
        <v>36</v>
      </c>
      <c r="I478" s="44" t="s">
        <v>60</v>
      </c>
      <c r="J478" s="44" t="s">
        <v>84</v>
      </c>
      <c r="K478" s="48">
        <v>71258</v>
      </c>
      <c r="L478" s="44" t="s">
        <v>62</v>
      </c>
      <c r="M478" s="49">
        <v>0.15</v>
      </c>
      <c r="N478" s="49">
        <v>0.85</v>
      </c>
      <c r="O478" s="48">
        <v>2433.83</v>
      </c>
      <c r="P478" s="48">
        <v>0</v>
      </c>
    </row>
    <row r="479" spans="1:16" ht="15" customHeight="1" x14ac:dyDescent="0.3">
      <c r="A479" s="44" t="s">
        <v>1034</v>
      </c>
      <c r="B479" s="45">
        <v>44759</v>
      </c>
      <c r="C479" s="44" t="s">
        <v>1035</v>
      </c>
      <c r="D479" s="44" t="s">
        <v>97</v>
      </c>
      <c r="E479" s="46">
        <v>26712</v>
      </c>
      <c r="F479" s="47">
        <v>0.13200000000000001</v>
      </c>
      <c r="G479" s="44">
        <v>60</v>
      </c>
      <c r="H479" s="44" t="s">
        <v>36</v>
      </c>
      <c r="I479" s="44" t="s">
        <v>83</v>
      </c>
      <c r="J479" s="44" t="s">
        <v>61</v>
      </c>
      <c r="K479" s="48">
        <v>126371</v>
      </c>
      <c r="L479" s="44" t="s">
        <v>68</v>
      </c>
      <c r="M479" s="49">
        <v>0.38</v>
      </c>
      <c r="N479" s="49">
        <v>0.78</v>
      </c>
      <c r="O479" s="48">
        <v>10402.379999999999</v>
      </c>
      <c r="P479" s="48">
        <v>0</v>
      </c>
    </row>
    <row r="480" spans="1:16" ht="15" customHeight="1" x14ac:dyDescent="0.3">
      <c r="A480" s="56" t="s">
        <v>1036</v>
      </c>
      <c r="B480" s="57">
        <v>44760</v>
      </c>
      <c r="C480" s="56" t="s">
        <v>1037</v>
      </c>
      <c r="D480" s="56" t="s">
        <v>108</v>
      </c>
      <c r="E480" s="58">
        <v>25077</v>
      </c>
      <c r="F480" s="59">
        <v>0.19800000000000001</v>
      </c>
      <c r="G480" s="56">
        <v>36</v>
      </c>
      <c r="H480" s="56" t="s">
        <v>37</v>
      </c>
      <c r="I480" s="56" t="s">
        <v>71</v>
      </c>
      <c r="J480" s="56" t="s">
        <v>76</v>
      </c>
      <c r="K480" s="60">
        <v>86233</v>
      </c>
      <c r="L480" s="56" t="s">
        <v>62</v>
      </c>
      <c r="M480" s="61">
        <v>0.42</v>
      </c>
      <c r="N480" s="61">
        <v>0.83</v>
      </c>
      <c r="O480" s="60">
        <v>4314.95</v>
      </c>
      <c r="P480" s="60">
        <v>11970.48</v>
      </c>
    </row>
    <row r="481" spans="1:16" ht="15" customHeight="1" x14ac:dyDescent="0.3">
      <c r="A481" s="50" t="s">
        <v>1038</v>
      </c>
      <c r="B481" s="51">
        <v>44760</v>
      </c>
      <c r="C481" s="50" t="s">
        <v>1039</v>
      </c>
      <c r="D481" s="50" t="s">
        <v>108</v>
      </c>
      <c r="E481" s="52">
        <v>28788</v>
      </c>
      <c r="F481" s="53">
        <v>8.5999999999999993E-2</v>
      </c>
      <c r="G481" s="50">
        <v>36</v>
      </c>
      <c r="H481" s="50" t="s">
        <v>38</v>
      </c>
      <c r="I481" s="50" t="s">
        <v>71</v>
      </c>
      <c r="J481" s="50" t="s">
        <v>76</v>
      </c>
      <c r="K481" s="54">
        <v>114481</v>
      </c>
      <c r="L481" s="50" t="s">
        <v>62</v>
      </c>
      <c r="M481" s="55">
        <v>0.2</v>
      </c>
      <c r="N481" s="55">
        <v>0.74</v>
      </c>
      <c r="O481" s="54">
        <v>0</v>
      </c>
      <c r="P481" s="54">
        <v>0</v>
      </c>
    </row>
    <row r="482" spans="1:16" ht="15" customHeight="1" x14ac:dyDescent="0.3">
      <c r="A482" s="44" t="s">
        <v>1040</v>
      </c>
      <c r="B482" s="45">
        <v>44761</v>
      </c>
      <c r="C482" s="44" t="s">
        <v>1041</v>
      </c>
      <c r="D482" s="44" t="s">
        <v>88</v>
      </c>
      <c r="E482" s="46">
        <v>2762</v>
      </c>
      <c r="F482" s="47">
        <v>5.1999999999999998E-2</v>
      </c>
      <c r="G482" s="44">
        <v>36</v>
      </c>
      <c r="H482" s="44" t="s">
        <v>36</v>
      </c>
      <c r="I482" s="44" t="s">
        <v>66</v>
      </c>
      <c r="J482" s="44" t="s">
        <v>72</v>
      </c>
      <c r="K482" s="48">
        <v>75276</v>
      </c>
      <c r="L482" s="44" t="s">
        <v>62</v>
      </c>
      <c r="M482" s="49">
        <v>0.31</v>
      </c>
      <c r="N482" s="49">
        <v>0.78</v>
      </c>
      <c r="O482" s="48">
        <v>1245.1099999999999</v>
      </c>
      <c r="P482" s="48">
        <v>0</v>
      </c>
    </row>
    <row r="483" spans="1:16" ht="15" customHeight="1" x14ac:dyDescent="0.3">
      <c r="A483" s="38" t="s">
        <v>1042</v>
      </c>
      <c r="B483" s="39">
        <v>44762</v>
      </c>
      <c r="C483" s="38" t="s">
        <v>1043</v>
      </c>
      <c r="D483" s="38" t="s">
        <v>113</v>
      </c>
      <c r="E483" s="40">
        <v>16048</v>
      </c>
      <c r="F483" s="41">
        <v>7.2999999999999995E-2</v>
      </c>
      <c r="G483" s="38">
        <v>60</v>
      </c>
      <c r="H483" s="38" t="s">
        <v>35</v>
      </c>
      <c r="I483" s="38" t="s">
        <v>80</v>
      </c>
      <c r="J483" s="38" t="s">
        <v>76</v>
      </c>
      <c r="K483" s="42">
        <v>75095</v>
      </c>
      <c r="L483" s="38" t="s">
        <v>85</v>
      </c>
      <c r="M483" s="43">
        <v>0.31</v>
      </c>
      <c r="N483" s="43">
        <v>0.76</v>
      </c>
      <c r="O483" s="42">
        <v>17219.5</v>
      </c>
      <c r="P483" s="42">
        <v>0</v>
      </c>
    </row>
    <row r="484" spans="1:16" ht="15" customHeight="1" x14ac:dyDescent="0.3">
      <c r="A484" s="38" t="s">
        <v>1044</v>
      </c>
      <c r="B484" s="39">
        <v>44762</v>
      </c>
      <c r="C484" s="38" t="s">
        <v>1045</v>
      </c>
      <c r="D484" s="38" t="s">
        <v>75</v>
      </c>
      <c r="E484" s="40">
        <v>3808</v>
      </c>
      <c r="F484" s="41">
        <v>0.187</v>
      </c>
      <c r="G484" s="38">
        <v>60</v>
      </c>
      <c r="H484" s="38" t="s">
        <v>35</v>
      </c>
      <c r="I484" s="38" t="s">
        <v>66</v>
      </c>
      <c r="J484" s="38" t="s">
        <v>76</v>
      </c>
      <c r="K484" s="42">
        <v>136609</v>
      </c>
      <c r="L484" s="38" t="s">
        <v>62</v>
      </c>
      <c r="M484" s="43">
        <v>0.18</v>
      </c>
      <c r="N484" s="43">
        <v>0.67</v>
      </c>
      <c r="O484" s="42">
        <v>4520.1000000000004</v>
      </c>
      <c r="P484" s="42">
        <v>0</v>
      </c>
    </row>
    <row r="485" spans="1:16" ht="15" customHeight="1" x14ac:dyDescent="0.3">
      <c r="A485" s="44" t="s">
        <v>1046</v>
      </c>
      <c r="B485" s="45">
        <v>44763</v>
      </c>
      <c r="C485" s="44" t="s">
        <v>1047</v>
      </c>
      <c r="D485" s="44" t="s">
        <v>108</v>
      </c>
      <c r="E485" s="46">
        <v>32982</v>
      </c>
      <c r="F485" s="47">
        <v>0.104</v>
      </c>
      <c r="G485" s="44">
        <v>36</v>
      </c>
      <c r="H485" s="44" t="s">
        <v>36</v>
      </c>
      <c r="I485" s="44" t="s">
        <v>80</v>
      </c>
      <c r="J485" s="44" t="s">
        <v>67</v>
      </c>
      <c r="K485" s="48">
        <v>108257</v>
      </c>
      <c r="L485" s="44" t="s">
        <v>85</v>
      </c>
      <c r="M485" s="49">
        <v>0.5</v>
      </c>
      <c r="N485" s="49">
        <v>0.6</v>
      </c>
      <c r="O485" s="48">
        <v>5386.12</v>
      </c>
      <c r="P485" s="48">
        <v>0</v>
      </c>
    </row>
    <row r="486" spans="1:16" ht="15" customHeight="1" x14ac:dyDescent="0.3">
      <c r="A486" s="38" t="s">
        <v>1048</v>
      </c>
      <c r="B486" s="39">
        <v>44765</v>
      </c>
      <c r="C486" s="38" t="s">
        <v>1049</v>
      </c>
      <c r="D486" s="38" t="s">
        <v>113</v>
      </c>
      <c r="E486" s="40">
        <v>26683</v>
      </c>
      <c r="F486" s="41">
        <v>0.16200000000000001</v>
      </c>
      <c r="G486" s="38">
        <v>60</v>
      </c>
      <c r="H486" s="38" t="s">
        <v>35</v>
      </c>
      <c r="I486" s="38" t="s">
        <v>80</v>
      </c>
      <c r="J486" s="38" t="s">
        <v>76</v>
      </c>
      <c r="K486" s="42">
        <v>78225</v>
      </c>
      <c r="L486" s="38" t="s">
        <v>62</v>
      </c>
      <c r="M486" s="43">
        <v>0.28000000000000003</v>
      </c>
      <c r="N486" s="43">
        <v>0.6</v>
      </c>
      <c r="O486" s="42">
        <v>31005.65</v>
      </c>
      <c r="P486" s="42">
        <v>0</v>
      </c>
    </row>
    <row r="487" spans="1:16" ht="15" customHeight="1" x14ac:dyDescent="0.3">
      <c r="A487" s="38" t="s">
        <v>1050</v>
      </c>
      <c r="B487" s="39">
        <v>44766</v>
      </c>
      <c r="C487" s="38" t="s">
        <v>1051</v>
      </c>
      <c r="D487" s="38" t="s">
        <v>79</v>
      </c>
      <c r="E487" s="40">
        <v>13713</v>
      </c>
      <c r="F487" s="41">
        <v>0.159</v>
      </c>
      <c r="G487" s="38">
        <v>36</v>
      </c>
      <c r="H487" s="38" t="s">
        <v>35</v>
      </c>
      <c r="I487" s="38" t="s">
        <v>60</v>
      </c>
      <c r="J487" s="38" t="s">
        <v>61</v>
      </c>
      <c r="K487" s="42">
        <v>82656</v>
      </c>
      <c r="L487" s="38" t="s">
        <v>62</v>
      </c>
      <c r="M487" s="43">
        <v>0.15</v>
      </c>
      <c r="N487" s="43">
        <v>0.94</v>
      </c>
      <c r="O487" s="42">
        <v>15893.37</v>
      </c>
      <c r="P487" s="42">
        <v>0</v>
      </c>
    </row>
    <row r="488" spans="1:16" ht="15" customHeight="1" x14ac:dyDescent="0.3">
      <c r="A488" s="38" t="s">
        <v>1052</v>
      </c>
      <c r="B488" s="39">
        <v>44766</v>
      </c>
      <c r="C488" s="38" t="s">
        <v>1053</v>
      </c>
      <c r="D488" s="38" t="s">
        <v>113</v>
      </c>
      <c r="E488" s="40">
        <v>6084</v>
      </c>
      <c r="F488" s="41">
        <v>8.2000000000000003E-2</v>
      </c>
      <c r="G488" s="38">
        <v>60</v>
      </c>
      <c r="H488" s="38" t="s">
        <v>35</v>
      </c>
      <c r="I488" s="38" t="s">
        <v>60</v>
      </c>
      <c r="J488" s="38" t="s">
        <v>84</v>
      </c>
      <c r="K488" s="42">
        <v>102374</v>
      </c>
      <c r="L488" s="38" t="s">
        <v>68</v>
      </c>
      <c r="M488" s="43">
        <v>0.39</v>
      </c>
      <c r="N488" s="43">
        <v>0.54</v>
      </c>
      <c r="O488" s="42">
        <v>6582.89</v>
      </c>
      <c r="P488" s="42">
        <v>0</v>
      </c>
    </row>
    <row r="489" spans="1:16" ht="15" customHeight="1" x14ac:dyDescent="0.3">
      <c r="A489" s="38" t="s">
        <v>1054</v>
      </c>
      <c r="B489" s="39">
        <v>44770</v>
      </c>
      <c r="C489" s="38" t="s">
        <v>1055</v>
      </c>
      <c r="D489" s="38" t="s">
        <v>138</v>
      </c>
      <c r="E489" s="40">
        <v>24164</v>
      </c>
      <c r="F489" s="41">
        <v>0.19</v>
      </c>
      <c r="G489" s="38">
        <v>36</v>
      </c>
      <c r="H489" s="38" t="s">
        <v>35</v>
      </c>
      <c r="I489" s="38" t="s">
        <v>83</v>
      </c>
      <c r="J489" s="38" t="s">
        <v>61</v>
      </c>
      <c r="K489" s="42">
        <v>87616</v>
      </c>
      <c r="L489" s="38" t="s">
        <v>85</v>
      </c>
      <c r="M489" s="43">
        <v>0.31</v>
      </c>
      <c r="N489" s="43">
        <v>0.64</v>
      </c>
      <c r="O489" s="42">
        <v>28755.16</v>
      </c>
      <c r="P489" s="42">
        <v>0</v>
      </c>
    </row>
    <row r="490" spans="1:16" ht="15" customHeight="1" x14ac:dyDescent="0.3">
      <c r="A490" s="38" t="s">
        <v>1056</v>
      </c>
      <c r="B490" s="39">
        <v>44770</v>
      </c>
      <c r="C490" s="38" t="s">
        <v>1057</v>
      </c>
      <c r="D490" s="38" t="s">
        <v>125</v>
      </c>
      <c r="E490" s="40">
        <v>12130</v>
      </c>
      <c r="F490" s="41">
        <v>5.0999999999999997E-2</v>
      </c>
      <c r="G490" s="38">
        <v>36</v>
      </c>
      <c r="H490" s="38" t="s">
        <v>35</v>
      </c>
      <c r="I490" s="38" t="s">
        <v>60</v>
      </c>
      <c r="J490" s="38" t="s">
        <v>61</v>
      </c>
      <c r="K490" s="42">
        <v>48074</v>
      </c>
      <c r="L490" s="38" t="s">
        <v>62</v>
      </c>
      <c r="M490" s="43">
        <v>0.32</v>
      </c>
      <c r="N490" s="43">
        <v>0.87</v>
      </c>
      <c r="O490" s="42">
        <v>12748.63</v>
      </c>
      <c r="P490" s="42">
        <v>0</v>
      </c>
    </row>
    <row r="491" spans="1:16" ht="15" customHeight="1" x14ac:dyDescent="0.3">
      <c r="A491" s="38" t="s">
        <v>1058</v>
      </c>
      <c r="B491" s="39">
        <v>44771</v>
      </c>
      <c r="C491" s="38" t="s">
        <v>1059</v>
      </c>
      <c r="D491" s="38" t="s">
        <v>65</v>
      </c>
      <c r="E491" s="40">
        <v>36150</v>
      </c>
      <c r="F491" s="41">
        <v>5.3999999999999999E-2</v>
      </c>
      <c r="G491" s="38">
        <v>60</v>
      </c>
      <c r="H491" s="38" t="s">
        <v>35</v>
      </c>
      <c r="I491" s="38" t="s">
        <v>83</v>
      </c>
      <c r="J491" s="38" t="s">
        <v>84</v>
      </c>
      <c r="K491" s="42">
        <v>63418</v>
      </c>
      <c r="L491" s="38" t="s">
        <v>85</v>
      </c>
      <c r="M491" s="43">
        <v>0.16</v>
      </c>
      <c r="N491" s="43">
        <v>0.59</v>
      </c>
      <c r="O491" s="42">
        <v>38102.1</v>
      </c>
      <c r="P491" s="42">
        <v>0</v>
      </c>
    </row>
    <row r="492" spans="1:16" ht="15" customHeight="1" x14ac:dyDescent="0.3">
      <c r="A492" s="44" t="s">
        <v>1060</v>
      </c>
      <c r="B492" s="45">
        <v>44771</v>
      </c>
      <c r="C492" s="44" t="s">
        <v>1061</v>
      </c>
      <c r="D492" s="44" t="s">
        <v>88</v>
      </c>
      <c r="E492" s="46">
        <v>29495</v>
      </c>
      <c r="F492" s="47">
        <v>7.1999999999999995E-2</v>
      </c>
      <c r="G492" s="44">
        <v>36</v>
      </c>
      <c r="H492" s="44" t="s">
        <v>36</v>
      </c>
      <c r="I492" s="44" t="s">
        <v>83</v>
      </c>
      <c r="J492" s="44" t="s">
        <v>61</v>
      </c>
      <c r="K492" s="48">
        <v>148360</v>
      </c>
      <c r="L492" s="44" t="s">
        <v>68</v>
      </c>
      <c r="M492" s="49">
        <v>0.11</v>
      </c>
      <c r="N492" s="49">
        <v>0.91</v>
      </c>
      <c r="O492" s="48">
        <v>8429.58</v>
      </c>
      <c r="P492" s="48">
        <v>0</v>
      </c>
    </row>
    <row r="493" spans="1:16" ht="15" customHeight="1" x14ac:dyDescent="0.3">
      <c r="A493" s="44" t="s">
        <v>1062</v>
      </c>
      <c r="B493" s="45">
        <v>44771</v>
      </c>
      <c r="C493" s="44" t="s">
        <v>1063</v>
      </c>
      <c r="D493" s="44" t="s">
        <v>65</v>
      </c>
      <c r="E493" s="46">
        <v>8843</v>
      </c>
      <c r="F493" s="47">
        <v>0.183</v>
      </c>
      <c r="G493" s="44">
        <v>36</v>
      </c>
      <c r="H493" s="44" t="s">
        <v>36</v>
      </c>
      <c r="I493" s="44" t="s">
        <v>66</v>
      </c>
      <c r="J493" s="44" t="s">
        <v>76</v>
      </c>
      <c r="K493" s="48">
        <v>127859</v>
      </c>
      <c r="L493" s="44" t="s">
        <v>68</v>
      </c>
      <c r="M493" s="49">
        <v>0.42</v>
      </c>
      <c r="N493" s="49">
        <v>0.89</v>
      </c>
      <c r="O493" s="48">
        <v>3549.8</v>
      </c>
      <c r="P493" s="48">
        <v>0</v>
      </c>
    </row>
    <row r="494" spans="1:16" ht="15" customHeight="1" x14ac:dyDescent="0.3">
      <c r="A494" s="56" t="s">
        <v>1064</v>
      </c>
      <c r="B494" s="57">
        <v>44774</v>
      </c>
      <c r="C494" s="56" t="s">
        <v>1065</v>
      </c>
      <c r="D494" s="56" t="s">
        <v>97</v>
      </c>
      <c r="E494" s="58">
        <v>21662</v>
      </c>
      <c r="F494" s="59">
        <v>0.217</v>
      </c>
      <c r="G494" s="56">
        <v>36</v>
      </c>
      <c r="H494" s="56" t="s">
        <v>37</v>
      </c>
      <c r="I494" s="56" t="s">
        <v>80</v>
      </c>
      <c r="J494" s="56" t="s">
        <v>72</v>
      </c>
      <c r="K494" s="60">
        <v>46999</v>
      </c>
      <c r="L494" s="56" t="s">
        <v>62</v>
      </c>
      <c r="M494" s="61">
        <v>0.19</v>
      </c>
      <c r="N494" s="61">
        <v>0.84</v>
      </c>
      <c r="O494" s="60">
        <v>7336.37</v>
      </c>
      <c r="P494" s="60">
        <v>1820.32</v>
      </c>
    </row>
    <row r="495" spans="1:16" ht="15" customHeight="1" x14ac:dyDescent="0.3">
      <c r="A495" s="38" t="s">
        <v>1066</v>
      </c>
      <c r="B495" s="39">
        <v>44774</v>
      </c>
      <c r="C495" s="38" t="s">
        <v>1067</v>
      </c>
      <c r="D495" s="38" t="s">
        <v>65</v>
      </c>
      <c r="E495" s="40">
        <v>39138</v>
      </c>
      <c r="F495" s="41">
        <v>6.7000000000000004E-2</v>
      </c>
      <c r="G495" s="38">
        <v>36</v>
      </c>
      <c r="H495" s="38" t="s">
        <v>35</v>
      </c>
      <c r="I495" s="38" t="s">
        <v>80</v>
      </c>
      <c r="J495" s="38" t="s">
        <v>76</v>
      </c>
      <c r="K495" s="42">
        <v>78920</v>
      </c>
      <c r="L495" s="38" t="s">
        <v>68</v>
      </c>
      <c r="M495" s="43">
        <v>0.21</v>
      </c>
      <c r="N495" s="43">
        <v>0.57999999999999996</v>
      </c>
      <c r="O495" s="42">
        <v>41760.25</v>
      </c>
      <c r="P495" s="42">
        <v>0</v>
      </c>
    </row>
    <row r="496" spans="1:16" ht="15" customHeight="1" x14ac:dyDescent="0.3">
      <c r="A496" s="38" t="s">
        <v>1068</v>
      </c>
      <c r="B496" s="39">
        <v>44775</v>
      </c>
      <c r="C496" s="38" t="s">
        <v>1069</v>
      </c>
      <c r="D496" s="38" t="s">
        <v>138</v>
      </c>
      <c r="E496" s="40">
        <v>3475</v>
      </c>
      <c r="F496" s="41">
        <v>9.4E-2</v>
      </c>
      <c r="G496" s="38">
        <v>36</v>
      </c>
      <c r="H496" s="38" t="s">
        <v>35</v>
      </c>
      <c r="I496" s="38" t="s">
        <v>71</v>
      </c>
      <c r="J496" s="38" t="s">
        <v>61</v>
      </c>
      <c r="K496" s="42">
        <v>68134</v>
      </c>
      <c r="L496" s="38" t="s">
        <v>68</v>
      </c>
      <c r="M496" s="43">
        <v>0.21</v>
      </c>
      <c r="N496" s="43">
        <v>0.78</v>
      </c>
      <c r="O496" s="42">
        <v>3801.65</v>
      </c>
      <c r="P496" s="42">
        <v>0</v>
      </c>
    </row>
    <row r="497" spans="1:16" ht="15" customHeight="1" x14ac:dyDescent="0.3">
      <c r="A497" s="56" t="s">
        <v>1070</v>
      </c>
      <c r="B497" s="57">
        <v>44775</v>
      </c>
      <c r="C497" s="56" t="s">
        <v>1071</v>
      </c>
      <c r="D497" s="56" t="s">
        <v>138</v>
      </c>
      <c r="E497" s="58">
        <v>13411</v>
      </c>
      <c r="F497" s="59">
        <v>0.185</v>
      </c>
      <c r="G497" s="56">
        <v>36</v>
      </c>
      <c r="H497" s="56" t="s">
        <v>37</v>
      </c>
      <c r="I497" s="56" t="s">
        <v>60</v>
      </c>
      <c r="J497" s="56" t="s">
        <v>61</v>
      </c>
      <c r="K497" s="60">
        <v>60266</v>
      </c>
      <c r="L497" s="56" t="s">
        <v>68</v>
      </c>
      <c r="M497" s="61">
        <v>0.45</v>
      </c>
      <c r="N497" s="61">
        <v>0.61</v>
      </c>
      <c r="O497" s="60">
        <v>2332.75</v>
      </c>
      <c r="P497" s="60">
        <v>2064.9299999999998</v>
      </c>
    </row>
    <row r="498" spans="1:16" ht="15" customHeight="1" x14ac:dyDescent="0.3">
      <c r="A498" s="44" t="s">
        <v>1072</v>
      </c>
      <c r="B498" s="45">
        <v>44777</v>
      </c>
      <c r="C498" s="44" t="s">
        <v>1073</v>
      </c>
      <c r="D498" s="44" t="s">
        <v>65</v>
      </c>
      <c r="E498" s="46">
        <v>18482</v>
      </c>
      <c r="F498" s="47">
        <v>0.113</v>
      </c>
      <c r="G498" s="44">
        <v>60</v>
      </c>
      <c r="H498" s="44" t="s">
        <v>36</v>
      </c>
      <c r="I498" s="44" t="s">
        <v>83</v>
      </c>
      <c r="J498" s="44" t="s">
        <v>84</v>
      </c>
      <c r="K498" s="48">
        <v>94575</v>
      </c>
      <c r="L498" s="44" t="s">
        <v>68</v>
      </c>
      <c r="M498" s="49">
        <v>0.42</v>
      </c>
      <c r="N498" s="49">
        <v>0.95</v>
      </c>
      <c r="O498" s="48">
        <v>3142.25</v>
      </c>
      <c r="P498" s="48">
        <v>0</v>
      </c>
    </row>
    <row r="499" spans="1:16" ht="15" customHeight="1" x14ac:dyDescent="0.3">
      <c r="A499" s="38" t="s">
        <v>1074</v>
      </c>
      <c r="B499" s="39">
        <v>44783</v>
      </c>
      <c r="C499" s="38" t="s">
        <v>1075</v>
      </c>
      <c r="D499" s="38" t="s">
        <v>125</v>
      </c>
      <c r="E499" s="40">
        <v>19850</v>
      </c>
      <c r="F499" s="41">
        <v>0.14599999999999999</v>
      </c>
      <c r="G499" s="38">
        <v>60</v>
      </c>
      <c r="H499" s="38" t="s">
        <v>35</v>
      </c>
      <c r="I499" s="38" t="s">
        <v>83</v>
      </c>
      <c r="J499" s="38" t="s">
        <v>84</v>
      </c>
      <c r="K499" s="42">
        <v>65959</v>
      </c>
      <c r="L499" s="38" t="s">
        <v>68</v>
      </c>
      <c r="M499" s="43">
        <v>0.12</v>
      </c>
      <c r="N499" s="43">
        <v>0.74</v>
      </c>
      <c r="O499" s="42">
        <v>22748.1</v>
      </c>
      <c r="P499" s="42">
        <v>0</v>
      </c>
    </row>
    <row r="500" spans="1:16" ht="15" customHeight="1" x14ac:dyDescent="0.3">
      <c r="A500" s="38" t="s">
        <v>1076</v>
      </c>
      <c r="B500" s="39">
        <v>44784</v>
      </c>
      <c r="C500" s="38" t="s">
        <v>1077</v>
      </c>
      <c r="D500" s="38" t="s">
        <v>79</v>
      </c>
      <c r="E500" s="40">
        <v>27122</v>
      </c>
      <c r="F500" s="41">
        <v>7.0999999999999994E-2</v>
      </c>
      <c r="G500" s="38">
        <v>60</v>
      </c>
      <c r="H500" s="38" t="s">
        <v>35</v>
      </c>
      <c r="I500" s="38" t="s">
        <v>71</v>
      </c>
      <c r="J500" s="38" t="s">
        <v>84</v>
      </c>
      <c r="K500" s="42">
        <v>88160</v>
      </c>
      <c r="L500" s="38" t="s">
        <v>68</v>
      </c>
      <c r="M500" s="43">
        <v>0.27</v>
      </c>
      <c r="N500" s="43">
        <v>0.62</v>
      </c>
      <c r="O500" s="42">
        <v>29047.66</v>
      </c>
      <c r="P500" s="42">
        <v>0</v>
      </c>
    </row>
    <row r="501" spans="1:16" ht="15" customHeight="1" x14ac:dyDescent="0.3">
      <c r="A501" s="38" t="s">
        <v>1078</v>
      </c>
      <c r="B501" s="39">
        <v>44784</v>
      </c>
      <c r="C501" s="38" t="s">
        <v>1079</v>
      </c>
      <c r="D501" s="38" t="s">
        <v>65</v>
      </c>
      <c r="E501" s="40">
        <v>9601</v>
      </c>
      <c r="F501" s="41">
        <v>0.107</v>
      </c>
      <c r="G501" s="38">
        <v>60</v>
      </c>
      <c r="H501" s="38" t="s">
        <v>35</v>
      </c>
      <c r="I501" s="38" t="s">
        <v>66</v>
      </c>
      <c r="J501" s="38" t="s">
        <v>72</v>
      </c>
      <c r="K501" s="42">
        <v>141497</v>
      </c>
      <c r="L501" s="38" t="s">
        <v>68</v>
      </c>
      <c r="M501" s="43">
        <v>0.18</v>
      </c>
      <c r="N501" s="43">
        <v>0.73</v>
      </c>
      <c r="O501" s="42">
        <v>10628.31</v>
      </c>
      <c r="P501" s="42">
        <v>0</v>
      </c>
    </row>
    <row r="502" spans="1:16" ht="15" customHeight="1" x14ac:dyDescent="0.3">
      <c r="A502" s="38" t="s">
        <v>1080</v>
      </c>
      <c r="B502" s="39">
        <v>44786</v>
      </c>
      <c r="C502" s="38" t="s">
        <v>1081</v>
      </c>
      <c r="D502" s="38" t="s">
        <v>65</v>
      </c>
      <c r="E502" s="40">
        <v>7430</v>
      </c>
      <c r="F502" s="41">
        <v>0.13</v>
      </c>
      <c r="G502" s="38">
        <v>60</v>
      </c>
      <c r="H502" s="38" t="s">
        <v>35</v>
      </c>
      <c r="I502" s="38" t="s">
        <v>257</v>
      </c>
      <c r="J502" s="38" t="s">
        <v>72</v>
      </c>
      <c r="K502" s="42">
        <v>72946</v>
      </c>
      <c r="L502" s="38" t="s">
        <v>62</v>
      </c>
      <c r="M502" s="43">
        <v>0.4</v>
      </c>
      <c r="N502" s="43">
        <v>0.56000000000000005</v>
      </c>
      <c r="O502" s="42">
        <v>8395.9</v>
      </c>
      <c r="P502" s="42">
        <v>0</v>
      </c>
    </row>
    <row r="503" spans="1:16" ht="15" customHeight="1" x14ac:dyDescent="0.3">
      <c r="A503" s="38" t="s">
        <v>1082</v>
      </c>
      <c r="B503" s="39">
        <v>44789</v>
      </c>
      <c r="C503" s="38" t="s">
        <v>1083</v>
      </c>
      <c r="D503" s="38" t="s">
        <v>125</v>
      </c>
      <c r="E503" s="40">
        <v>6895</v>
      </c>
      <c r="F503" s="41">
        <v>0.2</v>
      </c>
      <c r="G503" s="38">
        <v>60</v>
      </c>
      <c r="H503" s="38" t="s">
        <v>35</v>
      </c>
      <c r="I503" s="38" t="s">
        <v>114</v>
      </c>
      <c r="J503" s="38" t="s">
        <v>84</v>
      </c>
      <c r="K503" s="42">
        <v>94712</v>
      </c>
      <c r="L503" s="38" t="s">
        <v>62</v>
      </c>
      <c r="M503" s="43">
        <v>0.2</v>
      </c>
      <c r="N503" s="43">
        <v>0.55000000000000004</v>
      </c>
      <c r="O503" s="42">
        <v>8274</v>
      </c>
      <c r="P503" s="42">
        <v>0</v>
      </c>
    </row>
    <row r="504" spans="1:16" ht="15" customHeight="1" x14ac:dyDescent="0.3">
      <c r="A504" s="38" t="s">
        <v>1084</v>
      </c>
      <c r="B504" s="39">
        <v>44789</v>
      </c>
      <c r="C504" s="38" t="s">
        <v>1085</v>
      </c>
      <c r="D504" s="38" t="s">
        <v>65</v>
      </c>
      <c r="E504" s="40">
        <v>30300</v>
      </c>
      <c r="F504" s="41">
        <v>0.19500000000000001</v>
      </c>
      <c r="G504" s="38">
        <v>36</v>
      </c>
      <c r="H504" s="38" t="s">
        <v>35</v>
      </c>
      <c r="I504" s="38" t="s">
        <v>83</v>
      </c>
      <c r="J504" s="38" t="s">
        <v>84</v>
      </c>
      <c r="K504" s="42">
        <v>121748</v>
      </c>
      <c r="L504" s="38" t="s">
        <v>68</v>
      </c>
      <c r="M504" s="43">
        <v>0.11</v>
      </c>
      <c r="N504" s="43">
        <v>0.6</v>
      </c>
      <c r="O504" s="42">
        <v>36208.5</v>
      </c>
      <c r="P504" s="42">
        <v>0</v>
      </c>
    </row>
    <row r="505" spans="1:16" ht="15" customHeight="1" x14ac:dyDescent="0.3">
      <c r="A505" s="38" t="s">
        <v>1086</v>
      </c>
      <c r="B505" s="39">
        <v>44791</v>
      </c>
      <c r="C505" s="38" t="s">
        <v>1087</v>
      </c>
      <c r="D505" s="38" t="s">
        <v>97</v>
      </c>
      <c r="E505" s="40">
        <v>37914</v>
      </c>
      <c r="F505" s="41">
        <v>0.19900000000000001</v>
      </c>
      <c r="G505" s="38">
        <v>36</v>
      </c>
      <c r="H505" s="38" t="s">
        <v>35</v>
      </c>
      <c r="I505" s="38" t="s">
        <v>257</v>
      </c>
      <c r="J505" s="38" t="s">
        <v>72</v>
      </c>
      <c r="K505" s="42">
        <v>125432</v>
      </c>
      <c r="L505" s="38" t="s">
        <v>62</v>
      </c>
      <c r="M505" s="43">
        <v>0.23</v>
      </c>
      <c r="N505" s="43">
        <v>0.62</v>
      </c>
      <c r="O505" s="42">
        <v>45458.89</v>
      </c>
      <c r="P505" s="42">
        <v>0</v>
      </c>
    </row>
    <row r="506" spans="1:16" ht="15" customHeight="1" x14ac:dyDescent="0.3">
      <c r="A506" s="44" t="s">
        <v>1088</v>
      </c>
      <c r="B506" s="45">
        <v>44792</v>
      </c>
      <c r="C506" s="44" t="s">
        <v>1089</v>
      </c>
      <c r="D506" s="44" t="s">
        <v>88</v>
      </c>
      <c r="E506" s="46">
        <v>19333</v>
      </c>
      <c r="F506" s="47">
        <v>8.4000000000000005E-2</v>
      </c>
      <c r="G506" s="44">
        <v>36</v>
      </c>
      <c r="H506" s="44" t="s">
        <v>36</v>
      </c>
      <c r="I506" s="44" t="s">
        <v>80</v>
      </c>
      <c r="J506" s="44" t="s">
        <v>67</v>
      </c>
      <c r="K506" s="48">
        <v>135078</v>
      </c>
      <c r="L506" s="44" t="s">
        <v>85</v>
      </c>
      <c r="M506" s="49">
        <v>0.49</v>
      </c>
      <c r="N506" s="49">
        <v>0.84</v>
      </c>
      <c r="O506" s="48">
        <v>4102.62</v>
      </c>
      <c r="P506" s="48">
        <v>0</v>
      </c>
    </row>
    <row r="507" spans="1:16" ht="15" customHeight="1" x14ac:dyDescent="0.3">
      <c r="A507" s="38" t="s">
        <v>1090</v>
      </c>
      <c r="B507" s="39">
        <v>44794</v>
      </c>
      <c r="C507" s="38" t="s">
        <v>1091</v>
      </c>
      <c r="D507" s="38" t="s">
        <v>88</v>
      </c>
      <c r="E507" s="40">
        <v>31137</v>
      </c>
      <c r="F507" s="41">
        <v>9.7000000000000003E-2</v>
      </c>
      <c r="G507" s="38">
        <v>36</v>
      </c>
      <c r="H507" s="38" t="s">
        <v>35</v>
      </c>
      <c r="I507" s="38" t="s">
        <v>83</v>
      </c>
      <c r="J507" s="38" t="s">
        <v>76</v>
      </c>
      <c r="K507" s="42">
        <v>42497</v>
      </c>
      <c r="L507" s="38" t="s">
        <v>85</v>
      </c>
      <c r="M507" s="43">
        <v>0.13</v>
      </c>
      <c r="N507" s="43">
        <v>0.93</v>
      </c>
      <c r="O507" s="42">
        <v>34157.29</v>
      </c>
      <c r="P507" s="42">
        <v>0</v>
      </c>
    </row>
    <row r="508" spans="1:16" ht="15" customHeight="1" x14ac:dyDescent="0.3">
      <c r="A508" s="38" t="s">
        <v>1092</v>
      </c>
      <c r="B508" s="39">
        <v>44797</v>
      </c>
      <c r="C508" s="38" t="s">
        <v>1093</v>
      </c>
      <c r="D508" s="38" t="s">
        <v>108</v>
      </c>
      <c r="E508" s="40">
        <v>5853</v>
      </c>
      <c r="F508" s="41">
        <v>0.23</v>
      </c>
      <c r="G508" s="38">
        <v>60</v>
      </c>
      <c r="H508" s="38" t="s">
        <v>35</v>
      </c>
      <c r="I508" s="38" t="s">
        <v>80</v>
      </c>
      <c r="J508" s="38" t="s">
        <v>67</v>
      </c>
      <c r="K508" s="42">
        <v>81756</v>
      </c>
      <c r="L508" s="38" t="s">
        <v>85</v>
      </c>
      <c r="M508" s="43">
        <v>0.28000000000000003</v>
      </c>
      <c r="N508" s="43">
        <v>0.92</v>
      </c>
      <c r="O508" s="42">
        <v>7199.19</v>
      </c>
      <c r="P508" s="42">
        <v>0</v>
      </c>
    </row>
    <row r="509" spans="1:16" ht="15" customHeight="1" x14ac:dyDescent="0.3">
      <c r="A509" s="44" t="s">
        <v>1094</v>
      </c>
      <c r="B509" s="45">
        <v>44797</v>
      </c>
      <c r="C509" s="44" t="s">
        <v>1095</v>
      </c>
      <c r="D509" s="44" t="s">
        <v>97</v>
      </c>
      <c r="E509" s="46">
        <v>33496</v>
      </c>
      <c r="F509" s="47">
        <v>7.0000000000000007E-2</v>
      </c>
      <c r="G509" s="44">
        <v>36</v>
      </c>
      <c r="H509" s="44" t="s">
        <v>36</v>
      </c>
      <c r="I509" s="44" t="s">
        <v>114</v>
      </c>
      <c r="J509" s="44" t="s">
        <v>67</v>
      </c>
      <c r="K509" s="48">
        <v>41410</v>
      </c>
      <c r="L509" s="44" t="s">
        <v>62</v>
      </c>
      <c r="M509" s="49">
        <v>0.42</v>
      </c>
      <c r="N509" s="49">
        <v>0.65</v>
      </c>
      <c r="O509" s="48">
        <v>10105.27</v>
      </c>
      <c r="P509" s="48">
        <v>0</v>
      </c>
    </row>
    <row r="510" spans="1:16" ht="15" customHeight="1" x14ac:dyDescent="0.3">
      <c r="A510" s="44" t="s">
        <v>1096</v>
      </c>
      <c r="B510" s="45">
        <v>44800</v>
      </c>
      <c r="C510" s="44" t="s">
        <v>1097</v>
      </c>
      <c r="D510" s="44" t="s">
        <v>65</v>
      </c>
      <c r="E510" s="46">
        <v>37035</v>
      </c>
      <c r="F510" s="47">
        <v>0.219</v>
      </c>
      <c r="G510" s="44">
        <v>60</v>
      </c>
      <c r="H510" s="44" t="s">
        <v>36</v>
      </c>
      <c r="I510" s="44" t="s">
        <v>114</v>
      </c>
      <c r="J510" s="44" t="s">
        <v>67</v>
      </c>
      <c r="K510" s="48">
        <v>113106</v>
      </c>
      <c r="L510" s="44" t="s">
        <v>68</v>
      </c>
      <c r="M510" s="49">
        <v>0.13</v>
      </c>
      <c r="N510" s="49">
        <v>0.59</v>
      </c>
      <c r="O510" s="48">
        <v>13999.45</v>
      </c>
      <c r="P510" s="48">
        <v>0</v>
      </c>
    </row>
    <row r="511" spans="1:16" ht="15" customHeight="1" x14ac:dyDescent="0.3">
      <c r="A511" s="44" t="s">
        <v>1098</v>
      </c>
      <c r="B511" s="45">
        <v>44800</v>
      </c>
      <c r="C511" s="44" t="s">
        <v>1099</v>
      </c>
      <c r="D511" s="44" t="s">
        <v>97</v>
      </c>
      <c r="E511" s="46">
        <v>7924</v>
      </c>
      <c r="F511" s="47">
        <v>8.3000000000000004E-2</v>
      </c>
      <c r="G511" s="44">
        <v>60</v>
      </c>
      <c r="H511" s="44" t="s">
        <v>36</v>
      </c>
      <c r="I511" s="44" t="s">
        <v>80</v>
      </c>
      <c r="J511" s="44" t="s">
        <v>84</v>
      </c>
      <c r="K511" s="48">
        <v>83772</v>
      </c>
      <c r="L511" s="44" t="s">
        <v>68</v>
      </c>
      <c r="M511" s="49">
        <v>0.46</v>
      </c>
      <c r="N511" s="49">
        <v>0.56000000000000005</v>
      </c>
      <c r="O511" s="48">
        <v>3561.75</v>
      </c>
      <c r="P511" s="48">
        <v>0</v>
      </c>
    </row>
    <row r="512" spans="1:16" ht="15" customHeight="1" x14ac:dyDescent="0.3">
      <c r="A512" s="38" t="s">
        <v>1100</v>
      </c>
      <c r="B512" s="39">
        <v>44801</v>
      </c>
      <c r="C512" s="38" t="s">
        <v>1101</v>
      </c>
      <c r="D512" s="38" t="s">
        <v>113</v>
      </c>
      <c r="E512" s="40">
        <v>17967</v>
      </c>
      <c r="F512" s="41">
        <v>0.19800000000000001</v>
      </c>
      <c r="G512" s="38">
        <v>60</v>
      </c>
      <c r="H512" s="38" t="s">
        <v>35</v>
      </c>
      <c r="I512" s="38" t="s">
        <v>83</v>
      </c>
      <c r="J512" s="38" t="s">
        <v>84</v>
      </c>
      <c r="K512" s="42">
        <v>81539</v>
      </c>
      <c r="L512" s="38" t="s">
        <v>68</v>
      </c>
      <c r="M512" s="43">
        <v>0.12</v>
      </c>
      <c r="N512" s="43">
        <v>0.77</v>
      </c>
      <c r="O512" s="42">
        <v>21524.47</v>
      </c>
      <c r="P512" s="42">
        <v>0</v>
      </c>
    </row>
    <row r="513" spans="1:16" ht="15" customHeight="1" x14ac:dyDescent="0.3">
      <c r="A513" s="44" t="s">
        <v>1102</v>
      </c>
      <c r="B513" s="45">
        <v>44803</v>
      </c>
      <c r="C513" s="44" t="s">
        <v>1103</v>
      </c>
      <c r="D513" s="44" t="s">
        <v>97</v>
      </c>
      <c r="E513" s="46">
        <v>19088</v>
      </c>
      <c r="F513" s="47">
        <v>0.11799999999999999</v>
      </c>
      <c r="G513" s="44">
        <v>60</v>
      </c>
      <c r="H513" s="44" t="s">
        <v>36</v>
      </c>
      <c r="I513" s="44" t="s">
        <v>60</v>
      </c>
      <c r="J513" s="44" t="s">
        <v>76</v>
      </c>
      <c r="K513" s="48">
        <v>44334</v>
      </c>
      <c r="L513" s="44" t="s">
        <v>85</v>
      </c>
      <c r="M513" s="49">
        <v>0.16</v>
      </c>
      <c r="N513" s="49">
        <v>0.71</v>
      </c>
      <c r="O513" s="48">
        <v>9337.7000000000007</v>
      </c>
      <c r="P513" s="48">
        <v>0</v>
      </c>
    </row>
    <row r="514" spans="1:16" ht="15" customHeight="1" x14ac:dyDescent="0.3">
      <c r="A514" s="44" t="s">
        <v>1104</v>
      </c>
      <c r="B514" s="45">
        <v>44805</v>
      </c>
      <c r="C514" s="44" t="s">
        <v>1105</v>
      </c>
      <c r="D514" s="44" t="s">
        <v>59</v>
      </c>
      <c r="E514" s="46">
        <v>35801</v>
      </c>
      <c r="F514" s="47">
        <v>0.215</v>
      </c>
      <c r="G514" s="44">
        <v>60</v>
      </c>
      <c r="H514" s="44" t="s">
        <v>36</v>
      </c>
      <c r="I514" s="44" t="s">
        <v>83</v>
      </c>
      <c r="J514" s="44" t="s">
        <v>76</v>
      </c>
      <c r="K514" s="48">
        <v>67019</v>
      </c>
      <c r="L514" s="44" t="s">
        <v>85</v>
      </c>
      <c r="M514" s="49">
        <v>0.21</v>
      </c>
      <c r="N514" s="49">
        <v>0.69</v>
      </c>
      <c r="O514" s="48">
        <v>10056.99</v>
      </c>
      <c r="P514" s="48">
        <v>0</v>
      </c>
    </row>
    <row r="515" spans="1:16" ht="15" customHeight="1" x14ac:dyDescent="0.3">
      <c r="A515" s="44" t="s">
        <v>1106</v>
      </c>
      <c r="B515" s="45">
        <v>44806</v>
      </c>
      <c r="C515" s="44" t="s">
        <v>1107</v>
      </c>
      <c r="D515" s="44" t="s">
        <v>97</v>
      </c>
      <c r="E515" s="46">
        <v>33784</v>
      </c>
      <c r="F515" s="47">
        <v>0.23599999999999999</v>
      </c>
      <c r="G515" s="44">
        <v>60</v>
      </c>
      <c r="H515" s="44" t="s">
        <v>36</v>
      </c>
      <c r="I515" s="44" t="s">
        <v>80</v>
      </c>
      <c r="J515" s="44" t="s">
        <v>76</v>
      </c>
      <c r="K515" s="48">
        <v>92671</v>
      </c>
      <c r="L515" s="44" t="s">
        <v>68</v>
      </c>
      <c r="M515" s="49">
        <v>0.42</v>
      </c>
      <c r="N515" s="49">
        <v>0.85</v>
      </c>
      <c r="O515" s="48">
        <v>9201.2900000000009</v>
      </c>
      <c r="P515" s="48">
        <v>0</v>
      </c>
    </row>
    <row r="516" spans="1:16" ht="15" customHeight="1" x14ac:dyDescent="0.3">
      <c r="A516" s="38" t="s">
        <v>1108</v>
      </c>
      <c r="B516" s="39">
        <v>44809</v>
      </c>
      <c r="C516" s="38" t="s">
        <v>1109</v>
      </c>
      <c r="D516" s="38" t="s">
        <v>59</v>
      </c>
      <c r="E516" s="40">
        <v>12122</v>
      </c>
      <c r="F516" s="41">
        <v>6.9000000000000006E-2</v>
      </c>
      <c r="G516" s="38">
        <v>60</v>
      </c>
      <c r="H516" s="38" t="s">
        <v>35</v>
      </c>
      <c r="I516" s="38" t="s">
        <v>60</v>
      </c>
      <c r="J516" s="38" t="s">
        <v>67</v>
      </c>
      <c r="K516" s="42">
        <v>107241</v>
      </c>
      <c r="L516" s="38" t="s">
        <v>62</v>
      </c>
      <c r="M516" s="43">
        <v>0.18</v>
      </c>
      <c r="N516" s="43">
        <v>0.6</v>
      </c>
      <c r="O516" s="42">
        <v>12958.42</v>
      </c>
      <c r="P516" s="42">
        <v>0</v>
      </c>
    </row>
    <row r="517" spans="1:16" ht="15" customHeight="1" x14ac:dyDescent="0.3">
      <c r="A517" s="44" t="s">
        <v>1110</v>
      </c>
      <c r="B517" s="45">
        <v>44809</v>
      </c>
      <c r="C517" s="44" t="s">
        <v>1111</v>
      </c>
      <c r="D517" s="44" t="s">
        <v>59</v>
      </c>
      <c r="E517" s="46">
        <v>9073</v>
      </c>
      <c r="F517" s="47">
        <v>6.9000000000000006E-2</v>
      </c>
      <c r="G517" s="44">
        <v>36</v>
      </c>
      <c r="H517" s="44" t="s">
        <v>36</v>
      </c>
      <c r="I517" s="44" t="s">
        <v>80</v>
      </c>
      <c r="J517" s="44" t="s">
        <v>67</v>
      </c>
      <c r="K517" s="48">
        <v>65595</v>
      </c>
      <c r="L517" s="44" t="s">
        <v>68</v>
      </c>
      <c r="M517" s="49">
        <v>0.33</v>
      </c>
      <c r="N517" s="49">
        <v>0.64</v>
      </c>
      <c r="O517" s="48">
        <v>1522.35</v>
      </c>
      <c r="P517" s="48">
        <v>0</v>
      </c>
    </row>
    <row r="518" spans="1:16" ht="15" customHeight="1" x14ac:dyDescent="0.3">
      <c r="A518" s="38" t="s">
        <v>1112</v>
      </c>
      <c r="B518" s="39">
        <v>44809</v>
      </c>
      <c r="C518" s="38" t="s">
        <v>1113</v>
      </c>
      <c r="D518" s="38" t="s">
        <v>88</v>
      </c>
      <c r="E518" s="40">
        <v>38650</v>
      </c>
      <c r="F518" s="41">
        <v>6.2E-2</v>
      </c>
      <c r="G518" s="38">
        <v>60</v>
      </c>
      <c r="H518" s="38" t="s">
        <v>35</v>
      </c>
      <c r="I518" s="38" t="s">
        <v>66</v>
      </c>
      <c r="J518" s="38" t="s">
        <v>84</v>
      </c>
      <c r="K518" s="42">
        <v>147449</v>
      </c>
      <c r="L518" s="38" t="s">
        <v>68</v>
      </c>
      <c r="M518" s="43">
        <v>0.42</v>
      </c>
      <c r="N518" s="43">
        <v>0.61</v>
      </c>
      <c r="O518" s="42">
        <v>41046.300000000003</v>
      </c>
      <c r="P518" s="42">
        <v>0</v>
      </c>
    </row>
    <row r="519" spans="1:16" ht="15" customHeight="1" x14ac:dyDescent="0.3">
      <c r="A519" s="44" t="s">
        <v>1114</v>
      </c>
      <c r="B519" s="45">
        <v>44812</v>
      </c>
      <c r="C519" s="44" t="s">
        <v>1115</v>
      </c>
      <c r="D519" s="44" t="s">
        <v>125</v>
      </c>
      <c r="E519" s="46">
        <v>11793</v>
      </c>
      <c r="F519" s="47">
        <v>9.8000000000000004E-2</v>
      </c>
      <c r="G519" s="44">
        <v>36</v>
      </c>
      <c r="H519" s="44" t="s">
        <v>36</v>
      </c>
      <c r="I519" s="44" t="s">
        <v>60</v>
      </c>
      <c r="J519" s="44" t="s">
        <v>67</v>
      </c>
      <c r="K519" s="48">
        <v>105301</v>
      </c>
      <c r="L519" s="44" t="s">
        <v>85</v>
      </c>
      <c r="M519" s="49">
        <v>0.16</v>
      </c>
      <c r="N519" s="49">
        <v>0.82</v>
      </c>
      <c r="O519" s="48">
        <v>3779.2</v>
      </c>
      <c r="P519" s="48">
        <v>0</v>
      </c>
    </row>
    <row r="520" spans="1:16" ht="15" customHeight="1" x14ac:dyDescent="0.3">
      <c r="A520" s="44" t="s">
        <v>1116</v>
      </c>
      <c r="B520" s="45">
        <v>44813</v>
      </c>
      <c r="C520" s="44" t="s">
        <v>1117</v>
      </c>
      <c r="D520" s="44" t="s">
        <v>88</v>
      </c>
      <c r="E520" s="46">
        <v>31015</v>
      </c>
      <c r="F520" s="47">
        <v>8.3000000000000004E-2</v>
      </c>
      <c r="G520" s="44">
        <v>36</v>
      </c>
      <c r="H520" s="44" t="s">
        <v>36</v>
      </c>
      <c r="I520" s="44" t="s">
        <v>66</v>
      </c>
      <c r="J520" s="44" t="s">
        <v>84</v>
      </c>
      <c r="K520" s="48">
        <v>108653</v>
      </c>
      <c r="L520" s="44" t="s">
        <v>62</v>
      </c>
      <c r="M520" s="49">
        <v>0.26</v>
      </c>
      <c r="N520" s="49">
        <v>0.92</v>
      </c>
      <c r="O520" s="48">
        <v>5879.4</v>
      </c>
      <c r="P520" s="48">
        <v>0</v>
      </c>
    </row>
    <row r="521" spans="1:16" ht="15" customHeight="1" x14ac:dyDescent="0.3">
      <c r="A521" s="38" t="s">
        <v>1118</v>
      </c>
      <c r="B521" s="39">
        <v>44819</v>
      </c>
      <c r="C521" s="38" t="s">
        <v>1119</v>
      </c>
      <c r="D521" s="38" t="s">
        <v>108</v>
      </c>
      <c r="E521" s="40">
        <v>22627</v>
      </c>
      <c r="F521" s="41">
        <v>0.14199999999999999</v>
      </c>
      <c r="G521" s="38">
        <v>60</v>
      </c>
      <c r="H521" s="38" t="s">
        <v>35</v>
      </c>
      <c r="I521" s="38" t="s">
        <v>66</v>
      </c>
      <c r="J521" s="38" t="s">
        <v>61</v>
      </c>
      <c r="K521" s="42">
        <v>102307</v>
      </c>
      <c r="L521" s="38" t="s">
        <v>62</v>
      </c>
      <c r="M521" s="43">
        <v>0.15</v>
      </c>
      <c r="N521" s="43">
        <v>0.72</v>
      </c>
      <c r="O521" s="42">
        <v>25840.03</v>
      </c>
      <c r="P521" s="42">
        <v>0</v>
      </c>
    </row>
    <row r="522" spans="1:16" ht="15" customHeight="1" x14ac:dyDescent="0.3">
      <c r="A522" s="38" t="s">
        <v>1120</v>
      </c>
      <c r="B522" s="39">
        <v>44820</v>
      </c>
      <c r="C522" s="38" t="s">
        <v>1121</v>
      </c>
      <c r="D522" s="38" t="s">
        <v>65</v>
      </c>
      <c r="E522" s="40">
        <v>39197</v>
      </c>
      <c r="F522" s="41">
        <v>0.24</v>
      </c>
      <c r="G522" s="38">
        <v>36</v>
      </c>
      <c r="H522" s="38" t="s">
        <v>35</v>
      </c>
      <c r="I522" s="38" t="s">
        <v>60</v>
      </c>
      <c r="J522" s="38" t="s">
        <v>72</v>
      </c>
      <c r="K522" s="42">
        <v>30203</v>
      </c>
      <c r="L522" s="38" t="s">
        <v>68</v>
      </c>
      <c r="M522" s="43">
        <v>0.33</v>
      </c>
      <c r="N522" s="43">
        <v>0.83</v>
      </c>
      <c r="O522" s="42">
        <v>48604.28</v>
      </c>
      <c r="P522" s="42">
        <v>0</v>
      </c>
    </row>
    <row r="523" spans="1:16" ht="15" customHeight="1" x14ac:dyDescent="0.3">
      <c r="A523" s="38" t="s">
        <v>1122</v>
      </c>
      <c r="B523" s="39">
        <v>44820</v>
      </c>
      <c r="C523" s="38" t="s">
        <v>1123</v>
      </c>
      <c r="D523" s="38" t="s">
        <v>108</v>
      </c>
      <c r="E523" s="40">
        <v>7894</v>
      </c>
      <c r="F523" s="41">
        <v>0.153</v>
      </c>
      <c r="G523" s="38">
        <v>36</v>
      </c>
      <c r="H523" s="38" t="s">
        <v>35</v>
      </c>
      <c r="I523" s="38" t="s">
        <v>60</v>
      </c>
      <c r="J523" s="38" t="s">
        <v>67</v>
      </c>
      <c r="K523" s="42">
        <v>83664</v>
      </c>
      <c r="L523" s="38" t="s">
        <v>85</v>
      </c>
      <c r="M523" s="43">
        <v>0.17</v>
      </c>
      <c r="N523" s="43">
        <v>0.62</v>
      </c>
      <c r="O523" s="42">
        <v>9101.7800000000007</v>
      </c>
      <c r="P523" s="42">
        <v>0</v>
      </c>
    </row>
    <row r="524" spans="1:16" ht="15" customHeight="1" x14ac:dyDescent="0.3">
      <c r="A524" s="44" t="s">
        <v>1124</v>
      </c>
      <c r="B524" s="45">
        <v>44820</v>
      </c>
      <c r="C524" s="44" t="s">
        <v>1125</v>
      </c>
      <c r="D524" s="44" t="s">
        <v>97</v>
      </c>
      <c r="E524" s="46">
        <v>34997</v>
      </c>
      <c r="F524" s="47">
        <v>0.214</v>
      </c>
      <c r="G524" s="44">
        <v>36</v>
      </c>
      <c r="H524" s="44" t="s">
        <v>36</v>
      </c>
      <c r="I524" s="44" t="s">
        <v>60</v>
      </c>
      <c r="J524" s="44" t="s">
        <v>84</v>
      </c>
      <c r="K524" s="48">
        <v>50789</v>
      </c>
      <c r="L524" s="44" t="s">
        <v>62</v>
      </c>
      <c r="M524" s="49">
        <v>0.39</v>
      </c>
      <c r="N524" s="49">
        <v>0.88</v>
      </c>
      <c r="O524" s="48">
        <v>15275.01</v>
      </c>
      <c r="P524" s="48">
        <v>0</v>
      </c>
    </row>
    <row r="525" spans="1:16" ht="15" customHeight="1" x14ac:dyDescent="0.3">
      <c r="A525" s="38" t="s">
        <v>1126</v>
      </c>
      <c r="B525" s="39">
        <v>44821</v>
      </c>
      <c r="C525" s="38" t="s">
        <v>1127</v>
      </c>
      <c r="D525" s="38" t="s">
        <v>97</v>
      </c>
      <c r="E525" s="40">
        <v>35958</v>
      </c>
      <c r="F525" s="41">
        <v>0.08</v>
      </c>
      <c r="G525" s="38">
        <v>36</v>
      </c>
      <c r="H525" s="38" t="s">
        <v>35</v>
      </c>
      <c r="I525" s="38" t="s">
        <v>66</v>
      </c>
      <c r="J525" s="38" t="s">
        <v>76</v>
      </c>
      <c r="K525" s="42">
        <v>107485</v>
      </c>
      <c r="L525" s="38" t="s">
        <v>85</v>
      </c>
      <c r="M525" s="43">
        <v>0.36</v>
      </c>
      <c r="N525" s="43">
        <v>0.89</v>
      </c>
      <c r="O525" s="42">
        <v>38834.639999999999</v>
      </c>
      <c r="P525" s="42">
        <v>0</v>
      </c>
    </row>
    <row r="526" spans="1:16" ht="15" customHeight="1" x14ac:dyDescent="0.3">
      <c r="A526" s="38" t="s">
        <v>1128</v>
      </c>
      <c r="B526" s="39">
        <v>44822</v>
      </c>
      <c r="C526" s="38" t="s">
        <v>1129</v>
      </c>
      <c r="D526" s="38" t="s">
        <v>108</v>
      </c>
      <c r="E526" s="40">
        <v>23890</v>
      </c>
      <c r="F526" s="41">
        <v>9.5000000000000001E-2</v>
      </c>
      <c r="G526" s="38">
        <v>36</v>
      </c>
      <c r="H526" s="38" t="s">
        <v>35</v>
      </c>
      <c r="I526" s="38" t="s">
        <v>60</v>
      </c>
      <c r="J526" s="38" t="s">
        <v>84</v>
      </c>
      <c r="K526" s="42">
        <v>144019</v>
      </c>
      <c r="L526" s="38" t="s">
        <v>68</v>
      </c>
      <c r="M526" s="43">
        <v>0.15</v>
      </c>
      <c r="N526" s="43">
        <v>0.86</v>
      </c>
      <c r="O526" s="42">
        <v>26159.55</v>
      </c>
      <c r="P526" s="42">
        <v>0</v>
      </c>
    </row>
    <row r="527" spans="1:16" ht="15" customHeight="1" x14ac:dyDescent="0.3">
      <c r="A527" s="38" t="s">
        <v>1130</v>
      </c>
      <c r="B527" s="39">
        <v>44823</v>
      </c>
      <c r="C527" s="38" t="s">
        <v>1131</v>
      </c>
      <c r="D527" s="38" t="s">
        <v>59</v>
      </c>
      <c r="E527" s="40">
        <v>16901</v>
      </c>
      <c r="F527" s="41">
        <v>7.0999999999999994E-2</v>
      </c>
      <c r="G527" s="38">
        <v>60</v>
      </c>
      <c r="H527" s="38" t="s">
        <v>35</v>
      </c>
      <c r="I527" s="38" t="s">
        <v>80</v>
      </c>
      <c r="J527" s="38" t="s">
        <v>84</v>
      </c>
      <c r="K527" s="42">
        <v>112103</v>
      </c>
      <c r="L527" s="38" t="s">
        <v>68</v>
      </c>
      <c r="M527" s="43">
        <v>0.22</v>
      </c>
      <c r="N527" s="43">
        <v>0.82</v>
      </c>
      <c r="O527" s="42">
        <v>18100.97</v>
      </c>
      <c r="P527" s="42">
        <v>0</v>
      </c>
    </row>
    <row r="528" spans="1:16" ht="15" customHeight="1" x14ac:dyDescent="0.3">
      <c r="A528" s="38" t="s">
        <v>1132</v>
      </c>
      <c r="B528" s="39">
        <v>44824</v>
      </c>
      <c r="C528" s="38" t="s">
        <v>1133</v>
      </c>
      <c r="D528" s="38" t="s">
        <v>75</v>
      </c>
      <c r="E528" s="40">
        <v>14737</v>
      </c>
      <c r="F528" s="41">
        <v>7.4999999999999997E-2</v>
      </c>
      <c r="G528" s="38">
        <v>36</v>
      </c>
      <c r="H528" s="38" t="s">
        <v>35</v>
      </c>
      <c r="I528" s="38" t="s">
        <v>60</v>
      </c>
      <c r="J528" s="38" t="s">
        <v>76</v>
      </c>
      <c r="K528" s="42">
        <v>36859</v>
      </c>
      <c r="L528" s="38" t="s">
        <v>85</v>
      </c>
      <c r="M528" s="43">
        <v>0.19</v>
      </c>
      <c r="N528" s="43">
        <v>0.8</v>
      </c>
      <c r="O528" s="42">
        <v>15842.28</v>
      </c>
      <c r="P528" s="42">
        <v>0</v>
      </c>
    </row>
    <row r="529" spans="1:16" ht="15" customHeight="1" x14ac:dyDescent="0.3">
      <c r="A529" s="44" t="s">
        <v>1134</v>
      </c>
      <c r="B529" s="45">
        <v>44824</v>
      </c>
      <c r="C529" s="44" t="s">
        <v>1135</v>
      </c>
      <c r="D529" s="44" t="s">
        <v>65</v>
      </c>
      <c r="E529" s="46">
        <v>8657</v>
      </c>
      <c r="F529" s="47">
        <v>0.14199999999999999</v>
      </c>
      <c r="G529" s="44">
        <v>36</v>
      </c>
      <c r="H529" s="44" t="s">
        <v>36</v>
      </c>
      <c r="I529" s="44" t="s">
        <v>71</v>
      </c>
      <c r="J529" s="44" t="s">
        <v>76</v>
      </c>
      <c r="K529" s="48">
        <v>49259</v>
      </c>
      <c r="L529" s="44" t="s">
        <v>62</v>
      </c>
      <c r="M529" s="49">
        <v>0.14000000000000001</v>
      </c>
      <c r="N529" s="49">
        <v>0.54</v>
      </c>
      <c r="O529" s="48">
        <v>3840.38</v>
      </c>
      <c r="P529" s="48">
        <v>0</v>
      </c>
    </row>
    <row r="530" spans="1:16" ht="15" customHeight="1" x14ac:dyDescent="0.3">
      <c r="A530" s="38" t="s">
        <v>1136</v>
      </c>
      <c r="B530" s="39">
        <v>44828</v>
      </c>
      <c r="C530" s="38" t="s">
        <v>1137</v>
      </c>
      <c r="D530" s="38" t="s">
        <v>65</v>
      </c>
      <c r="E530" s="40">
        <v>11749</v>
      </c>
      <c r="F530" s="41">
        <v>6.2E-2</v>
      </c>
      <c r="G530" s="38">
        <v>60</v>
      </c>
      <c r="H530" s="38" t="s">
        <v>35</v>
      </c>
      <c r="I530" s="38" t="s">
        <v>80</v>
      </c>
      <c r="J530" s="38" t="s">
        <v>67</v>
      </c>
      <c r="K530" s="42">
        <v>48816</v>
      </c>
      <c r="L530" s="38" t="s">
        <v>85</v>
      </c>
      <c r="M530" s="43">
        <v>0.12</v>
      </c>
      <c r="N530" s="43">
        <v>0.59</v>
      </c>
      <c r="O530" s="42">
        <v>12477.44</v>
      </c>
      <c r="P530" s="42">
        <v>0</v>
      </c>
    </row>
    <row r="531" spans="1:16" ht="15" customHeight="1" x14ac:dyDescent="0.3">
      <c r="A531" s="56" t="s">
        <v>1138</v>
      </c>
      <c r="B531" s="57">
        <v>44829</v>
      </c>
      <c r="C531" s="56" t="s">
        <v>1139</v>
      </c>
      <c r="D531" s="56" t="s">
        <v>108</v>
      </c>
      <c r="E531" s="58">
        <v>29687</v>
      </c>
      <c r="F531" s="59">
        <v>0.15</v>
      </c>
      <c r="G531" s="56">
        <v>60</v>
      </c>
      <c r="H531" s="56" t="s">
        <v>37</v>
      </c>
      <c r="I531" s="56" t="s">
        <v>83</v>
      </c>
      <c r="J531" s="56" t="s">
        <v>76</v>
      </c>
      <c r="K531" s="60">
        <v>106509</v>
      </c>
      <c r="L531" s="56" t="s">
        <v>85</v>
      </c>
      <c r="M531" s="61">
        <v>0.47</v>
      </c>
      <c r="N531" s="61">
        <v>0.72</v>
      </c>
      <c r="O531" s="60">
        <v>7898.5</v>
      </c>
      <c r="P531" s="60">
        <v>6839.85</v>
      </c>
    </row>
    <row r="532" spans="1:16" ht="15" customHeight="1" x14ac:dyDescent="0.3">
      <c r="A532" s="38" t="s">
        <v>1140</v>
      </c>
      <c r="B532" s="39">
        <v>44830</v>
      </c>
      <c r="C532" s="38" t="s">
        <v>1141</v>
      </c>
      <c r="D532" s="38" t="s">
        <v>79</v>
      </c>
      <c r="E532" s="40">
        <v>24650</v>
      </c>
      <c r="F532" s="41">
        <v>8.4000000000000005E-2</v>
      </c>
      <c r="G532" s="38">
        <v>36</v>
      </c>
      <c r="H532" s="38" t="s">
        <v>35</v>
      </c>
      <c r="I532" s="38" t="s">
        <v>60</v>
      </c>
      <c r="J532" s="38" t="s">
        <v>72</v>
      </c>
      <c r="K532" s="42">
        <v>49288</v>
      </c>
      <c r="L532" s="38" t="s">
        <v>85</v>
      </c>
      <c r="M532" s="43">
        <v>0.16</v>
      </c>
      <c r="N532" s="43">
        <v>0.63</v>
      </c>
      <c r="O532" s="42">
        <v>26720.6</v>
      </c>
      <c r="P532" s="42">
        <v>0</v>
      </c>
    </row>
    <row r="533" spans="1:16" ht="15" customHeight="1" x14ac:dyDescent="0.3">
      <c r="A533" s="38" t="s">
        <v>1142</v>
      </c>
      <c r="B533" s="39">
        <v>44830</v>
      </c>
      <c r="C533" s="38" t="s">
        <v>1143</v>
      </c>
      <c r="D533" s="38" t="s">
        <v>113</v>
      </c>
      <c r="E533" s="40">
        <v>6704</v>
      </c>
      <c r="F533" s="41">
        <v>0.16600000000000001</v>
      </c>
      <c r="G533" s="38">
        <v>60</v>
      </c>
      <c r="H533" s="38" t="s">
        <v>35</v>
      </c>
      <c r="I533" s="38" t="s">
        <v>80</v>
      </c>
      <c r="J533" s="38" t="s">
        <v>76</v>
      </c>
      <c r="K533" s="42">
        <v>49942</v>
      </c>
      <c r="L533" s="38" t="s">
        <v>68</v>
      </c>
      <c r="M533" s="43">
        <v>0.13</v>
      </c>
      <c r="N533" s="43">
        <v>0.83</v>
      </c>
      <c r="O533" s="42">
        <v>7816.86</v>
      </c>
      <c r="P533" s="42">
        <v>0</v>
      </c>
    </row>
    <row r="534" spans="1:16" ht="15" customHeight="1" x14ac:dyDescent="0.3">
      <c r="A534" s="38" t="s">
        <v>1144</v>
      </c>
      <c r="B534" s="39">
        <v>44830</v>
      </c>
      <c r="C534" s="38" t="s">
        <v>1145</v>
      </c>
      <c r="D534" s="38" t="s">
        <v>59</v>
      </c>
      <c r="E534" s="40">
        <v>8179</v>
      </c>
      <c r="F534" s="41">
        <v>0.22500000000000001</v>
      </c>
      <c r="G534" s="38">
        <v>60</v>
      </c>
      <c r="H534" s="38" t="s">
        <v>35</v>
      </c>
      <c r="I534" s="38" t="s">
        <v>66</v>
      </c>
      <c r="J534" s="38" t="s">
        <v>67</v>
      </c>
      <c r="K534" s="42">
        <v>56616</v>
      </c>
      <c r="L534" s="38" t="s">
        <v>85</v>
      </c>
      <c r="M534" s="43">
        <v>0.37</v>
      </c>
      <c r="N534" s="43">
        <v>0.5</v>
      </c>
      <c r="O534" s="42">
        <v>10019.280000000001</v>
      </c>
      <c r="P534" s="42">
        <v>0</v>
      </c>
    </row>
    <row r="535" spans="1:16" ht="15" customHeight="1" x14ac:dyDescent="0.3">
      <c r="A535" s="38" t="s">
        <v>1146</v>
      </c>
      <c r="B535" s="39">
        <v>44830</v>
      </c>
      <c r="C535" s="38" t="s">
        <v>1147</v>
      </c>
      <c r="D535" s="38" t="s">
        <v>59</v>
      </c>
      <c r="E535" s="40">
        <v>33975</v>
      </c>
      <c r="F535" s="41">
        <v>7.3999999999999996E-2</v>
      </c>
      <c r="G535" s="38">
        <v>36</v>
      </c>
      <c r="H535" s="38" t="s">
        <v>35</v>
      </c>
      <c r="I535" s="38" t="s">
        <v>80</v>
      </c>
      <c r="J535" s="38" t="s">
        <v>67</v>
      </c>
      <c r="K535" s="42">
        <v>55338</v>
      </c>
      <c r="L535" s="38" t="s">
        <v>62</v>
      </c>
      <c r="M535" s="43">
        <v>0.26</v>
      </c>
      <c r="N535" s="43">
        <v>0.73</v>
      </c>
      <c r="O535" s="42">
        <v>36489.15</v>
      </c>
      <c r="P535" s="42">
        <v>0</v>
      </c>
    </row>
    <row r="536" spans="1:16" ht="15" customHeight="1" x14ac:dyDescent="0.3">
      <c r="A536" s="38" t="s">
        <v>1148</v>
      </c>
      <c r="B536" s="39">
        <v>44832</v>
      </c>
      <c r="C536" s="38" t="s">
        <v>1149</v>
      </c>
      <c r="D536" s="38" t="s">
        <v>97</v>
      </c>
      <c r="E536" s="40">
        <v>32598</v>
      </c>
      <c r="F536" s="41">
        <v>0.17899999999999999</v>
      </c>
      <c r="G536" s="38">
        <v>60</v>
      </c>
      <c r="H536" s="38" t="s">
        <v>35</v>
      </c>
      <c r="I536" s="38" t="s">
        <v>257</v>
      </c>
      <c r="J536" s="38" t="s">
        <v>76</v>
      </c>
      <c r="K536" s="42">
        <v>135141</v>
      </c>
      <c r="L536" s="38" t="s">
        <v>68</v>
      </c>
      <c r="M536" s="43">
        <v>0.3</v>
      </c>
      <c r="N536" s="43">
        <v>0.56999999999999995</v>
      </c>
      <c r="O536" s="42">
        <v>38433.040000000001</v>
      </c>
      <c r="P536" s="42">
        <v>0</v>
      </c>
    </row>
    <row r="537" spans="1:16" ht="15" customHeight="1" x14ac:dyDescent="0.3">
      <c r="A537" s="38" t="s">
        <v>1150</v>
      </c>
      <c r="B537" s="39">
        <v>44835</v>
      </c>
      <c r="C537" s="38" t="s">
        <v>1151</v>
      </c>
      <c r="D537" s="38" t="s">
        <v>138</v>
      </c>
      <c r="E537" s="40">
        <v>36643</v>
      </c>
      <c r="F537" s="41">
        <v>0.20499999999999999</v>
      </c>
      <c r="G537" s="38">
        <v>36</v>
      </c>
      <c r="H537" s="38" t="s">
        <v>35</v>
      </c>
      <c r="I537" s="38" t="s">
        <v>71</v>
      </c>
      <c r="J537" s="38" t="s">
        <v>67</v>
      </c>
      <c r="K537" s="42">
        <v>128618</v>
      </c>
      <c r="L537" s="38" t="s">
        <v>62</v>
      </c>
      <c r="M537" s="43">
        <v>0.19</v>
      </c>
      <c r="N537" s="43">
        <v>0.91</v>
      </c>
      <c r="O537" s="42">
        <v>44154.82</v>
      </c>
      <c r="P537" s="42">
        <v>0</v>
      </c>
    </row>
    <row r="538" spans="1:16" ht="15" customHeight="1" x14ac:dyDescent="0.3">
      <c r="A538" s="56" t="s">
        <v>1152</v>
      </c>
      <c r="B538" s="57">
        <v>44836</v>
      </c>
      <c r="C538" s="56" t="s">
        <v>1153</v>
      </c>
      <c r="D538" s="56" t="s">
        <v>79</v>
      </c>
      <c r="E538" s="58">
        <v>18602</v>
      </c>
      <c r="F538" s="59">
        <v>5.2999999999999999E-2</v>
      </c>
      <c r="G538" s="56">
        <v>36</v>
      </c>
      <c r="H538" s="56" t="s">
        <v>37</v>
      </c>
      <c r="I538" s="56" t="s">
        <v>60</v>
      </c>
      <c r="J538" s="56" t="s">
        <v>76</v>
      </c>
      <c r="K538" s="60">
        <v>111159</v>
      </c>
      <c r="L538" s="56" t="s">
        <v>85</v>
      </c>
      <c r="M538" s="61">
        <v>0.41</v>
      </c>
      <c r="N538" s="61">
        <v>0.65</v>
      </c>
      <c r="O538" s="60">
        <v>7046.14</v>
      </c>
      <c r="P538" s="60">
        <v>4694.51</v>
      </c>
    </row>
    <row r="539" spans="1:16" ht="15" customHeight="1" x14ac:dyDescent="0.3">
      <c r="A539" s="44" t="s">
        <v>1154</v>
      </c>
      <c r="B539" s="45">
        <v>44836</v>
      </c>
      <c r="C539" s="44" t="s">
        <v>1155</v>
      </c>
      <c r="D539" s="44" t="s">
        <v>88</v>
      </c>
      <c r="E539" s="46">
        <v>8373</v>
      </c>
      <c r="F539" s="47">
        <v>0.19400000000000001</v>
      </c>
      <c r="G539" s="44">
        <v>60</v>
      </c>
      <c r="H539" s="44" t="s">
        <v>36</v>
      </c>
      <c r="I539" s="44" t="s">
        <v>114</v>
      </c>
      <c r="J539" s="44" t="s">
        <v>72</v>
      </c>
      <c r="K539" s="48">
        <v>101088</v>
      </c>
      <c r="L539" s="44" t="s">
        <v>85</v>
      </c>
      <c r="M539" s="49">
        <v>0.31</v>
      </c>
      <c r="N539" s="49">
        <v>0.71</v>
      </c>
      <c r="O539" s="48">
        <v>1808.54</v>
      </c>
      <c r="P539" s="48">
        <v>0</v>
      </c>
    </row>
    <row r="540" spans="1:16" ht="15" customHeight="1" x14ac:dyDescent="0.3">
      <c r="A540" s="38" t="s">
        <v>1156</v>
      </c>
      <c r="B540" s="39">
        <v>44837</v>
      </c>
      <c r="C540" s="38" t="s">
        <v>1157</v>
      </c>
      <c r="D540" s="38" t="s">
        <v>65</v>
      </c>
      <c r="E540" s="40">
        <v>30757</v>
      </c>
      <c r="F540" s="41">
        <v>0.14899999999999999</v>
      </c>
      <c r="G540" s="38">
        <v>36</v>
      </c>
      <c r="H540" s="38" t="s">
        <v>35</v>
      </c>
      <c r="I540" s="38" t="s">
        <v>71</v>
      </c>
      <c r="J540" s="38" t="s">
        <v>72</v>
      </c>
      <c r="K540" s="42">
        <v>67701</v>
      </c>
      <c r="L540" s="38" t="s">
        <v>68</v>
      </c>
      <c r="M540" s="43">
        <v>0.39</v>
      </c>
      <c r="N540" s="43">
        <v>0.88</v>
      </c>
      <c r="O540" s="42">
        <v>35339.79</v>
      </c>
      <c r="P540" s="42">
        <v>0</v>
      </c>
    </row>
    <row r="541" spans="1:16" ht="15" customHeight="1" x14ac:dyDescent="0.3">
      <c r="A541" s="38" t="s">
        <v>1158</v>
      </c>
      <c r="B541" s="39">
        <v>44838</v>
      </c>
      <c r="C541" s="38" t="s">
        <v>1159</v>
      </c>
      <c r="D541" s="38" t="s">
        <v>138</v>
      </c>
      <c r="E541" s="40">
        <v>17371</v>
      </c>
      <c r="F541" s="41">
        <v>0.13</v>
      </c>
      <c r="G541" s="38">
        <v>36</v>
      </c>
      <c r="H541" s="38" t="s">
        <v>35</v>
      </c>
      <c r="I541" s="38" t="s">
        <v>60</v>
      </c>
      <c r="J541" s="38" t="s">
        <v>76</v>
      </c>
      <c r="K541" s="42">
        <v>34886</v>
      </c>
      <c r="L541" s="38" t="s">
        <v>62</v>
      </c>
      <c r="M541" s="43">
        <v>0.12</v>
      </c>
      <c r="N541" s="43">
        <v>0.93</v>
      </c>
      <c r="O541" s="42">
        <v>19629.23</v>
      </c>
      <c r="P541" s="42">
        <v>0</v>
      </c>
    </row>
    <row r="542" spans="1:16" ht="15" customHeight="1" x14ac:dyDescent="0.3">
      <c r="A542" s="38" t="s">
        <v>1160</v>
      </c>
      <c r="B542" s="39">
        <v>44839</v>
      </c>
      <c r="C542" s="38" t="s">
        <v>1161</v>
      </c>
      <c r="D542" s="38" t="s">
        <v>88</v>
      </c>
      <c r="E542" s="40">
        <v>16023</v>
      </c>
      <c r="F542" s="41">
        <v>0.16500000000000001</v>
      </c>
      <c r="G542" s="38">
        <v>36</v>
      </c>
      <c r="H542" s="38" t="s">
        <v>35</v>
      </c>
      <c r="I542" s="38" t="s">
        <v>60</v>
      </c>
      <c r="J542" s="38" t="s">
        <v>84</v>
      </c>
      <c r="K542" s="42">
        <v>138944</v>
      </c>
      <c r="L542" s="38" t="s">
        <v>62</v>
      </c>
      <c r="M542" s="43">
        <v>0.28000000000000003</v>
      </c>
      <c r="N542" s="43">
        <v>0.89</v>
      </c>
      <c r="O542" s="42">
        <v>18666.8</v>
      </c>
      <c r="P542" s="42">
        <v>0</v>
      </c>
    </row>
    <row r="543" spans="1:16" ht="15" customHeight="1" x14ac:dyDescent="0.3">
      <c r="A543" s="38" t="s">
        <v>1162</v>
      </c>
      <c r="B543" s="39">
        <v>44841</v>
      </c>
      <c r="C543" s="38" t="s">
        <v>1163</v>
      </c>
      <c r="D543" s="38" t="s">
        <v>75</v>
      </c>
      <c r="E543" s="40">
        <v>26923</v>
      </c>
      <c r="F543" s="41">
        <v>0.156</v>
      </c>
      <c r="G543" s="38">
        <v>60</v>
      </c>
      <c r="H543" s="38" t="s">
        <v>35</v>
      </c>
      <c r="I543" s="38" t="s">
        <v>83</v>
      </c>
      <c r="J543" s="38" t="s">
        <v>84</v>
      </c>
      <c r="K543" s="42">
        <v>127905</v>
      </c>
      <c r="L543" s="38" t="s">
        <v>85</v>
      </c>
      <c r="M543" s="43">
        <v>0.35</v>
      </c>
      <c r="N543" s="43">
        <v>0.7</v>
      </c>
      <c r="O543" s="42">
        <v>31122.99</v>
      </c>
      <c r="P543" s="42">
        <v>0</v>
      </c>
    </row>
    <row r="544" spans="1:16" ht="15" customHeight="1" x14ac:dyDescent="0.3">
      <c r="A544" s="44" t="s">
        <v>1164</v>
      </c>
      <c r="B544" s="45">
        <v>44842</v>
      </c>
      <c r="C544" s="44" t="s">
        <v>1165</v>
      </c>
      <c r="D544" s="44" t="s">
        <v>59</v>
      </c>
      <c r="E544" s="46">
        <v>7640</v>
      </c>
      <c r="F544" s="47">
        <v>0.186</v>
      </c>
      <c r="G544" s="44">
        <v>36</v>
      </c>
      <c r="H544" s="44" t="s">
        <v>36</v>
      </c>
      <c r="I544" s="44" t="s">
        <v>60</v>
      </c>
      <c r="J544" s="44" t="s">
        <v>61</v>
      </c>
      <c r="K544" s="48">
        <v>70172</v>
      </c>
      <c r="L544" s="44" t="s">
        <v>68</v>
      </c>
      <c r="M544" s="49">
        <v>0.21</v>
      </c>
      <c r="N544" s="49">
        <v>0.67</v>
      </c>
      <c r="O544" s="48">
        <v>1169.7</v>
      </c>
      <c r="P544" s="48">
        <v>0</v>
      </c>
    </row>
    <row r="545" spans="1:16" ht="15" customHeight="1" x14ac:dyDescent="0.3">
      <c r="A545" s="44" t="s">
        <v>1166</v>
      </c>
      <c r="B545" s="45">
        <v>44842</v>
      </c>
      <c r="C545" s="44" t="s">
        <v>1167</v>
      </c>
      <c r="D545" s="44" t="s">
        <v>79</v>
      </c>
      <c r="E545" s="46">
        <v>13149</v>
      </c>
      <c r="F545" s="47">
        <v>0.16800000000000001</v>
      </c>
      <c r="G545" s="44">
        <v>36</v>
      </c>
      <c r="H545" s="44" t="s">
        <v>36</v>
      </c>
      <c r="I545" s="44" t="s">
        <v>83</v>
      </c>
      <c r="J545" s="44" t="s">
        <v>76</v>
      </c>
      <c r="K545" s="48">
        <v>119037</v>
      </c>
      <c r="L545" s="44" t="s">
        <v>85</v>
      </c>
      <c r="M545" s="49">
        <v>0.45</v>
      </c>
      <c r="N545" s="49">
        <v>0.6</v>
      </c>
      <c r="O545" s="48">
        <v>4489.9799999999996</v>
      </c>
      <c r="P545" s="48">
        <v>0</v>
      </c>
    </row>
    <row r="546" spans="1:16" ht="15" customHeight="1" x14ac:dyDescent="0.3">
      <c r="A546" s="38" t="s">
        <v>1168</v>
      </c>
      <c r="B546" s="39">
        <v>44843</v>
      </c>
      <c r="C546" s="38" t="s">
        <v>1169</v>
      </c>
      <c r="D546" s="38" t="s">
        <v>108</v>
      </c>
      <c r="E546" s="40">
        <v>12046</v>
      </c>
      <c r="F546" s="41">
        <v>0.216</v>
      </c>
      <c r="G546" s="38">
        <v>36</v>
      </c>
      <c r="H546" s="38" t="s">
        <v>35</v>
      </c>
      <c r="I546" s="38" t="s">
        <v>80</v>
      </c>
      <c r="J546" s="38" t="s">
        <v>84</v>
      </c>
      <c r="K546" s="42">
        <v>106848</v>
      </c>
      <c r="L546" s="38" t="s">
        <v>85</v>
      </c>
      <c r="M546" s="43">
        <v>0.19</v>
      </c>
      <c r="N546" s="43">
        <v>0.7</v>
      </c>
      <c r="O546" s="42">
        <v>14647.94</v>
      </c>
      <c r="P546" s="42">
        <v>0</v>
      </c>
    </row>
    <row r="547" spans="1:16" ht="15" customHeight="1" x14ac:dyDescent="0.3">
      <c r="A547" s="44" t="s">
        <v>1170</v>
      </c>
      <c r="B547" s="45">
        <v>44844</v>
      </c>
      <c r="C547" s="44" t="s">
        <v>1171</v>
      </c>
      <c r="D547" s="44" t="s">
        <v>65</v>
      </c>
      <c r="E547" s="46">
        <v>25791</v>
      </c>
      <c r="F547" s="47">
        <v>9.4E-2</v>
      </c>
      <c r="G547" s="44">
        <v>60</v>
      </c>
      <c r="H547" s="44" t="s">
        <v>36</v>
      </c>
      <c r="I547" s="44" t="s">
        <v>80</v>
      </c>
      <c r="J547" s="44" t="s">
        <v>61</v>
      </c>
      <c r="K547" s="48">
        <v>122067</v>
      </c>
      <c r="L547" s="44" t="s">
        <v>68</v>
      </c>
      <c r="M547" s="49">
        <v>0.3</v>
      </c>
      <c r="N547" s="49">
        <v>0.87</v>
      </c>
      <c r="O547" s="48">
        <v>7712.63</v>
      </c>
      <c r="P547" s="48">
        <v>0</v>
      </c>
    </row>
    <row r="548" spans="1:16" ht="15" customHeight="1" x14ac:dyDescent="0.3">
      <c r="A548" s="44" t="s">
        <v>1172</v>
      </c>
      <c r="B548" s="45">
        <v>44845</v>
      </c>
      <c r="C548" s="44" t="s">
        <v>1173</v>
      </c>
      <c r="D548" s="44" t="s">
        <v>108</v>
      </c>
      <c r="E548" s="46">
        <v>9502</v>
      </c>
      <c r="F548" s="47">
        <v>0.20599999999999999</v>
      </c>
      <c r="G548" s="44">
        <v>60</v>
      </c>
      <c r="H548" s="44" t="s">
        <v>36</v>
      </c>
      <c r="I548" s="44" t="s">
        <v>60</v>
      </c>
      <c r="J548" s="44" t="s">
        <v>67</v>
      </c>
      <c r="K548" s="48">
        <v>140986</v>
      </c>
      <c r="L548" s="44" t="s">
        <v>68</v>
      </c>
      <c r="M548" s="49">
        <v>0.44</v>
      </c>
      <c r="N548" s="49">
        <v>0.77</v>
      </c>
      <c r="O548" s="48">
        <v>2503.27</v>
      </c>
      <c r="P548" s="48">
        <v>0</v>
      </c>
    </row>
    <row r="549" spans="1:16" ht="15" customHeight="1" x14ac:dyDescent="0.3">
      <c r="A549" s="38" t="s">
        <v>1174</v>
      </c>
      <c r="B549" s="39">
        <v>44849</v>
      </c>
      <c r="C549" s="38" t="s">
        <v>1175</v>
      </c>
      <c r="D549" s="38" t="s">
        <v>113</v>
      </c>
      <c r="E549" s="40">
        <v>25363</v>
      </c>
      <c r="F549" s="41">
        <v>9.4E-2</v>
      </c>
      <c r="G549" s="38">
        <v>36</v>
      </c>
      <c r="H549" s="38" t="s">
        <v>35</v>
      </c>
      <c r="I549" s="38" t="s">
        <v>80</v>
      </c>
      <c r="J549" s="38" t="s">
        <v>67</v>
      </c>
      <c r="K549" s="42">
        <v>72043</v>
      </c>
      <c r="L549" s="38" t="s">
        <v>68</v>
      </c>
      <c r="M549" s="43">
        <v>0.16</v>
      </c>
      <c r="N549" s="43">
        <v>0.52</v>
      </c>
      <c r="O549" s="42">
        <v>27747.119999999999</v>
      </c>
      <c r="P549" s="42">
        <v>0</v>
      </c>
    </row>
    <row r="550" spans="1:16" ht="15" customHeight="1" x14ac:dyDescent="0.3">
      <c r="A550" s="38" t="s">
        <v>1176</v>
      </c>
      <c r="B550" s="39">
        <v>44850</v>
      </c>
      <c r="C550" s="38" t="s">
        <v>1177</v>
      </c>
      <c r="D550" s="38" t="s">
        <v>113</v>
      </c>
      <c r="E550" s="40">
        <v>6445</v>
      </c>
      <c r="F550" s="41">
        <v>0.20899999999999999</v>
      </c>
      <c r="G550" s="38">
        <v>36</v>
      </c>
      <c r="H550" s="38" t="s">
        <v>35</v>
      </c>
      <c r="I550" s="38" t="s">
        <v>83</v>
      </c>
      <c r="J550" s="38" t="s">
        <v>72</v>
      </c>
      <c r="K550" s="42">
        <v>69850</v>
      </c>
      <c r="L550" s="38" t="s">
        <v>62</v>
      </c>
      <c r="M550" s="43">
        <v>0.11</v>
      </c>
      <c r="N550" s="43">
        <v>0.75</v>
      </c>
      <c r="O550" s="42">
        <v>7792</v>
      </c>
      <c r="P550" s="42">
        <v>0</v>
      </c>
    </row>
    <row r="551" spans="1:16" ht="15" customHeight="1" x14ac:dyDescent="0.3">
      <c r="A551" s="38" t="s">
        <v>1178</v>
      </c>
      <c r="B551" s="39">
        <v>44850</v>
      </c>
      <c r="C551" s="38" t="s">
        <v>1179</v>
      </c>
      <c r="D551" s="38" t="s">
        <v>88</v>
      </c>
      <c r="E551" s="40">
        <v>35084</v>
      </c>
      <c r="F551" s="41">
        <v>0.17899999999999999</v>
      </c>
      <c r="G551" s="38">
        <v>36</v>
      </c>
      <c r="H551" s="38" t="s">
        <v>35</v>
      </c>
      <c r="I551" s="38" t="s">
        <v>114</v>
      </c>
      <c r="J551" s="38" t="s">
        <v>84</v>
      </c>
      <c r="K551" s="42">
        <v>105476</v>
      </c>
      <c r="L551" s="38" t="s">
        <v>85</v>
      </c>
      <c r="M551" s="43">
        <v>0.11</v>
      </c>
      <c r="N551" s="43">
        <v>0.68</v>
      </c>
      <c r="O551" s="42">
        <v>41364.04</v>
      </c>
      <c r="P551" s="42">
        <v>0</v>
      </c>
    </row>
    <row r="552" spans="1:16" ht="15" customHeight="1" x14ac:dyDescent="0.3">
      <c r="A552" s="56" t="s">
        <v>1180</v>
      </c>
      <c r="B552" s="57">
        <v>44852</v>
      </c>
      <c r="C552" s="56" t="s">
        <v>1181</v>
      </c>
      <c r="D552" s="56" t="s">
        <v>59</v>
      </c>
      <c r="E552" s="58">
        <v>28083</v>
      </c>
      <c r="F552" s="59">
        <v>0.20100000000000001</v>
      </c>
      <c r="G552" s="56">
        <v>36</v>
      </c>
      <c r="H552" s="56" t="s">
        <v>37</v>
      </c>
      <c r="I552" s="56" t="s">
        <v>60</v>
      </c>
      <c r="J552" s="56" t="s">
        <v>84</v>
      </c>
      <c r="K552" s="60">
        <v>82113</v>
      </c>
      <c r="L552" s="56" t="s">
        <v>68</v>
      </c>
      <c r="M552" s="61">
        <v>0.43</v>
      </c>
      <c r="N552" s="61">
        <v>0.52</v>
      </c>
      <c r="O552" s="60">
        <v>5611.04</v>
      </c>
      <c r="P552" s="60">
        <v>8802.11</v>
      </c>
    </row>
    <row r="553" spans="1:16" ht="15" customHeight="1" x14ac:dyDescent="0.3">
      <c r="A553" s="38" t="s">
        <v>1182</v>
      </c>
      <c r="B553" s="39">
        <v>44852</v>
      </c>
      <c r="C553" s="38" t="s">
        <v>1183</v>
      </c>
      <c r="D553" s="38" t="s">
        <v>79</v>
      </c>
      <c r="E553" s="40">
        <v>32860</v>
      </c>
      <c r="F553" s="41">
        <v>0.10299999999999999</v>
      </c>
      <c r="G553" s="38">
        <v>36</v>
      </c>
      <c r="H553" s="38" t="s">
        <v>35</v>
      </c>
      <c r="I553" s="38" t="s">
        <v>60</v>
      </c>
      <c r="J553" s="38" t="s">
        <v>72</v>
      </c>
      <c r="K553" s="42">
        <v>130315</v>
      </c>
      <c r="L553" s="38" t="s">
        <v>62</v>
      </c>
      <c r="M553" s="43">
        <v>0.27</v>
      </c>
      <c r="N553" s="43">
        <v>0.65</v>
      </c>
      <c r="O553" s="42">
        <v>36244.58</v>
      </c>
      <c r="P553" s="42">
        <v>0</v>
      </c>
    </row>
    <row r="554" spans="1:16" ht="15" customHeight="1" x14ac:dyDescent="0.3">
      <c r="A554" s="38" t="s">
        <v>1184</v>
      </c>
      <c r="B554" s="39">
        <v>44853</v>
      </c>
      <c r="C554" s="38" t="s">
        <v>1185</v>
      </c>
      <c r="D554" s="38" t="s">
        <v>113</v>
      </c>
      <c r="E554" s="40">
        <v>28570</v>
      </c>
      <c r="F554" s="41">
        <v>8.8999999999999996E-2</v>
      </c>
      <c r="G554" s="38">
        <v>36</v>
      </c>
      <c r="H554" s="38" t="s">
        <v>35</v>
      </c>
      <c r="I554" s="38" t="s">
        <v>60</v>
      </c>
      <c r="J554" s="38" t="s">
        <v>84</v>
      </c>
      <c r="K554" s="42">
        <v>93185</v>
      </c>
      <c r="L554" s="38" t="s">
        <v>68</v>
      </c>
      <c r="M554" s="43">
        <v>0.23</v>
      </c>
      <c r="N554" s="43">
        <v>0.74</v>
      </c>
      <c r="O554" s="42">
        <v>31112.73</v>
      </c>
      <c r="P554" s="42">
        <v>0</v>
      </c>
    </row>
    <row r="555" spans="1:16" ht="15" customHeight="1" x14ac:dyDescent="0.3">
      <c r="A555" s="44" t="s">
        <v>1186</v>
      </c>
      <c r="B555" s="45">
        <v>44854</v>
      </c>
      <c r="C555" s="44" t="s">
        <v>1187</v>
      </c>
      <c r="D555" s="44" t="s">
        <v>79</v>
      </c>
      <c r="E555" s="46">
        <v>28961</v>
      </c>
      <c r="F555" s="47">
        <v>5.8999999999999997E-2</v>
      </c>
      <c r="G555" s="44">
        <v>36</v>
      </c>
      <c r="H555" s="44" t="s">
        <v>36</v>
      </c>
      <c r="I555" s="44" t="s">
        <v>80</v>
      </c>
      <c r="J555" s="44" t="s">
        <v>61</v>
      </c>
      <c r="K555" s="48">
        <v>62101</v>
      </c>
      <c r="L555" s="44" t="s">
        <v>68</v>
      </c>
      <c r="M555" s="49">
        <v>0.39</v>
      </c>
      <c r="N555" s="49">
        <v>0.78</v>
      </c>
      <c r="O555" s="48">
        <v>1542.14</v>
      </c>
      <c r="P555" s="48">
        <v>0</v>
      </c>
    </row>
    <row r="556" spans="1:16" ht="15" customHeight="1" x14ac:dyDescent="0.3">
      <c r="A556" s="38" t="s">
        <v>1188</v>
      </c>
      <c r="B556" s="39">
        <v>44855</v>
      </c>
      <c r="C556" s="38" t="s">
        <v>1189</v>
      </c>
      <c r="D556" s="38" t="s">
        <v>108</v>
      </c>
      <c r="E556" s="40">
        <v>3396</v>
      </c>
      <c r="F556" s="41">
        <v>9.7000000000000003E-2</v>
      </c>
      <c r="G556" s="38">
        <v>36</v>
      </c>
      <c r="H556" s="38" t="s">
        <v>35</v>
      </c>
      <c r="I556" s="38" t="s">
        <v>83</v>
      </c>
      <c r="J556" s="38" t="s">
        <v>76</v>
      </c>
      <c r="K556" s="42">
        <v>140942</v>
      </c>
      <c r="L556" s="38" t="s">
        <v>68</v>
      </c>
      <c r="M556" s="43">
        <v>0.34</v>
      </c>
      <c r="N556" s="43">
        <v>0.83</v>
      </c>
      <c r="O556" s="42">
        <v>3725.41</v>
      </c>
      <c r="P556" s="42">
        <v>0</v>
      </c>
    </row>
    <row r="557" spans="1:16" ht="15" customHeight="1" x14ac:dyDescent="0.3">
      <c r="A557" s="44" t="s">
        <v>1190</v>
      </c>
      <c r="B557" s="45">
        <v>44856</v>
      </c>
      <c r="C557" s="44" t="s">
        <v>1191</v>
      </c>
      <c r="D557" s="44" t="s">
        <v>65</v>
      </c>
      <c r="E557" s="46">
        <v>25557</v>
      </c>
      <c r="F557" s="47">
        <v>7.3999999999999996E-2</v>
      </c>
      <c r="G557" s="44">
        <v>36</v>
      </c>
      <c r="H557" s="44" t="s">
        <v>36</v>
      </c>
      <c r="I557" s="44" t="s">
        <v>83</v>
      </c>
      <c r="J557" s="44" t="s">
        <v>84</v>
      </c>
      <c r="K557" s="48">
        <v>144444</v>
      </c>
      <c r="L557" s="44" t="s">
        <v>85</v>
      </c>
      <c r="M557" s="49">
        <v>0.45</v>
      </c>
      <c r="N557" s="49">
        <v>0.73</v>
      </c>
      <c r="O557" s="48">
        <v>4065.82</v>
      </c>
      <c r="P557" s="48">
        <v>0</v>
      </c>
    </row>
    <row r="558" spans="1:16" ht="15" customHeight="1" x14ac:dyDescent="0.3">
      <c r="A558" s="38" t="s">
        <v>1192</v>
      </c>
      <c r="B558" s="39">
        <v>44857</v>
      </c>
      <c r="C558" s="38" t="s">
        <v>1193</v>
      </c>
      <c r="D558" s="38" t="s">
        <v>79</v>
      </c>
      <c r="E558" s="40">
        <v>26169</v>
      </c>
      <c r="F558" s="41">
        <v>0.25</v>
      </c>
      <c r="G558" s="38">
        <v>36</v>
      </c>
      <c r="H558" s="38" t="s">
        <v>35</v>
      </c>
      <c r="I558" s="38" t="s">
        <v>66</v>
      </c>
      <c r="J558" s="38" t="s">
        <v>84</v>
      </c>
      <c r="K558" s="42">
        <v>142086</v>
      </c>
      <c r="L558" s="38" t="s">
        <v>85</v>
      </c>
      <c r="M558" s="43">
        <v>0.12</v>
      </c>
      <c r="N558" s="43">
        <v>0.61</v>
      </c>
      <c r="O558" s="42">
        <v>32711.25</v>
      </c>
      <c r="P558" s="42">
        <v>0</v>
      </c>
    </row>
    <row r="559" spans="1:16" ht="15" customHeight="1" x14ac:dyDescent="0.3">
      <c r="A559" s="44" t="s">
        <v>1194</v>
      </c>
      <c r="B559" s="45">
        <v>44858</v>
      </c>
      <c r="C559" s="44" t="s">
        <v>1195</v>
      </c>
      <c r="D559" s="44" t="s">
        <v>138</v>
      </c>
      <c r="E559" s="46">
        <v>9429</v>
      </c>
      <c r="F559" s="47">
        <v>0.245</v>
      </c>
      <c r="G559" s="44">
        <v>60</v>
      </c>
      <c r="H559" s="44" t="s">
        <v>36</v>
      </c>
      <c r="I559" s="44" t="s">
        <v>80</v>
      </c>
      <c r="J559" s="44" t="s">
        <v>72</v>
      </c>
      <c r="K559" s="48">
        <v>95785</v>
      </c>
      <c r="L559" s="44" t="s">
        <v>68</v>
      </c>
      <c r="M559" s="49">
        <v>0.4</v>
      </c>
      <c r="N559" s="49">
        <v>0.71</v>
      </c>
      <c r="O559" s="48">
        <v>3859.51</v>
      </c>
      <c r="P559" s="48">
        <v>0</v>
      </c>
    </row>
    <row r="560" spans="1:16" ht="15" customHeight="1" x14ac:dyDescent="0.3">
      <c r="A560" s="44" t="s">
        <v>1196</v>
      </c>
      <c r="B560" s="45">
        <v>44858</v>
      </c>
      <c r="C560" s="44" t="s">
        <v>1197</v>
      </c>
      <c r="D560" s="44" t="s">
        <v>138</v>
      </c>
      <c r="E560" s="46">
        <v>28117</v>
      </c>
      <c r="F560" s="47">
        <v>0.24399999999999999</v>
      </c>
      <c r="G560" s="44">
        <v>60</v>
      </c>
      <c r="H560" s="44" t="s">
        <v>36</v>
      </c>
      <c r="I560" s="44" t="s">
        <v>60</v>
      </c>
      <c r="J560" s="44" t="s">
        <v>61</v>
      </c>
      <c r="K560" s="48">
        <v>77574</v>
      </c>
      <c r="L560" s="44" t="s">
        <v>62</v>
      </c>
      <c r="M560" s="49">
        <v>0.23</v>
      </c>
      <c r="N560" s="49">
        <v>0.72</v>
      </c>
      <c r="O560" s="48">
        <v>12707.65</v>
      </c>
      <c r="P560" s="48">
        <v>0</v>
      </c>
    </row>
    <row r="561" spans="1:16" ht="15" customHeight="1" x14ac:dyDescent="0.3">
      <c r="A561" s="44" t="s">
        <v>1198</v>
      </c>
      <c r="B561" s="45">
        <v>44859</v>
      </c>
      <c r="C561" s="44" t="s">
        <v>1199</v>
      </c>
      <c r="D561" s="44" t="s">
        <v>79</v>
      </c>
      <c r="E561" s="46">
        <v>31811</v>
      </c>
      <c r="F561" s="47">
        <v>9.7000000000000003E-2</v>
      </c>
      <c r="G561" s="44">
        <v>60</v>
      </c>
      <c r="H561" s="44" t="s">
        <v>36</v>
      </c>
      <c r="I561" s="44" t="s">
        <v>60</v>
      </c>
      <c r="J561" s="44" t="s">
        <v>67</v>
      </c>
      <c r="K561" s="48">
        <v>124386</v>
      </c>
      <c r="L561" s="44" t="s">
        <v>85</v>
      </c>
      <c r="M561" s="49">
        <v>0.48</v>
      </c>
      <c r="N561" s="49">
        <v>0.63</v>
      </c>
      <c r="O561" s="48">
        <v>14792.24</v>
      </c>
      <c r="P561" s="48">
        <v>0</v>
      </c>
    </row>
    <row r="562" spans="1:16" ht="15" customHeight="1" x14ac:dyDescent="0.3">
      <c r="A562" s="38" t="s">
        <v>1200</v>
      </c>
      <c r="B562" s="39">
        <v>44860</v>
      </c>
      <c r="C562" s="38" t="s">
        <v>1201</v>
      </c>
      <c r="D562" s="38" t="s">
        <v>88</v>
      </c>
      <c r="E562" s="40">
        <v>30984</v>
      </c>
      <c r="F562" s="41">
        <v>0.20899999999999999</v>
      </c>
      <c r="G562" s="38">
        <v>60</v>
      </c>
      <c r="H562" s="38" t="s">
        <v>35</v>
      </c>
      <c r="I562" s="38" t="s">
        <v>83</v>
      </c>
      <c r="J562" s="38" t="s">
        <v>67</v>
      </c>
      <c r="K562" s="42">
        <v>64812</v>
      </c>
      <c r="L562" s="38" t="s">
        <v>85</v>
      </c>
      <c r="M562" s="43">
        <v>0.44</v>
      </c>
      <c r="N562" s="43">
        <v>0.59</v>
      </c>
      <c r="O562" s="42">
        <v>37459.660000000003</v>
      </c>
      <c r="P562" s="42">
        <v>0</v>
      </c>
    </row>
    <row r="563" spans="1:16" ht="15" customHeight="1" x14ac:dyDescent="0.3">
      <c r="A563" s="44" t="s">
        <v>1202</v>
      </c>
      <c r="B563" s="45">
        <v>44860</v>
      </c>
      <c r="C563" s="44" t="s">
        <v>1203</v>
      </c>
      <c r="D563" s="44" t="s">
        <v>65</v>
      </c>
      <c r="E563" s="46">
        <v>30430</v>
      </c>
      <c r="F563" s="47">
        <v>0.183</v>
      </c>
      <c r="G563" s="44">
        <v>60</v>
      </c>
      <c r="H563" s="44" t="s">
        <v>36</v>
      </c>
      <c r="I563" s="44" t="s">
        <v>114</v>
      </c>
      <c r="J563" s="44" t="s">
        <v>61</v>
      </c>
      <c r="K563" s="48">
        <v>57216</v>
      </c>
      <c r="L563" s="44" t="s">
        <v>62</v>
      </c>
      <c r="M563" s="49">
        <v>0.41</v>
      </c>
      <c r="N563" s="49">
        <v>0.67</v>
      </c>
      <c r="O563" s="48">
        <v>6884.79</v>
      </c>
      <c r="P563" s="48">
        <v>0</v>
      </c>
    </row>
    <row r="564" spans="1:16" ht="15" customHeight="1" x14ac:dyDescent="0.3">
      <c r="A564" s="38" t="s">
        <v>1204</v>
      </c>
      <c r="B564" s="39">
        <v>44861</v>
      </c>
      <c r="C564" s="38" t="s">
        <v>1205</v>
      </c>
      <c r="D564" s="38" t="s">
        <v>125</v>
      </c>
      <c r="E564" s="40">
        <v>32367</v>
      </c>
      <c r="F564" s="41">
        <v>0.13</v>
      </c>
      <c r="G564" s="38">
        <v>36</v>
      </c>
      <c r="H564" s="38" t="s">
        <v>35</v>
      </c>
      <c r="I564" s="38" t="s">
        <v>66</v>
      </c>
      <c r="J564" s="38" t="s">
        <v>61</v>
      </c>
      <c r="K564" s="42">
        <v>81257</v>
      </c>
      <c r="L564" s="38" t="s">
        <v>68</v>
      </c>
      <c r="M564" s="43">
        <v>0.42</v>
      </c>
      <c r="N564" s="43">
        <v>0.76</v>
      </c>
      <c r="O564" s="42">
        <v>36574.71</v>
      </c>
      <c r="P564" s="42">
        <v>0</v>
      </c>
    </row>
    <row r="565" spans="1:16" ht="15" customHeight="1" x14ac:dyDescent="0.3">
      <c r="A565" s="44" t="s">
        <v>1206</v>
      </c>
      <c r="B565" s="45">
        <v>44862</v>
      </c>
      <c r="C565" s="44" t="s">
        <v>1207</v>
      </c>
      <c r="D565" s="44" t="s">
        <v>75</v>
      </c>
      <c r="E565" s="46">
        <v>15437</v>
      </c>
      <c r="F565" s="47">
        <v>0.215</v>
      </c>
      <c r="G565" s="44">
        <v>60</v>
      </c>
      <c r="H565" s="44" t="s">
        <v>36</v>
      </c>
      <c r="I565" s="44" t="s">
        <v>60</v>
      </c>
      <c r="J565" s="44" t="s">
        <v>76</v>
      </c>
      <c r="K565" s="48">
        <v>136651</v>
      </c>
      <c r="L565" s="44" t="s">
        <v>68</v>
      </c>
      <c r="M565" s="49">
        <v>0.4</v>
      </c>
      <c r="N565" s="49">
        <v>0.69</v>
      </c>
      <c r="O565" s="48">
        <v>4267.6000000000004</v>
      </c>
      <c r="P565" s="48">
        <v>0</v>
      </c>
    </row>
    <row r="566" spans="1:16" ht="15" customHeight="1" x14ac:dyDescent="0.3">
      <c r="A566" s="38" t="s">
        <v>1208</v>
      </c>
      <c r="B566" s="39">
        <v>44862</v>
      </c>
      <c r="C566" s="38" t="s">
        <v>1209</v>
      </c>
      <c r="D566" s="38" t="s">
        <v>79</v>
      </c>
      <c r="E566" s="40">
        <v>31620</v>
      </c>
      <c r="F566" s="41">
        <v>0.24</v>
      </c>
      <c r="G566" s="38">
        <v>36</v>
      </c>
      <c r="H566" s="38" t="s">
        <v>35</v>
      </c>
      <c r="I566" s="38" t="s">
        <v>66</v>
      </c>
      <c r="J566" s="38" t="s">
        <v>76</v>
      </c>
      <c r="K566" s="42">
        <v>137173</v>
      </c>
      <c r="L566" s="38" t="s">
        <v>62</v>
      </c>
      <c r="M566" s="43">
        <v>0.43</v>
      </c>
      <c r="N566" s="43">
        <v>0.56000000000000005</v>
      </c>
      <c r="O566" s="42">
        <v>39208.800000000003</v>
      </c>
      <c r="P566" s="42">
        <v>0</v>
      </c>
    </row>
    <row r="567" spans="1:16" ht="15" customHeight="1" x14ac:dyDescent="0.3">
      <c r="A567" s="38" t="s">
        <v>1210</v>
      </c>
      <c r="B567" s="39">
        <v>44862</v>
      </c>
      <c r="C567" s="38" t="s">
        <v>1211</v>
      </c>
      <c r="D567" s="38" t="s">
        <v>79</v>
      </c>
      <c r="E567" s="40">
        <v>15716</v>
      </c>
      <c r="F567" s="41">
        <v>0.06</v>
      </c>
      <c r="G567" s="38">
        <v>36</v>
      </c>
      <c r="H567" s="38" t="s">
        <v>35</v>
      </c>
      <c r="I567" s="38" t="s">
        <v>80</v>
      </c>
      <c r="J567" s="38" t="s">
        <v>61</v>
      </c>
      <c r="K567" s="42">
        <v>49309</v>
      </c>
      <c r="L567" s="38" t="s">
        <v>62</v>
      </c>
      <c r="M567" s="43">
        <v>0.22</v>
      </c>
      <c r="N567" s="43">
        <v>0.53</v>
      </c>
      <c r="O567" s="42">
        <v>16658.96</v>
      </c>
      <c r="P567" s="42">
        <v>0</v>
      </c>
    </row>
    <row r="568" spans="1:16" ht="15" customHeight="1" x14ac:dyDescent="0.3">
      <c r="A568" s="38" t="s">
        <v>1212</v>
      </c>
      <c r="B568" s="39">
        <v>44863</v>
      </c>
      <c r="C568" s="38" t="s">
        <v>1213</v>
      </c>
      <c r="D568" s="38" t="s">
        <v>65</v>
      </c>
      <c r="E568" s="40">
        <v>37059</v>
      </c>
      <c r="F568" s="41">
        <v>7.0000000000000007E-2</v>
      </c>
      <c r="G568" s="38">
        <v>60</v>
      </c>
      <c r="H568" s="38" t="s">
        <v>35</v>
      </c>
      <c r="I568" s="38" t="s">
        <v>60</v>
      </c>
      <c r="J568" s="38" t="s">
        <v>67</v>
      </c>
      <c r="K568" s="42">
        <v>59437</v>
      </c>
      <c r="L568" s="38" t="s">
        <v>68</v>
      </c>
      <c r="M568" s="43">
        <v>0.21</v>
      </c>
      <c r="N568" s="43">
        <v>0.54</v>
      </c>
      <c r="O568" s="42">
        <v>39653.129999999997</v>
      </c>
      <c r="P568" s="42">
        <v>0</v>
      </c>
    </row>
    <row r="569" spans="1:16" ht="15" customHeight="1" x14ac:dyDescent="0.3">
      <c r="A569" s="38" t="s">
        <v>1214</v>
      </c>
      <c r="B569" s="39">
        <v>44864</v>
      </c>
      <c r="C569" s="38" t="s">
        <v>1215</v>
      </c>
      <c r="D569" s="38" t="s">
        <v>125</v>
      </c>
      <c r="E569" s="40">
        <v>18778</v>
      </c>
      <c r="F569" s="41">
        <v>0.17100000000000001</v>
      </c>
      <c r="G569" s="38">
        <v>60</v>
      </c>
      <c r="H569" s="38" t="s">
        <v>35</v>
      </c>
      <c r="I569" s="38" t="s">
        <v>83</v>
      </c>
      <c r="J569" s="38" t="s">
        <v>61</v>
      </c>
      <c r="K569" s="42">
        <v>49583</v>
      </c>
      <c r="L569" s="38" t="s">
        <v>68</v>
      </c>
      <c r="M569" s="43">
        <v>0.11</v>
      </c>
      <c r="N569" s="43">
        <v>0.66</v>
      </c>
      <c r="O569" s="42">
        <v>21989.040000000001</v>
      </c>
      <c r="P569" s="42">
        <v>0</v>
      </c>
    </row>
    <row r="570" spans="1:16" ht="15" customHeight="1" x14ac:dyDescent="0.3">
      <c r="A570" s="50" t="s">
        <v>1216</v>
      </c>
      <c r="B570" s="51">
        <v>44866</v>
      </c>
      <c r="C570" s="50" t="s">
        <v>1217</v>
      </c>
      <c r="D570" s="50" t="s">
        <v>65</v>
      </c>
      <c r="E570" s="52">
        <v>13677</v>
      </c>
      <c r="F570" s="53">
        <v>0.19700000000000001</v>
      </c>
      <c r="G570" s="50">
        <v>36</v>
      </c>
      <c r="H570" s="50" t="s">
        <v>38</v>
      </c>
      <c r="I570" s="50" t="s">
        <v>80</v>
      </c>
      <c r="J570" s="50" t="s">
        <v>61</v>
      </c>
      <c r="K570" s="54">
        <v>108484</v>
      </c>
      <c r="L570" s="50" t="s">
        <v>85</v>
      </c>
      <c r="M570" s="55">
        <v>0.38</v>
      </c>
      <c r="N570" s="55">
        <v>0.6</v>
      </c>
      <c r="O570" s="54">
        <v>0</v>
      </c>
      <c r="P570" s="54">
        <v>0</v>
      </c>
    </row>
    <row r="571" spans="1:16" ht="15" customHeight="1" x14ac:dyDescent="0.3">
      <c r="A571" s="50" t="s">
        <v>1218</v>
      </c>
      <c r="B571" s="51">
        <v>44868</v>
      </c>
      <c r="C571" s="50" t="s">
        <v>1219</v>
      </c>
      <c r="D571" s="50" t="s">
        <v>79</v>
      </c>
      <c r="E571" s="52">
        <v>38873</v>
      </c>
      <c r="F571" s="53">
        <v>0.156</v>
      </c>
      <c r="G571" s="50">
        <v>36</v>
      </c>
      <c r="H571" s="50" t="s">
        <v>38</v>
      </c>
      <c r="I571" s="50" t="s">
        <v>60</v>
      </c>
      <c r="J571" s="50" t="s">
        <v>76</v>
      </c>
      <c r="K571" s="54">
        <v>106537</v>
      </c>
      <c r="L571" s="50" t="s">
        <v>62</v>
      </c>
      <c r="M571" s="55">
        <v>0.25</v>
      </c>
      <c r="N571" s="55">
        <v>0.62</v>
      </c>
      <c r="O571" s="54">
        <v>0</v>
      </c>
      <c r="P571" s="54">
        <v>0</v>
      </c>
    </row>
    <row r="572" spans="1:16" ht="15" customHeight="1" x14ac:dyDescent="0.3">
      <c r="A572" s="50" t="s">
        <v>1220</v>
      </c>
      <c r="B572" s="51">
        <v>44868</v>
      </c>
      <c r="C572" s="50" t="s">
        <v>1221</v>
      </c>
      <c r="D572" s="50" t="s">
        <v>79</v>
      </c>
      <c r="E572" s="52">
        <v>13803</v>
      </c>
      <c r="F572" s="53">
        <v>0.13900000000000001</v>
      </c>
      <c r="G572" s="50">
        <v>36</v>
      </c>
      <c r="H572" s="50" t="s">
        <v>38</v>
      </c>
      <c r="I572" s="50" t="s">
        <v>60</v>
      </c>
      <c r="J572" s="50" t="s">
        <v>72</v>
      </c>
      <c r="K572" s="54">
        <v>48263</v>
      </c>
      <c r="L572" s="50" t="s">
        <v>85</v>
      </c>
      <c r="M572" s="55">
        <v>0.37</v>
      </c>
      <c r="N572" s="55">
        <v>0.93</v>
      </c>
      <c r="O572" s="54">
        <v>0</v>
      </c>
      <c r="P572" s="54">
        <v>0</v>
      </c>
    </row>
    <row r="573" spans="1:16" ht="15" customHeight="1" x14ac:dyDescent="0.3">
      <c r="A573" s="38" t="s">
        <v>1222</v>
      </c>
      <c r="B573" s="39">
        <v>44870</v>
      </c>
      <c r="C573" s="38" t="s">
        <v>1223</v>
      </c>
      <c r="D573" s="38" t="s">
        <v>108</v>
      </c>
      <c r="E573" s="40">
        <v>26619</v>
      </c>
      <c r="F573" s="41">
        <v>0.17</v>
      </c>
      <c r="G573" s="38">
        <v>60</v>
      </c>
      <c r="H573" s="38" t="s">
        <v>35</v>
      </c>
      <c r="I573" s="38" t="s">
        <v>60</v>
      </c>
      <c r="J573" s="38" t="s">
        <v>67</v>
      </c>
      <c r="K573" s="42">
        <v>64700</v>
      </c>
      <c r="L573" s="38" t="s">
        <v>68</v>
      </c>
      <c r="M573" s="43">
        <v>0.34</v>
      </c>
      <c r="N573" s="43">
        <v>0.8</v>
      </c>
      <c r="O573" s="42">
        <v>31144.23</v>
      </c>
      <c r="P573" s="42">
        <v>0</v>
      </c>
    </row>
    <row r="574" spans="1:16" ht="15" customHeight="1" x14ac:dyDescent="0.3">
      <c r="A574" s="38" t="s">
        <v>1224</v>
      </c>
      <c r="B574" s="39">
        <v>44872</v>
      </c>
      <c r="C574" s="38" t="s">
        <v>1225</v>
      </c>
      <c r="D574" s="38" t="s">
        <v>79</v>
      </c>
      <c r="E574" s="40">
        <v>20342</v>
      </c>
      <c r="F574" s="41">
        <v>0.14399999999999999</v>
      </c>
      <c r="G574" s="38">
        <v>60</v>
      </c>
      <c r="H574" s="38" t="s">
        <v>35</v>
      </c>
      <c r="I574" s="38" t="s">
        <v>66</v>
      </c>
      <c r="J574" s="38" t="s">
        <v>72</v>
      </c>
      <c r="K574" s="42">
        <v>53906</v>
      </c>
      <c r="L574" s="38" t="s">
        <v>85</v>
      </c>
      <c r="M574" s="43">
        <v>0.24</v>
      </c>
      <c r="N574" s="43">
        <v>0.55000000000000004</v>
      </c>
      <c r="O574" s="42">
        <v>23271.25</v>
      </c>
      <c r="P574" s="42">
        <v>0</v>
      </c>
    </row>
    <row r="575" spans="1:16" ht="15" customHeight="1" x14ac:dyDescent="0.3">
      <c r="A575" s="44" t="s">
        <v>1226</v>
      </c>
      <c r="B575" s="45">
        <v>44872</v>
      </c>
      <c r="C575" s="44" t="s">
        <v>1227</v>
      </c>
      <c r="D575" s="44" t="s">
        <v>125</v>
      </c>
      <c r="E575" s="46">
        <v>21581</v>
      </c>
      <c r="F575" s="47">
        <v>0.223</v>
      </c>
      <c r="G575" s="44">
        <v>60</v>
      </c>
      <c r="H575" s="44" t="s">
        <v>36</v>
      </c>
      <c r="I575" s="44" t="s">
        <v>83</v>
      </c>
      <c r="J575" s="44" t="s">
        <v>67</v>
      </c>
      <c r="K575" s="48">
        <v>96798</v>
      </c>
      <c r="L575" s="44" t="s">
        <v>62</v>
      </c>
      <c r="M575" s="49">
        <v>0.15</v>
      </c>
      <c r="N575" s="49">
        <v>0.93</v>
      </c>
      <c r="O575" s="48">
        <v>4810.13</v>
      </c>
      <c r="P575" s="48">
        <v>0</v>
      </c>
    </row>
    <row r="576" spans="1:16" ht="15" customHeight="1" x14ac:dyDescent="0.3">
      <c r="A576" s="44" t="s">
        <v>1228</v>
      </c>
      <c r="B576" s="45">
        <v>44873</v>
      </c>
      <c r="C576" s="44" t="s">
        <v>1229</v>
      </c>
      <c r="D576" s="44" t="s">
        <v>59</v>
      </c>
      <c r="E576" s="46">
        <v>27928</v>
      </c>
      <c r="F576" s="47">
        <v>0.10100000000000001</v>
      </c>
      <c r="G576" s="44">
        <v>36</v>
      </c>
      <c r="H576" s="44" t="s">
        <v>36</v>
      </c>
      <c r="I576" s="44" t="s">
        <v>60</v>
      </c>
      <c r="J576" s="44" t="s">
        <v>61</v>
      </c>
      <c r="K576" s="48">
        <v>36587</v>
      </c>
      <c r="L576" s="44" t="s">
        <v>68</v>
      </c>
      <c r="M576" s="49">
        <v>0.1</v>
      </c>
      <c r="N576" s="49">
        <v>0.57999999999999996</v>
      </c>
      <c r="O576" s="48">
        <v>8685.1299999999992</v>
      </c>
      <c r="P576" s="48">
        <v>0</v>
      </c>
    </row>
    <row r="577" spans="1:16" ht="15" customHeight="1" x14ac:dyDescent="0.3">
      <c r="A577" s="38" t="s">
        <v>1230</v>
      </c>
      <c r="B577" s="39">
        <v>44878</v>
      </c>
      <c r="C577" s="38" t="s">
        <v>1231</v>
      </c>
      <c r="D577" s="38" t="s">
        <v>88</v>
      </c>
      <c r="E577" s="40">
        <v>14507</v>
      </c>
      <c r="F577" s="41">
        <v>0.23899999999999999</v>
      </c>
      <c r="G577" s="38">
        <v>60</v>
      </c>
      <c r="H577" s="38" t="s">
        <v>35</v>
      </c>
      <c r="I577" s="38" t="s">
        <v>80</v>
      </c>
      <c r="J577" s="38" t="s">
        <v>72</v>
      </c>
      <c r="K577" s="42">
        <v>98798</v>
      </c>
      <c r="L577" s="38" t="s">
        <v>62</v>
      </c>
      <c r="M577" s="43">
        <v>0.5</v>
      </c>
      <c r="N577" s="43">
        <v>0.55000000000000004</v>
      </c>
      <c r="O577" s="42">
        <v>17974.169999999998</v>
      </c>
      <c r="P577" s="42">
        <v>0</v>
      </c>
    </row>
    <row r="578" spans="1:16" ht="15" customHeight="1" x14ac:dyDescent="0.3">
      <c r="A578" s="38" t="s">
        <v>1232</v>
      </c>
      <c r="B578" s="39">
        <v>44878</v>
      </c>
      <c r="C578" s="38" t="s">
        <v>1233</v>
      </c>
      <c r="D578" s="38" t="s">
        <v>138</v>
      </c>
      <c r="E578" s="40">
        <v>24510</v>
      </c>
      <c r="F578" s="41">
        <v>5.1999999999999998E-2</v>
      </c>
      <c r="G578" s="38">
        <v>36</v>
      </c>
      <c r="H578" s="38" t="s">
        <v>35</v>
      </c>
      <c r="I578" s="38" t="s">
        <v>71</v>
      </c>
      <c r="J578" s="38" t="s">
        <v>76</v>
      </c>
      <c r="K578" s="42">
        <v>92522</v>
      </c>
      <c r="L578" s="38" t="s">
        <v>68</v>
      </c>
      <c r="M578" s="43">
        <v>0.43</v>
      </c>
      <c r="N578" s="43">
        <v>0.7</v>
      </c>
      <c r="O578" s="42">
        <v>25784.52</v>
      </c>
      <c r="P578" s="42">
        <v>0</v>
      </c>
    </row>
    <row r="579" spans="1:16" ht="15" customHeight="1" x14ac:dyDescent="0.3">
      <c r="A579" s="38" t="s">
        <v>1234</v>
      </c>
      <c r="B579" s="39">
        <v>44878</v>
      </c>
      <c r="C579" s="38" t="s">
        <v>1235</v>
      </c>
      <c r="D579" s="38" t="s">
        <v>59</v>
      </c>
      <c r="E579" s="40">
        <v>28208</v>
      </c>
      <c r="F579" s="41">
        <v>0.24399999999999999</v>
      </c>
      <c r="G579" s="38">
        <v>60</v>
      </c>
      <c r="H579" s="38" t="s">
        <v>35</v>
      </c>
      <c r="I579" s="38" t="s">
        <v>83</v>
      </c>
      <c r="J579" s="38" t="s">
        <v>84</v>
      </c>
      <c r="K579" s="42">
        <v>45916</v>
      </c>
      <c r="L579" s="38" t="s">
        <v>62</v>
      </c>
      <c r="M579" s="43">
        <v>0.36</v>
      </c>
      <c r="N579" s="43">
        <v>0.89</v>
      </c>
      <c r="O579" s="42">
        <v>35090.75</v>
      </c>
      <c r="P579" s="42">
        <v>0</v>
      </c>
    </row>
    <row r="580" spans="1:16" ht="15" customHeight="1" x14ac:dyDescent="0.3">
      <c r="A580" s="50" t="s">
        <v>1236</v>
      </c>
      <c r="B580" s="51">
        <v>44879</v>
      </c>
      <c r="C580" s="50" t="s">
        <v>1237</v>
      </c>
      <c r="D580" s="50" t="s">
        <v>113</v>
      </c>
      <c r="E580" s="52">
        <v>23641</v>
      </c>
      <c r="F580" s="53">
        <v>0.125</v>
      </c>
      <c r="G580" s="50">
        <v>60</v>
      </c>
      <c r="H580" s="50" t="s">
        <v>38</v>
      </c>
      <c r="I580" s="50" t="s">
        <v>66</v>
      </c>
      <c r="J580" s="50" t="s">
        <v>67</v>
      </c>
      <c r="K580" s="54">
        <v>99783</v>
      </c>
      <c r="L580" s="50" t="s">
        <v>68</v>
      </c>
      <c r="M580" s="55">
        <v>0.47</v>
      </c>
      <c r="N580" s="55">
        <v>0.72</v>
      </c>
      <c r="O580" s="54">
        <v>0</v>
      </c>
      <c r="P580" s="54">
        <v>0</v>
      </c>
    </row>
    <row r="581" spans="1:16" ht="15" customHeight="1" x14ac:dyDescent="0.3">
      <c r="A581" s="38" t="s">
        <v>1238</v>
      </c>
      <c r="B581" s="39">
        <v>44880</v>
      </c>
      <c r="C581" s="38" t="s">
        <v>1239</v>
      </c>
      <c r="D581" s="38" t="s">
        <v>88</v>
      </c>
      <c r="E581" s="40">
        <v>9820</v>
      </c>
      <c r="F581" s="41">
        <v>0.17199999999999999</v>
      </c>
      <c r="G581" s="38">
        <v>36</v>
      </c>
      <c r="H581" s="38" t="s">
        <v>35</v>
      </c>
      <c r="I581" s="38" t="s">
        <v>83</v>
      </c>
      <c r="J581" s="38" t="s">
        <v>76</v>
      </c>
      <c r="K581" s="42">
        <v>65710</v>
      </c>
      <c r="L581" s="38" t="s">
        <v>68</v>
      </c>
      <c r="M581" s="43">
        <v>0.28000000000000003</v>
      </c>
      <c r="N581" s="43">
        <v>0.52</v>
      </c>
      <c r="O581" s="42">
        <v>11509.04</v>
      </c>
      <c r="P581" s="42">
        <v>0</v>
      </c>
    </row>
    <row r="582" spans="1:16" ht="15" customHeight="1" x14ac:dyDescent="0.3">
      <c r="A582" s="38" t="s">
        <v>1240</v>
      </c>
      <c r="B582" s="39">
        <v>44880</v>
      </c>
      <c r="C582" s="38" t="s">
        <v>1241</v>
      </c>
      <c r="D582" s="38" t="s">
        <v>113</v>
      </c>
      <c r="E582" s="40">
        <v>38114</v>
      </c>
      <c r="F582" s="41">
        <v>7.8E-2</v>
      </c>
      <c r="G582" s="38">
        <v>36</v>
      </c>
      <c r="H582" s="38" t="s">
        <v>35</v>
      </c>
      <c r="I582" s="38" t="s">
        <v>66</v>
      </c>
      <c r="J582" s="38" t="s">
        <v>84</v>
      </c>
      <c r="K582" s="42">
        <v>51839</v>
      </c>
      <c r="L582" s="38" t="s">
        <v>68</v>
      </c>
      <c r="M582" s="43">
        <v>0.48</v>
      </c>
      <c r="N582" s="43">
        <v>0.51</v>
      </c>
      <c r="O582" s="42">
        <v>41086.89</v>
      </c>
      <c r="P582" s="42">
        <v>0</v>
      </c>
    </row>
    <row r="583" spans="1:16" ht="15" customHeight="1" x14ac:dyDescent="0.3">
      <c r="A583" s="38" t="s">
        <v>1242</v>
      </c>
      <c r="B583" s="39">
        <v>44881</v>
      </c>
      <c r="C583" s="38" t="s">
        <v>1243</v>
      </c>
      <c r="D583" s="38" t="s">
        <v>59</v>
      </c>
      <c r="E583" s="40">
        <v>2742</v>
      </c>
      <c r="F583" s="41">
        <v>0.16</v>
      </c>
      <c r="G583" s="38">
        <v>36</v>
      </c>
      <c r="H583" s="38" t="s">
        <v>35</v>
      </c>
      <c r="I583" s="38" t="s">
        <v>80</v>
      </c>
      <c r="J583" s="38" t="s">
        <v>76</v>
      </c>
      <c r="K583" s="42">
        <v>41151</v>
      </c>
      <c r="L583" s="38" t="s">
        <v>85</v>
      </c>
      <c r="M583" s="43">
        <v>0.2</v>
      </c>
      <c r="N583" s="43">
        <v>0.73</v>
      </c>
      <c r="O583" s="42">
        <v>3180.72</v>
      </c>
      <c r="P583" s="42">
        <v>0</v>
      </c>
    </row>
    <row r="584" spans="1:16" ht="15" customHeight="1" x14ac:dyDescent="0.3">
      <c r="A584" s="44" t="s">
        <v>1244</v>
      </c>
      <c r="B584" s="45">
        <v>44881</v>
      </c>
      <c r="C584" s="44" t="s">
        <v>1245</v>
      </c>
      <c r="D584" s="44" t="s">
        <v>65</v>
      </c>
      <c r="E584" s="46">
        <v>8009</v>
      </c>
      <c r="F584" s="47">
        <v>0.108</v>
      </c>
      <c r="G584" s="44">
        <v>60</v>
      </c>
      <c r="H584" s="44" t="s">
        <v>36</v>
      </c>
      <c r="I584" s="44" t="s">
        <v>80</v>
      </c>
      <c r="J584" s="44" t="s">
        <v>76</v>
      </c>
      <c r="K584" s="48">
        <v>100014</v>
      </c>
      <c r="L584" s="44" t="s">
        <v>68</v>
      </c>
      <c r="M584" s="49">
        <v>0.42</v>
      </c>
      <c r="N584" s="49">
        <v>0.9</v>
      </c>
      <c r="O584" s="48">
        <v>2353.41</v>
      </c>
      <c r="P584" s="48">
        <v>0</v>
      </c>
    </row>
    <row r="585" spans="1:16" ht="15" customHeight="1" x14ac:dyDescent="0.3">
      <c r="A585" s="38" t="s">
        <v>1246</v>
      </c>
      <c r="B585" s="39">
        <v>44881</v>
      </c>
      <c r="C585" s="38" t="s">
        <v>1247</v>
      </c>
      <c r="D585" s="38" t="s">
        <v>138</v>
      </c>
      <c r="E585" s="40">
        <v>9595</v>
      </c>
      <c r="F585" s="41">
        <v>0.24</v>
      </c>
      <c r="G585" s="38">
        <v>60</v>
      </c>
      <c r="H585" s="38" t="s">
        <v>35</v>
      </c>
      <c r="I585" s="38" t="s">
        <v>60</v>
      </c>
      <c r="J585" s="38" t="s">
        <v>72</v>
      </c>
      <c r="K585" s="42">
        <v>48814</v>
      </c>
      <c r="L585" s="38" t="s">
        <v>68</v>
      </c>
      <c r="M585" s="43">
        <v>0.18</v>
      </c>
      <c r="N585" s="43">
        <v>0.72</v>
      </c>
      <c r="O585" s="42">
        <v>11897.8</v>
      </c>
      <c r="P585" s="42">
        <v>0</v>
      </c>
    </row>
    <row r="586" spans="1:16" ht="15" customHeight="1" x14ac:dyDescent="0.3">
      <c r="A586" s="38" t="s">
        <v>1248</v>
      </c>
      <c r="B586" s="39">
        <v>44882</v>
      </c>
      <c r="C586" s="38" t="s">
        <v>1249</v>
      </c>
      <c r="D586" s="38" t="s">
        <v>88</v>
      </c>
      <c r="E586" s="40">
        <v>3719</v>
      </c>
      <c r="F586" s="41">
        <v>0.246</v>
      </c>
      <c r="G586" s="38">
        <v>60</v>
      </c>
      <c r="H586" s="38" t="s">
        <v>35</v>
      </c>
      <c r="I586" s="38" t="s">
        <v>83</v>
      </c>
      <c r="J586" s="38" t="s">
        <v>67</v>
      </c>
      <c r="K586" s="42">
        <v>47375</v>
      </c>
      <c r="L586" s="38" t="s">
        <v>85</v>
      </c>
      <c r="M586" s="43">
        <v>0.38</v>
      </c>
      <c r="N586" s="43">
        <v>0.71</v>
      </c>
      <c r="O586" s="42">
        <v>4633.87</v>
      </c>
      <c r="P586" s="42">
        <v>0</v>
      </c>
    </row>
    <row r="587" spans="1:16" ht="15" customHeight="1" x14ac:dyDescent="0.3">
      <c r="A587" s="38" t="s">
        <v>1250</v>
      </c>
      <c r="B587" s="39">
        <v>44883</v>
      </c>
      <c r="C587" s="38" t="s">
        <v>1251</v>
      </c>
      <c r="D587" s="38" t="s">
        <v>113</v>
      </c>
      <c r="E587" s="40">
        <v>25063</v>
      </c>
      <c r="F587" s="41">
        <v>0.20699999999999999</v>
      </c>
      <c r="G587" s="38">
        <v>36</v>
      </c>
      <c r="H587" s="38" t="s">
        <v>35</v>
      </c>
      <c r="I587" s="38" t="s">
        <v>257</v>
      </c>
      <c r="J587" s="38" t="s">
        <v>61</v>
      </c>
      <c r="K587" s="42">
        <v>148094</v>
      </c>
      <c r="L587" s="38" t="s">
        <v>85</v>
      </c>
      <c r="M587" s="43">
        <v>0.41</v>
      </c>
      <c r="N587" s="43">
        <v>0.72</v>
      </c>
      <c r="O587" s="42">
        <v>30251.040000000001</v>
      </c>
      <c r="P587" s="42">
        <v>0</v>
      </c>
    </row>
    <row r="588" spans="1:16" ht="15" customHeight="1" x14ac:dyDescent="0.3">
      <c r="A588" s="38" t="s">
        <v>1252</v>
      </c>
      <c r="B588" s="39">
        <v>44884</v>
      </c>
      <c r="C588" s="38" t="s">
        <v>1253</v>
      </c>
      <c r="D588" s="38" t="s">
        <v>75</v>
      </c>
      <c r="E588" s="40">
        <v>24265</v>
      </c>
      <c r="F588" s="41">
        <v>5.8999999999999997E-2</v>
      </c>
      <c r="G588" s="38">
        <v>36</v>
      </c>
      <c r="H588" s="38" t="s">
        <v>35</v>
      </c>
      <c r="I588" s="38" t="s">
        <v>60</v>
      </c>
      <c r="J588" s="38" t="s">
        <v>76</v>
      </c>
      <c r="K588" s="42">
        <v>80357</v>
      </c>
      <c r="L588" s="38" t="s">
        <v>68</v>
      </c>
      <c r="M588" s="43">
        <v>0.28000000000000003</v>
      </c>
      <c r="N588" s="43">
        <v>0.51</v>
      </c>
      <c r="O588" s="42">
        <v>25696.639999999999</v>
      </c>
      <c r="P588" s="42">
        <v>0</v>
      </c>
    </row>
    <row r="589" spans="1:16" ht="15" customHeight="1" x14ac:dyDescent="0.3">
      <c r="A589" s="38" t="s">
        <v>1254</v>
      </c>
      <c r="B589" s="39">
        <v>44885</v>
      </c>
      <c r="C589" s="38" t="s">
        <v>1255</v>
      </c>
      <c r="D589" s="38" t="s">
        <v>138</v>
      </c>
      <c r="E589" s="40">
        <v>36732</v>
      </c>
      <c r="F589" s="41">
        <v>5.8999999999999997E-2</v>
      </c>
      <c r="G589" s="38">
        <v>60</v>
      </c>
      <c r="H589" s="38" t="s">
        <v>35</v>
      </c>
      <c r="I589" s="38" t="s">
        <v>114</v>
      </c>
      <c r="J589" s="38" t="s">
        <v>72</v>
      </c>
      <c r="K589" s="42">
        <v>61508</v>
      </c>
      <c r="L589" s="38" t="s">
        <v>62</v>
      </c>
      <c r="M589" s="43">
        <v>0.33</v>
      </c>
      <c r="N589" s="43">
        <v>0.73</v>
      </c>
      <c r="O589" s="42">
        <v>38899.19</v>
      </c>
      <c r="P589" s="42">
        <v>0</v>
      </c>
    </row>
    <row r="590" spans="1:16" ht="15" customHeight="1" x14ac:dyDescent="0.3">
      <c r="A590" s="38" t="s">
        <v>1256</v>
      </c>
      <c r="B590" s="39">
        <v>44885</v>
      </c>
      <c r="C590" s="38" t="s">
        <v>1257</v>
      </c>
      <c r="D590" s="38" t="s">
        <v>108</v>
      </c>
      <c r="E590" s="40">
        <v>7276</v>
      </c>
      <c r="F590" s="41">
        <v>0.10199999999999999</v>
      </c>
      <c r="G590" s="38">
        <v>36</v>
      </c>
      <c r="H590" s="38" t="s">
        <v>35</v>
      </c>
      <c r="I590" s="38" t="s">
        <v>71</v>
      </c>
      <c r="J590" s="38" t="s">
        <v>67</v>
      </c>
      <c r="K590" s="42">
        <v>94729</v>
      </c>
      <c r="L590" s="38" t="s">
        <v>62</v>
      </c>
      <c r="M590" s="43">
        <v>0.1</v>
      </c>
      <c r="N590" s="43">
        <v>0.88</v>
      </c>
      <c r="O590" s="42">
        <v>8018.15</v>
      </c>
      <c r="P590" s="42">
        <v>0</v>
      </c>
    </row>
    <row r="591" spans="1:16" ht="15" customHeight="1" x14ac:dyDescent="0.3">
      <c r="A591" s="38" t="s">
        <v>1258</v>
      </c>
      <c r="B591" s="39">
        <v>44886</v>
      </c>
      <c r="C591" s="38" t="s">
        <v>1259</v>
      </c>
      <c r="D591" s="38" t="s">
        <v>79</v>
      </c>
      <c r="E591" s="40">
        <v>1145</v>
      </c>
      <c r="F591" s="41">
        <v>0.248</v>
      </c>
      <c r="G591" s="38">
        <v>60</v>
      </c>
      <c r="H591" s="38" t="s">
        <v>35</v>
      </c>
      <c r="I591" s="38" t="s">
        <v>60</v>
      </c>
      <c r="J591" s="38" t="s">
        <v>61</v>
      </c>
      <c r="K591" s="42">
        <v>75397</v>
      </c>
      <c r="L591" s="38" t="s">
        <v>62</v>
      </c>
      <c r="M591" s="43">
        <v>0.3</v>
      </c>
      <c r="N591" s="43">
        <v>0.73</v>
      </c>
      <c r="O591" s="42">
        <v>1428.96</v>
      </c>
      <c r="P591" s="42">
        <v>0</v>
      </c>
    </row>
    <row r="592" spans="1:16" ht="15" customHeight="1" x14ac:dyDescent="0.3">
      <c r="A592" s="38" t="s">
        <v>1260</v>
      </c>
      <c r="B592" s="39">
        <v>44886</v>
      </c>
      <c r="C592" s="38" t="s">
        <v>1261</v>
      </c>
      <c r="D592" s="38" t="s">
        <v>138</v>
      </c>
      <c r="E592" s="40">
        <v>18343</v>
      </c>
      <c r="F592" s="41">
        <v>7.2999999999999995E-2</v>
      </c>
      <c r="G592" s="38">
        <v>60</v>
      </c>
      <c r="H592" s="38" t="s">
        <v>35</v>
      </c>
      <c r="I592" s="38" t="s">
        <v>66</v>
      </c>
      <c r="J592" s="38" t="s">
        <v>76</v>
      </c>
      <c r="K592" s="42">
        <v>49173</v>
      </c>
      <c r="L592" s="38" t="s">
        <v>68</v>
      </c>
      <c r="M592" s="43">
        <v>0.3</v>
      </c>
      <c r="N592" s="43">
        <v>0.61</v>
      </c>
      <c r="O592" s="42">
        <v>19682.04</v>
      </c>
      <c r="P592" s="42">
        <v>0</v>
      </c>
    </row>
    <row r="593" spans="1:16" ht="15" customHeight="1" x14ac:dyDescent="0.3">
      <c r="A593" s="56" t="s">
        <v>1262</v>
      </c>
      <c r="B593" s="57">
        <v>44887</v>
      </c>
      <c r="C593" s="56" t="s">
        <v>1263</v>
      </c>
      <c r="D593" s="56" t="s">
        <v>125</v>
      </c>
      <c r="E593" s="58">
        <v>16251</v>
      </c>
      <c r="F593" s="59">
        <v>0.13400000000000001</v>
      </c>
      <c r="G593" s="56">
        <v>36</v>
      </c>
      <c r="H593" s="56" t="s">
        <v>37</v>
      </c>
      <c r="I593" s="56" t="s">
        <v>60</v>
      </c>
      <c r="J593" s="56" t="s">
        <v>67</v>
      </c>
      <c r="K593" s="60">
        <v>138106</v>
      </c>
      <c r="L593" s="56" t="s">
        <v>85</v>
      </c>
      <c r="M593" s="61">
        <v>0.19</v>
      </c>
      <c r="N593" s="61">
        <v>0.91</v>
      </c>
      <c r="O593" s="60">
        <v>4947.74</v>
      </c>
      <c r="P593" s="60">
        <v>1644.69</v>
      </c>
    </row>
    <row r="594" spans="1:16" ht="15" customHeight="1" x14ac:dyDescent="0.3">
      <c r="A594" s="38" t="s">
        <v>1264</v>
      </c>
      <c r="B594" s="39">
        <v>44888</v>
      </c>
      <c r="C594" s="38" t="s">
        <v>1265</v>
      </c>
      <c r="D594" s="38" t="s">
        <v>113</v>
      </c>
      <c r="E594" s="40">
        <v>7012</v>
      </c>
      <c r="F594" s="41">
        <v>0.186</v>
      </c>
      <c r="G594" s="38">
        <v>60</v>
      </c>
      <c r="H594" s="38" t="s">
        <v>35</v>
      </c>
      <c r="I594" s="38" t="s">
        <v>114</v>
      </c>
      <c r="J594" s="38" t="s">
        <v>72</v>
      </c>
      <c r="K594" s="42">
        <v>131739</v>
      </c>
      <c r="L594" s="38" t="s">
        <v>85</v>
      </c>
      <c r="M594" s="43">
        <v>0.34</v>
      </c>
      <c r="N594" s="43">
        <v>0.87</v>
      </c>
      <c r="O594" s="42">
        <v>8316.23</v>
      </c>
      <c r="P594" s="42">
        <v>0</v>
      </c>
    </row>
    <row r="595" spans="1:16" ht="15" customHeight="1" x14ac:dyDescent="0.3">
      <c r="A595" s="44" t="s">
        <v>1266</v>
      </c>
      <c r="B595" s="45">
        <v>44893</v>
      </c>
      <c r="C595" s="44" t="s">
        <v>1267</v>
      </c>
      <c r="D595" s="44" t="s">
        <v>138</v>
      </c>
      <c r="E595" s="46">
        <v>29087</v>
      </c>
      <c r="F595" s="47">
        <v>0.114</v>
      </c>
      <c r="G595" s="44">
        <v>60</v>
      </c>
      <c r="H595" s="44" t="s">
        <v>36</v>
      </c>
      <c r="I595" s="44" t="s">
        <v>114</v>
      </c>
      <c r="J595" s="44" t="s">
        <v>61</v>
      </c>
      <c r="K595" s="48">
        <v>39941</v>
      </c>
      <c r="L595" s="44" t="s">
        <v>62</v>
      </c>
      <c r="M595" s="49">
        <v>0.28999999999999998</v>
      </c>
      <c r="N595" s="49">
        <v>0.93</v>
      </c>
      <c r="O595" s="48">
        <v>11759.78</v>
      </c>
      <c r="P595" s="48">
        <v>0</v>
      </c>
    </row>
    <row r="596" spans="1:16" ht="15" customHeight="1" x14ac:dyDescent="0.3">
      <c r="A596" s="38" t="s">
        <v>1268</v>
      </c>
      <c r="B596" s="39">
        <v>44894</v>
      </c>
      <c r="C596" s="38" t="s">
        <v>1269</v>
      </c>
      <c r="D596" s="38" t="s">
        <v>113</v>
      </c>
      <c r="E596" s="40">
        <v>20975</v>
      </c>
      <c r="F596" s="41">
        <v>0.14499999999999999</v>
      </c>
      <c r="G596" s="38">
        <v>36</v>
      </c>
      <c r="H596" s="38" t="s">
        <v>35</v>
      </c>
      <c r="I596" s="38" t="s">
        <v>80</v>
      </c>
      <c r="J596" s="38" t="s">
        <v>76</v>
      </c>
      <c r="K596" s="42">
        <v>109675</v>
      </c>
      <c r="L596" s="38" t="s">
        <v>62</v>
      </c>
      <c r="M596" s="43">
        <v>0.11</v>
      </c>
      <c r="N596" s="43">
        <v>0.71</v>
      </c>
      <c r="O596" s="42">
        <v>24016.38</v>
      </c>
      <c r="P596" s="42">
        <v>0</v>
      </c>
    </row>
    <row r="597" spans="1:16" ht="15" customHeight="1" x14ac:dyDescent="0.3">
      <c r="A597" s="38" t="s">
        <v>1270</v>
      </c>
      <c r="B597" s="39">
        <v>44895</v>
      </c>
      <c r="C597" s="38" t="s">
        <v>1271</v>
      </c>
      <c r="D597" s="38" t="s">
        <v>138</v>
      </c>
      <c r="E597" s="40">
        <v>26537</v>
      </c>
      <c r="F597" s="41">
        <v>8.5000000000000006E-2</v>
      </c>
      <c r="G597" s="38">
        <v>36</v>
      </c>
      <c r="H597" s="38" t="s">
        <v>35</v>
      </c>
      <c r="I597" s="38" t="s">
        <v>60</v>
      </c>
      <c r="J597" s="38" t="s">
        <v>84</v>
      </c>
      <c r="K597" s="42">
        <v>48108</v>
      </c>
      <c r="L597" s="38" t="s">
        <v>62</v>
      </c>
      <c r="M597" s="43">
        <v>0.18</v>
      </c>
      <c r="N597" s="43">
        <v>0.5</v>
      </c>
      <c r="O597" s="42">
        <v>28792.639999999999</v>
      </c>
      <c r="P597" s="42">
        <v>0</v>
      </c>
    </row>
    <row r="598" spans="1:16" ht="15" customHeight="1" x14ac:dyDescent="0.3">
      <c r="A598" s="38" t="s">
        <v>1272</v>
      </c>
      <c r="B598" s="39">
        <v>44895</v>
      </c>
      <c r="C598" s="38" t="s">
        <v>1273</v>
      </c>
      <c r="D598" s="38" t="s">
        <v>113</v>
      </c>
      <c r="E598" s="40">
        <v>14919</v>
      </c>
      <c r="F598" s="41">
        <v>8.3000000000000004E-2</v>
      </c>
      <c r="G598" s="38">
        <v>36</v>
      </c>
      <c r="H598" s="38" t="s">
        <v>35</v>
      </c>
      <c r="I598" s="38" t="s">
        <v>257</v>
      </c>
      <c r="J598" s="38" t="s">
        <v>76</v>
      </c>
      <c r="K598" s="42">
        <v>102075</v>
      </c>
      <c r="L598" s="38" t="s">
        <v>85</v>
      </c>
      <c r="M598" s="43">
        <v>0.25</v>
      </c>
      <c r="N598" s="43">
        <v>0.78</v>
      </c>
      <c r="O598" s="42">
        <v>16157.28</v>
      </c>
      <c r="P598" s="42">
        <v>0</v>
      </c>
    </row>
    <row r="599" spans="1:16" ht="15" customHeight="1" x14ac:dyDescent="0.3">
      <c r="A599" s="44" t="s">
        <v>1274</v>
      </c>
      <c r="B599" s="45">
        <v>44895</v>
      </c>
      <c r="C599" s="44" t="s">
        <v>1275</v>
      </c>
      <c r="D599" s="44" t="s">
        <v>79</v>
      </c>
      <c r="E599" s="46">
        <v>24398</v>
      </c>
      <c r="F599" s="47">
        <v>9.5000000000000001E-2</v>
      </c>
      <c r="G599" s="44">
        <v>60</v>
      </c>
      <c r="H599" s="44" t="s">
        <v>36</v>
      </c>
      <c r="I599" s="44" t="s">
        <v>71</v>
      </c>
      <c r="J599" s="44" t="s">
        <v>76</v>
      </c>
      <c r="K599" s="48">
        <v>63998</v>
      </c>
      <c r="L599" s="44" t="s">
        <v>68</v>
      </c>
      <c r="M599" s="49">
        <v>0.37</v>
      </c>
      <c r="N599" s="49">
        <v>0.89</v>
      </c>
      <c r="O599" s="48">
        <v>5945.55</v>
      </c>
      <c r="P599" s="48">
        <v>0</v>
      </c>
    </row>
    <row r="600" spans="1:16" ht="15" customHeight="1" x14ac:dyDescent="0.3">
      <c r="A600" s="44" t="s">
        <v>1276</v>
      </c>
      <c r="B600" s="45">
        <v>44896</v>
      </c>
      <c r="C600" s="44" t="s">
        <v>1277</v>
      </c>
      <c r="D600" s="44" t="s">
        <v>59</v>
      </c>
      <c r="E600" s="46">
        <v>38605</v>
      </c>
      <c r="F600" s="47">
        <v>0.16200000000000001</v>
      </c>
      <c r="G600" s="44">
        <v>36</v>
      </c>
      <c r="H600" s="44" t="s">
        <v>36</v>
      </c>
      <c r="I600" s="44" t="s">
        <v>60</v>
      </c>
      <c r="J600" s="44" t="s">
        <v>61</v>
      </c>
      <c r="K600" s="48">
        <v>99497</v>
      </c>
      <c r="L600" s="44" t="s">
        <v>85</v>
      </c>
      <c r="M600" s="49">
        <v>0.25</v>
      </c>
      <c r="N600" s="49">
        <v>0.76</v>
      </c>
      <c r="O600" s="48">
        <v>7107.9</v>
      </c>
      <c r="P600" s="48">
        <v>0</v>
      </c>
    </row>
    <row r="601" spans="1:16" ht="15" customHeight="1" x14ac:dyDescent="0.3">
      <c r="A601" s="38" t="s">
        <v>1278</v>
      </c>
      <c r="B601" s="39">
        <v>44896</v>
      </c>
      <c r="C601" s="38" t="s">
        <v>1279</v>
      </c>
      <c r="D601" s="38" t="s">
        <v>97</v>
      </c>
      <c r="E601" s="40">
        <v>34130</v>
      </c>
      <c r="F601" s="41">
        <v>0.112</v>
      </c>
      <c r="G601" s="38">
        <v>60</v>
      </c>
      <c r="H601" s="38" t="s">
        <v>35</v>
      </c>
      <c r="I601" s="38" t="s">
        <v>83</v>
      </c>
      <c r="J601" s="38" t="s">
        <v>67</v>
      </c>
      <c r="K601" s="42">
        <v>124715</v>
      </c>
      <c r="L601" s="38" t="s">
        <v>62</v>
      </c>
      <c r="M601" s="43">
        <v>0.11</v>
      </c>
      <c r="N601" s="43">
        <v>0.71</v>
      </c>
      <c r="O601" s="42">
        <v>37952.559999999998</v>
      </c>
      <c r="P601" s="42">
        <v>0</v>
      </c>
    </row>
    <row r="602" spans="1:16" ht="15" customHeight="1" x14ac:dyDescent="0.3">
      <c r="A602" s="44" t="s">
        <v>1280</v>
      </c>
      <c r="B602" s="45">
        <v>44896</v>
      </c>
      <c r="C602" s="44" t="s">
        <v>1281</v>
      </c>
      <c r="D602" s="44" t="s">
        <v>75</v>
      </c>
      <c r="E602" s="46">
        <v>22172</v>
      </c>
      <c r="F602" s="47">
        <v>0.14199999999999999</v>
      </c>
      <c r="G602" s="44">
        <v>60</v>
      </c>
      <c r="H602" s="44" t="s">
        <v>36</v>
      </c>
      <c r="I602" s="44" t="s">
        <v>60</v>
      </c>
      <c r="J602" s="44" t="s">
        <v>84</v>
      </c>
      <c r="K602" s="48">
        <v>122910</v>
      </c>
      <c r="L602" s="44" t="s">
        <v>68</v>
      </c>
      <c r="M602" s="49">
        <v>0.44</v>
      </c>
      <c r="N602" s="49">
        <v>0.87</v>
      </c>
      <c r="O602" s="48">
        <v>2131.63</v>
      </c>
      <c r="P602" s="48">
        <v>0</v>
      </c>
    </row>
    <row r="603" spans="1:16" ht="15" customHeight="1" x14ac:dyDescent="0.3">
      <c r="A603" s="38" t="s">
        <v>1282</v>
      </c>
      <c r="B603" s="39">
        <v>44899</v>
      </c>
      <c r="C603" s="38" t="s">
        <v>1283</v>
      </c>
      <c r="D603" s="38" t="s">
        <v>59</v>
      </c>
      <c r="E603" s="40">
        <v>36111</v>
      </c>
      <c r="F603" s="41">
        <v>0.14699999999999999</v>
      </c>
      <c r="G603" s="38">
        <v>36</v>
      </c>
      <c r="H603" s="38" t="s">
        <v>35</v>
      </c>
      <c r="I603" s="38" t="s">
        <v>60</v>
      </c>
      <c r="J603" s="38" t="s">
        <v>61</v>
      </c>
      <c r="K603" s="42">
        <v>109930</v>
      </c>
      <c r="L603" s="38" t="s">
        <v>68</v>
      </c>
      <c r="M603" s="43">
        <v>0.38</v>
      </c>
      <c r="N603" s="43">
        <v>0.74</v>
      </c>
      <c r="O603" s="42">
        <v>41419.32</v>
      </c>
      <c r="P603" s="42">
        <v>0</v>
      </c>
    </row>
    <row r="604" spans="1:16" ht="15" customHeight="1" x14ac:dyDescent="0.3">
      <c r="A604" s="50" t="s">
        <v>1284</v>
      </c>
      <c r="B604" s="51">
        <v>44900</v>
      </c>
      <c r="C604" s="50" t="s">
        <v>1285</v>
      </c>
      <c r="D604" s="50" t="s">
        <v>59</v>
      </c>
      <c r="E604" s="52">
        <v>11396</v>
      </c>
      <c r="F604" s="53">
        <v>0.214</v>
      </c>
      <c r="G604" s="50">
        <v>36</v>
      </c>
      <c r="H604" s="50" t="s">
        <v>38</v>
      </c>
      <c r="I604" s="50" t="s">
        <v>80</v>
      </c>
      <c r="J604" s="50" t="s">
        <v>76</v>
      </c>
      <c r="K604" s="54">
        <v>125040</v>
      </c>
      <c r="L604" s="50" t="s">
        <v>68</v>
      </c>
      <c r="M604" s="55">
        <v>0.32</v>
      </c>
      <c r="N604" s="55">
        <v>0.92</v>
      </c>
      <c r="O604" s="54">
        <v>0</v>
      </c>
      <c r="P604" s="54">
        <v>0</v>
      </c>
    </row>
    <row r="605" spans="1:16" ht="15" customHeight="1" x14ac:dyDescent="0.3">
      <c r="A605" s="44" t="s">
        <v>1286</v>
      </c>
      <c r="B605" s="45">
        <v>44903</v>
      </c>
      <c r="C605" s="44" t="s">
        <v>1287</v>
      </c>
      <c r="D605" s="44" t="s">
        <v>125</v>
      </c>
      <c r="E605" s="46">
        <v>23740</v>
      </c>
      <c r="F605" s="47">
        <v>0.113</v>
      </c>
      <c r="G605" s="44">
        <v>36</v>
      </c>
      <c r="H605" s="44" t="s">
        <v>36</v>
      </c>
      <c r="I605" s="44" t="s">
        <v>60</v>
      </c>
      <c r="J605" s="44" t="s">
        <v>72</v>
      </c>
      <c r="K605" s="48">
        <v>113639</v>
      </c>
      <c r="L605" s="44" t="s">
        <v>85</v>
      </c>
      <c r="M605" s="49">
        <v>0.24</v>
      </c>
      <c r="N605" s="49">
        <v>0.81</v>
      </c>
      <c r="O605" s="48">
        <v>1468.47</v>
      </c>
      <c r="P605" s="48">
        <v>0</v>
      </c>
    </row>
    <row r="606" spans="1:16" ht="15" customHeight="1" x14ac:dyDescent="0.3">
      <c r="A606" s="56" t="s">
        <v>1288</v>
      </c>
      <c r="B606" s="57">
        <v>44905</v>
      </c>
      <c r="C606" s="56" t="s">
        <v>1289</v>
      </c>
      <c r="D606" s="56" t="s">
        <v>125</v>
      </c>
      <c r="E606" s="58">
        <v>6542</v>
      </c>
      <c r="F606" s="59">
        <v>0.17399999999999999</v>
      </c>
      <c r="G606" s="56">
        <v>36</v>
      </c>
      <c r="H606" s="56" t="s">
        <v>37</v>
      </c>
      <c r="I606" s="56" t="s">
        <v>83</v>
      </c>
      <c r="J606" s="56" t="s">
        <v>72</v>
      </c>
      <c r="K606" s="60">
        <v>148494</v>
      </c>
      <c r="L606" s="56" t="s">
        <v>68</v>
      </c>
      <c r="M606" s="61">
        <v>0.39</v>
      </c>
      <c r="N606" s="61">
        <v>0.86</v>
      </c>
      <c r="O606" s="60">
        <v>723.02</v>
      </c>
      <c r="P606" s="60">
        <v>1622.45</v>
      </c>
    </row>
    <row r="607" spans="1:16" ht="15" customHeight="1" x14ac:dyDescent="0.3">
      <c r="A607" s="38" t="s">
        <v>1290</v>
      </c>
      <c r="B607" s="39">
        <v>44905</v>
      </c>
      <c r="C607" s="38" t="s">
        <v>1291</v>
      </c>
      <c r="D607" s="38" t="s">
        <v>97</v>
      </c>
      <c r="E607" s="40">
        <v>36946</v>
      </c>
      <c r="F607" s="41">
        <v>0.19400000000000001</v>
      </c>
      <c r="G607" s="38">
        <v>60</v>
      </c>
      <c r="H607" s="38" t="s">
        <v>35</v>
      </c>
      <c r="I607" s="38" t="s">
        <v>114</v>
      </c>
      <c r="J607" s="38" t="s">
        <v>61</v>
      </c>
      <c r="K607" s="42">
        <v>66683</v>
      </c>
      <c r="L607" s="38" t="s">
        <v>85</v>
      </c>
      <c r="M607" s="43">
        <v>0.45</v>
      </c>
      <c r="N607" s="43">
        <v>0.73</v>
      </c>
      <c r="O607" s="42">
        <v>44113.52</v>
      </c>
      <c r="P607" s="42">
        <v>0</v>
      </c>
    </row>
    <row r="608" spans="1:16" ht="15" customHeight="1" x14ac:dyDescent="0.3">
      <c r="A608" s="44" t="s">
        <v>1292</v>
      </c>
      <c r="B608" s="45">
        <v>44905</v>
      </c>
      <c r="C608" s="44" t="s">
        <v>1293</v>
      </c>
      <c r="D608" s="44" t="s">
        <v>79</v>
      </c>
      <c r="E608" s="46">
        <v>36923</v>
      </c>
      <c r="F608" s="47">
        <v>0.106</v>
      </c>
      <c r="G608" s="44">
        <v>60</v>
      </c>
      <c r="H608" s="44" t="s">
        <v>36</v>
      </c>
      <c r="I608" s="44" t="s">
        <v>83</v>
      </c>
      <c r="J608" s="44" t="s">
        <v>72</v>
      </c>
      <c r="K608" s="48">
        <v>145217</v>
      </c>
      <c r="L608" s="44" t="s">
        <v>85</v>
      </c>
      <c r="M608" s="49">
        <v>0.28000000000000003</v>
      </c>
      <c r="N608" s="49">
        <v>0.6</v>
      </c>
      <c r="O608" s="48">
        <v>9786.24</v>
      </c>
      <c r="P608" s="48">
        <v>0</v>
      </c>
    </row>
    <row r="609" spans="1:16" ht="15" customHeight="1" x14ac:dyDescent="0.3">
      <c r="A609" s="50" t="s">
        <v>1294</v>
      </c>
      <c r="B609" s="51">
        <v>44906</v>
      </c>
      <c r="C609" s="50" t="s">
        <v>1295</v>
      </c>
      <c r="D609" s="50" t="s">
        <v>59</v>
      </c>
      <c r="E609" s="52">
        <v>16229</v>
      </c>
      <c r="F609" s="53">
        <v>0.17899999999999999</v>
      </c>
      <c r="G609" s="50">
        <v>36</v>
      </c>
      <c r="H609" s="50" t="s">
        <v>39</v>
      </c>
      <c r="I609" s="50" t="s">
        <v>114</v>
      </c>
      <c r="J609" s="50" t="s">
        <v>84</v>
      </c>
      <c r="K609" s="54">
        <v>73307</v>
      </c>
      <c r="L609" s="50" t="s">
        <v>62</v>
      </c>
      <c r="M609" s="55">
        <v>0.1</v>
      </c>
      <c r="N609" s="55">
        <v>0.55000000000000004</v>
      </c>
      <c r="O609" s="54">
        <v>0</v>
      </c>
      <c r="P609" s="54">
        <v>0</v>
      </c>
    </row>
    <row r="610" spans="1:16" ht="15" customHeight="1" x14ac:dyDescent="0.3">
      <c r="A610" s="50" t="s">
        <v>1296</v>
      </c>
      <c r="B610" s="51">
        <v>44906</v>
      </c>
      <c r="C610" s="50" t="s">
        <v>1297</v>
      </c>
      <c r="D610" s="50" t="s">
        <v>97</v>
      </c>
      <c r="E610" s="52">
        <v>6901</v>
      </c>
      <c r="F610" s="53">
        <v>5.7000000000000002E-2</v>
      </c>
      <c r="G610" s="50">
        <v>60</v>
      </c>
      <c r="H610" s="50" t="s">
        <v>38</v>
      </c>
      <c r="I610" s="50" t="s">
        <v>60</v>
      </c>
      <c r="J610" s="50" t="s">
        <v>61</v>
      </c>
      <c r="K610" s="54">
        <v>75939</v>
      </c>
      <c r="L610" s="50" t="s">
        <v>68</v>
      </c>
      <c r="M610" s="55">
        <v>0.15</v>
      </c>
      <c r="N610" s="55">
        <v>0.6</v>
      </c>
      <c r="O610" s="54">
        <v>0</v>
      </c>
      <c r="P610" s="54">
        <v>0</v>
      </c>
    </row>
    <row r="611" spans="1:16" ht="15" customHeight="1" x14ac:dyDescent="0.3">
      <c r="A611" s="44" t="s">
        <v>1298</v>
      </c>
      <c r="B611" s="45">
        <v>44908</v>
      </c>
      <c r="C611" s="44" t="s">
        <v>1299</v>
      </c>
      <c r="D611" s="44" t="s">
        <v>97</v>
      </c>
      <c r="E611" s="46">
        <v>33376</v>
      </c>
      <c r="F611" s="47">
        <v>0.14299999999999999</v>
      </c>
      <c r="G611" s="44">
        <v>60</v>
      </c>
      <c r="H611" s="44" t="s">
        <v>36</v>
      </c>
      <c r="I611" s="44" t="s">
        <v>71</v>
      </c>
      <c r="J611" s="44" t="s">
        <v>67</v>
      </c>
      <c r="K611" s="48">
        <v>35698</v>
      </c>
      <c r="L611" s="44" t="s">
        <v>85</v>
      </c>
      <c r="M611" s="49">
        <v>0.37</v>
      </c>
      <c r="N611" s="49">
        <v>0.84</v>
      </c>
      <c r="O611" s="48">
        <v>13076.81</v>
      </c>
      <c r="P611" s="48">
        <v>0</v>
      </c>
    </row>
    <row r="612" spans="1:16" ht="15" customHeight="1" x14ac:dyDescent="0.3">
      <c r="A612" s="56" t="s">
        <v>1300</v>
      </c>
      <c r="B612" s="57">
        <v>44910</v>
      </c>
      <c r="C612" s="56" t="s">
        <v>1301</v>
      </c>
      <c r="D612" s="56" t="s">
        <v>59</v>
      </c>
      <c r="E612" s="58">
        <v>25345</v>
      </c>
      <c r="F612" s="59">
        <v>0.158</v>
      </c>
      <c r="G612" s="56">
        <v>36</v>
      </c>
      <c r="H612" s="56" t="s">
        <v>37</v>
      </c>
      <c r="I612" s="56" t="s">
        <v>60</v>
      </c>
      <c r="J612" s="56" t="s">
        <v>67</v>
      </c>
      <c r="K612" s="60">
        <v>105886</v>
      </c>
      <c r="L612" s="56" t="s">
        <v>62</v>
      </c>
      <c r="M612" s="61">
        <v>0.4</v>
      </c>
      <c r="N612" s="61">
        <v>0.85</v>
      </c>
      <c r="O612" s="60">
        <v>6434.2</v>
      </c>
      <c r="P612" s="60">
        <v>4640.18</v>
      </c>
    </row>
    <row r="613" spans="1:16" ht="15" customHeight="1" x14ac:dyDescent="0.3">
      <c r="A613" s="38" t="s">
        <v>1302</v>
      </c>
      <c r="B613" s="39">
        <v>44910</v>
      </c>
      <c r="C613" s="38" t="s">
        <v>1303</v>
      </c>
      <c r="D613" s="38" t="s">
        <v>113</v>
      </c>
      <c r="E613" s="40">
        <v>37336</v>
      </c>
      <c r="F613" s="41">
        <v>0.183</v>
      </c>
      <c r="G613" s="38">
        <v>36</v>
      </c>
      <c r="H613" s="38" t="s">
        <v>35</v>
      </c>
      <c r="I613" s="38" t="s">
        <v>257</v>
      </c>
      <c r="J613" s="38" t="s">
        <v>67</v>
      </c>
      <c r="K613" s="42">
        <v>92790</v>
      </c>
      <c r="L613" s="38" t="s">
        <v>68</v>
      </c>
      <c r="M613" s="43">
        <v>0.11</v>
      </c>
      <c r="N613" s="43">
        <v>0.84</v>
      </c>
      <c r="O613" s="42">
        <v>44168.49</v>
      </c>
      <c r="P613" s="42">
        <v>0</v>
      </c>
    </row>
    <row r="614" spans="1:16" ht="15" customHeight="1" x14ac:dyDescent="0.3">
      <c r="A614" s="44" t="s">
        <v>1304</v>
      </c>
      <c r="B614" s="45">
        <v>44910</v>
      </c>
      <c r="C614" s="44" t="s">
        <v>1305</v>
      </c>
      <c r="D614" s="44" t="s">
        <v>138</v>
      </c>
      <c r="E614" s="46">
        <v>3356</v>
      </c>
      <c r="F614" s="47">
        <v>0.16500000000000001</v>
      </c>
      <c r="G614" s="44">
        <v>36</v>
      </c>
      <c r="H614" s="44" t="s">
        <v>36</v>
      </c>
      <c r="I614" s="44" t="s">
        <v>114</v>
      </c>
      <c r="J614" s="44" t="s">
        <v>67</v>
      </c>
      <c r="K614" s="48">
        <v>76172</v>
      </c>
      <c r="L614" s="44" t="s">
        <v>85</v>
      </c>
      <c r="M614" s="49">
        <v>0.31</v>
      </c>
      <c r="N614" s="49">
        <v>0.79</v>
      </c>
      <c r="O614" s="48">
        <v>710.07</v>
      </c>
      <c r="P614" s="48">
        <v>0</v>
      </c>
    </row>
    <row r="615" spans="1:16" ht="15" customHeight="1" x14ac:dyDescent="0.3">
      <c r="A615" s="44" t="s">
        <v>1306</v>
      </c>
      <c r="B615" s="45">
        <v>44910</v>
      </c>
      <c r="C615" s="44" t="s">
        <v>1307</v>
      </c>
      <c r="D615" s="44" t="s">
        <v>108</v>
      </c>
      <c r="E615" s="46">
        <v>22636</v>
      </c>
      <c r="F615" s="47">
        <v>0.20599999999999999</v>
      </c>
      <c r="G615" s="44">
        <v>36</v>
      </c>
      <c r="H615" s="44" t="s">
        <v>36</v>
      </c>
      <c r="I615" s="44" t="s">
        <v>71</v>
      </c>
      <c r="J615" s="44" t="s">
        <v>72</v>
      </c>
      <c r="K615" s="48">
        <v>79649</v>
      </c>
      <c r="L615" s="44" t="s">
        <v>85</v>
      </c>
      <c r="M615" s="49">
        <v>0.2</v>
      </c>
      <c r="N615" s="49">
        <v>0.56000000000000005</v>
      </c>
      <c r="O615" s="48">
        <v>9045.0499999999993</v>
      </c>
      <c r="P615" s="48">
        <v>0</v>
      </c>
    </row>
    <row r="616" spans="1:16" ht="15" customHeight="1" x14ac:dyDescent="0.3">
      <c r="A616" s="38" t="s">
        <v>1308</v>
      </c>
      <c r="B616" s="39">
        <v>44911</v>
      </c>
      <c r="C616" s="38" t="s">
        <v>1309</v>
      </c>
      <c r="D616" s="38" t="s">
        <v>59</v>
      </c>
      <c r="E616" s="40">
        <v>24669</v>
      </c>
      <c r="F616" s="41">
        <v>9.8000000000000004E-2</v>
      </c>
      <c r="G616" s="38">
        <v>60</v>
      </c>
      <c r="H616" s="38" t="s">
        <v>35</v>
      </c>
      <c r="I616" s="38" t="s">
        <v>60</v>
      </c>
      <c r="J616" s="38" t="s">
        <v>76</v>
      </c>
      <c r="K616" s="42">
        <v>121456</v>
      </c>
      <c r="L616" s="38" t="s">
        <v>68</v>
      </c>
      <c r="M616" s="43">
        <v>0.42</v>
      </c>
      <c r="N616" s="43">
        <v>0.73</v>
      </c>
      <c r="O616" s="42">
        <v>27086.560000000001</v>
      </c>
      <c r="P616" s="42">
        <v>0</v>
      </c>
    </row>
    <row r="617" spans="1:16" ht="15" customHeight="1" x14ac:dyDescent="0.3">
      <c r="A617" s="38" t="s">
        <v>1310</v>
      </c>
      <c r="B617" s="39">
        <v>44913</v>
      </c>
      <c r="C617" s="38" t="s">
        <v>1311</v>
      </c>
      <c r="D617" s="38" t="s">
        <v>113</v>
      </c>
      <c r="E617" s="40">
        <v>19309</v>
      </c>
      <c r="F617" s="41">
        <v>0.23</v>
      </c>
      <c r="G617" s="38">
        <v>36</v>
      </c>
      <c r="H617" s="38" t="s">
        <v>35</v>
      </c>
      <c r="I617" s="38" t="s">
        <v>114</v>
      </c>
      <c r="J617" s="38" t="s">
        <v>72</v>
      </c>
      <c r="K617" s="42">
        <v>101094</v>
      </c>
      <c r="L617" s="38" t="s">
        <v>85</v>
      </c>
      <c r="M617" s="43">
        <v>0.15</v>
      </c>
      <c r="N617" s="43">
        <v>0.88</v>
      </c>
      <c r="O617" s="42">
        <v>23750.07</v>
      </c>
      <c r="P617" s="42">
        <v>0</v>
      </c>
    </row>
    <row r="618" spans="1:16" ht="15" customHeight="1" x14ac:dyDescent="0.3">
      <c r="A618" s="56" t="s">
        <v>1312</v>
      </c>
      <c r="B618" s="57">
        <v>44914</v>
      </c>
      <c r="C618" s="56" t="s">
        <v>1313</v>
      </c>
      <c r="D618" s="56" t="s">
        <v>88</v>
      </c>
      <c r="E618" s="58">
        <v>7090</v>
      </c>
      <c r="F618" s="59">
        <v>5.5E-2</v>
      </c>
      <c r="G618" s="56">
        <v>36</v>
      </c>
      <c r="H618" s="56" t="s">
        <v>37</v>
      </c>
      <c r="I618" s="56" t="s">
        <v>71</v>
      </c>
      <c r="J618" s="56" t="s">
        <v>67</v>
      </c>
      <c r="K618" s="60">
        <v>143931</v>
      </c>
      <c r="L618" s="56" t="s">
        <v>68</v>
      </c>
      <c r="M618" s="61">
        <v>0.43</v>
      </c>
      <c r="N618" s="61">
        <v>0.71</v>
      </c>
      <c r="O618" s="60">
        <v>2472.13</v>
      </c>
      <c r="P618" s="60">
        <v>1824.75</v>
      </c>
    </row>
    <row r="619" spans="1:16" ht="15" customHeight="1" x14ac:dyDescent="0.3">
      <c r="A619" s="56" t="s">
        <v>1314</v>
      </c>
      <c r="B619" s="57">
        <v>44915</v>
      </c>
      <c r="C619" s="56" t="s">
        <v>1315</v>
      </c>
      <c r="D619" s="56" t="s">
        <v>65</v>
      </c>
      <c r="E619" s="58">
        <v>10108</v>
      </c>
      <c r="F619" s="59">
        <v>5.6000000000000001E-2</v>
      </c>
      <c r="G619" s="56">
        <v>60</v>
      </c>
      <c r="H619" s="56" t="s">
        <v>37</v>
      </c>
      <c r="I619" s="56" t="s">
        <v>60</v>
      </c>
      <c r="J619" s="56" t="s">
        <v>72</v>
      </c>
      <c r="K619" s="60">
        <v>104055</v>
      </c>
      <c r="L619" s="56" t="s">
        <v>68</v>
      </c>
      <c r="M619" s="61">
        <v>0.18</v>
      </c>
      <c r="N619" s="61">
        <v>0.87</v>
      </c>
      <c r="O619" s="60">
        <v>2849.4</v>
      </c>
      <c r="P619" s="60">
        <v>2210.77</v>
      </c>
    </row>
    <row r="620" spans="1:16" ht="15" customHeight="1" x14ac:dyDescent="0.3">
      <c r="A620" s="38" t="s">
        <v>1316</v>
      </c>
      <c r="B620" s="39">
        <v>44916</v>
      </c>
      <c r="C620" s="38" t="s">
        <v>1317</v>
      </c>
      <c r="D620" s="38" t="s">
        <v>79</v>
      </c>
      <c r="E620" s="40">
        <v>10650</v>
      </c>
      <c r="F620" s="41">
        <v>0.128</v>
      </c>
      <c r="G620" s="38">
        <v>36</v>
      </c>
      <c r="H620" s="38" t="s">
        <v>35</v>
      </c>
      <c r="I620" s="38" t="s">
        <v>71</v>
      </c>
      <c r="J620" s="38" t="s">
        <v>84</v>
      </c>
      <c r="K620" s="42">
        <v>63665</v>
      </c>
      <c r="L620" s="38" t="s">
        <v>62</v>
      </c>
      <c r="M620" s="43">
        <v>0.21</v>
      </c>
      <c r="N620" s="43">
        <v>0.53</v>
      </c>
      <c r="O620" s="42">
        <v>12013.2</v>
      </c>
      <c r="P620" s="42">
        <v>0</v>
      </c>
    </row>
    <row r="621" spans="1:16" ht="15" customHeight="1" x14ac:dyDescent="0.3">
      <c r="A621" s="44" t="s">
        <v>1318</v>
      </c>
      <c r="B621" s="45">
        <v>44917</v>
      </c>
      <c r="C621" s="44" t="s">
        <v>1319</v>
      </c>
      <c r="D621" s="44" t="s">
        <v>108</v>
      </c>
      <c r="E621" s="46">
        <v>29411</v>
      </c>
      <c r="F621" s="47">
        <v>0.14899999999999999</v>
      </c>
      <c r="G621" s="44">
        <v>36</v>
      </c>
      <c r="H621" s="44" t="s">
        <v>36</v>
      </c>
      <c r="I621" s="44" t="s">
        <v>114</v>
      </c>
      <c r="J621" s="44" t="s">
        <v>67</v>
      </c>
      <c r="K621" s="48">
        <v>78617</v>
      </c>
      <c r="L621" s="44" t="s">
        <v>62</v>
      </c>
      <c r="M621" s="49">
        <v>0.28999999999999998</v>
      </c>
      <c r="N621" s="49">
        <v>0.69</v>
      </c>
      <c r="O621" s="48">
        <v>3079.75</v>
      </c>
      <c r="P621" s="48">
        <v>0</v>
      </c>
    </row>
    <row r="622" spans="1:16" ht="15" customHeight="1" x14ac:dyDescent="0.3">
      <c r="A622" s="44" t="s">
        <v>1320</v>
      </c>
      <c r="B622" s="45">
        <v>44919</v>
      </c>
      <c r="C622" s="44" t="s">
        <v>1321</v>
      </c>
      <c r="D622" s="44" t="s">
        <v>108</v>
      </c>
      <c r="E622" s="46">
        <v>29179</v>
      </c>
      <c r="F622" s="47">
        <v>0.24</v>
      </c>
      <c r="G622" s="44">
        <v>36</v>
      </c>
      <c r="H622" s="44" t="s">
        <v>36</v>
      </c>
      <c r="I622" s="44" t="s">
        <v>71</v>
      </c>
      <c r="J622" s="44" t="s">
        <v>72</v>
      </c>
      <c r="K622" s="48">
        <v>144778</v>
      </c>
      <c r="L622" s="44" t="s">
        <v>85</v>
      </c>
      <c r="M622" s="49">
        <v>0.39</v>
      </c>
      <c r="N622" s="49">
        <v>0.66</v>
      </c>
      <c r="O622" s="48">
        <v>7176.47</v>
      </c>
      <c r="P622" s="48">
        <v>0</v>
      </c>
    </row>
    <row r="623" spans="1:16" ht="15" customHeight="1" x14ac:dyDescent="0.3">
      <c r="A623" s="44" t="s">
        <v>1322</v>
      </c>
      <c r="B623" s="45">
        <v>44920</v>
      </c>
      <c r="C623" s="44" t="s">
        <v>1323</v>
      </c>
      <c r="D623" s="44" t="s">
        <v>138</v>
      </c>
      <c r="E623" s="46">
        <v>38384</v>
      </c>
      <c r="F623" s="47">
        <v>9.4E-2</v>
      </c>
      <c r="G623" s="44">
        <v>60</v>
      </c>
      <c r="H623" s="44" t="s">
        <v>36</v>
      </c>
      <c r="I623" s="44" t="s">
        <v>60</v>
      </c>
      <c r="J623" s="44" t="s">
        <v>67</v>
      </c>
      <c r="K623" s="48">
        <v>88226</v>
      </c>
      <c r="L623" s="44" t="s">
        <v>62</v>
      </c>
      <c r="M623" s="49">
        <v>0.18</v>
      </c>
      <c r="N623" s="49">
        <v>0.7</v>
      </c>
      <c r="O623" s="48">
        <v>4663.03</v>
      </c>
      <c r="P623" s="48">
        <v>0</v>
      </c>
    </row>
    <row r="624" spans="1:16" ht="15" customHeight="1" x14ac:dyDescent="0.3">
      <c r="A624" s="44" t="s">
        <v>1324</v>
      </c>
      <c r="B624" s="45">
        <v>44921</v>
      </c>
      <c r="C624" s="44" t="s">
        <v>1325</v>
      </c>
      <c r="D624" s="44" t="s">
        <v>113</v>
      </c>
      <c r="E624" s="46">
        <v>18727</v>
      </c>
      <c r="F624" s="47">
        <v>0.111</v>
      </c>
      <c r="G624" s="44">
        <v>60</v>
      </c>
      <c r="H624" s="44" t="s">
        <v>36</v>
      </c>
      <c r="I624" s="44" t="s">
        <v>66</v>
      </c>
      <c r="J624" s="44" t="s">
        <v>67</v>
      </c>
      <c r="K624" s="48">
        <v>64642</v>
      </c>
      <c r="L624" s="44" t="s">
        <v>85</v>
      </c>
      <c r="M624" s="49">
        <v>0.23</v>
      </c>
      <c r="N624" s="49">
        <v>0.8</v>
      </c>
      <c r="O624" s="48">
        <v>6816.79</v>
      </c>
      <c r="P624" s="48">
        <v>0</v>
      </c>
    </row>
    <row r="625" spans="1:16" ht="15" customHeight="1" x14ac:dyDescent="0.3">
      <c r="A625" s="38" t="s">
        <v>1326</v>
      </c>
      <c r="B625" s="39">
        <v>44922</v>
      </c>
      <c r="C625" s="38" t="s">
        <v>1327</v>
      </c>
      <c r="D625" s="38" t="s">
        <v>59</v>
      </c>
      <c r="E625" s="40">
        <v>25070</v>
      </c>
      <c r="F625" s="41">
        <v>7.0999999999999994E-2</v>
      </c>
      <c r="G625" s="38">
        <v>36</v>
      </c>
      <c r="H625" s="38" t="s">
        <v>35</v>
      </c>
      <c r="I625" s="38" t="s">
        <v>83</v>
      </c>
      <c r="J625" s="38" t="s">
        <v>61</v>
      </c>
      <c r="K625" s="42">
        <v>64693</v>
      </c>
      <c r="L625" s="38" t="s">
        <v>68</v>
      </c>
      <c r="M625" s="43">
        <v>0.41</v>
      </c>
      <c r="N625" s="43">
        <v>0.64</v>
      </c>
      <c r="O625" s="42">
        <v>26849.97</v>
      </c>
      <c r="P625" s="42">
        <v>0</v>
      </c>
    </row>
    <row r="626" spans="1:16" ht="15" customHeight="1" x14ac:dyDescent="0.3">
      <c r="A626" s="38" t="s">
        <v>1328</v>
      </c>
      <c r="B626" s="39">
        <v>44922</v>
      </c>
      <c r="C626" s="38" t="s">
        <v>1329</v>
      </c>
      <c r="D626" s="38" t="s">
        <v>97</v>
      </c>
      <c r="E626" s="40">
        <v>39360</v>
      </c>
      <c r="F626" s="41">
        <v>0.14599999999999999</v>
      </c>
      <c r="G626" s="38">
        <v>36</v>
      </c>
      <c r="H626" s="38" t="s">
        <v>35</v>
      </c>
      <c r="I626" s="38" t="s">
        <v>114</v>
      </c>
      <c r="J626" s="38" t="s">
        <v>61</v>
      </c>
      <c r="K626" s="42">
        <v>96670</v>
      </c>
      <c r="L626" s="38" t="s">
        <v>68</v>
      </c>
      <c r="M626" s="43">
        <v>0.43</v>
      </c>
      <c r="N626" s="43">
        <v>0.52</v>
      </c>
      <c r="O626" s="42">
        <v>45106.559999999998</v>
      </c>
      <c r="P626" s="42">
        <v>0</v>
      </c>
    </row>
    <row r="627" spans="1:16" ht="15" customHeight="1" x14ac:dyDescent="0.3">
      <c r="A627" s="44" t="s">
        <v>1330</v>
      </c>
      <c r="B627" s="45">
        <v>44923</v>
      </c>
      <c r="C627" s="44" t="s">
        <v>1331</v>
      </c>
      <c r="D627" s="44" t="s">
        <v>138</v>
      </c>
      <c r="E627" s="46">
        <v>39565</v>
      </c>
      <c r="F627" s="47">
        <v>0.21099999999999999</v>
      </c>
      <c r="G627" s="44">
        <v>60</v>
      </c>
      <c r="H627" s="44" t="s">
        <v>36</v>
      </c>
      <c r="I627" s="44" t="s">
        <v>83</v>
      </c>
      <c r="J627" s="44" t="s">
        <v>61</v>
      </c>
      <c r="K627" s="48">
        <v>119049</v>
      </c>
      <c r="L627" s="44" t="s">
        <v>68</v>
      </c>
      <c r="M627" s="49">
        <v>0.43</v>
      </c>
      <c r="N627" s="49">
        <v>0.83</v>
      </c>
      <c r="O627" s="48">
        <v>16632.71</v>
      </c>
      <c r="P627" s="48">
        <v>0</v>
      </c>
    </row>
    <row r="628" spans="1:16" ht="15" customHeight="1" x14ac:dyDescent="0.3">
      <c r="A628" s="44" t="s">
        <v>1332</v>
      </c>
      <c r="B628" s="45">
        <v>44923</v>
      </c>
      <c r="C628" s="44" t="s">
        <v>1333</v>
      </c>
      <c r="D628" s="44" t="s">
        <v>125</v>
      </c>
      <c r="E628" s="46">
        <v>14281</v>
      </c>
      <c r="F628" s="47">
        <v>0.159</v>
      </c>
      <c r="G628" s="44">
        <v>60</v>
      </c>
      <c r="H628" s="44" t="s">
        <v>36</v>
      </c>
      <c r="I628" s="44" t="s">
        <v>80</v>
      </c>
      <c r="J628" s="44" t="s">
        <v>67</v>
      </c>
      <c r="K628" s="48">
        <v>114178</v>
      </c>
      <c r="L628" s="44" t="s">
        <v>62</v>
      </c>
      <c r="M628" s="49">
        <v>0.15</v>
      </c>
      <c r="N628" s="49">
        <v>0.88</v>
      </c>
      <c r="O628" s="48">
        <v>6915.78</v>
      </c>
      <c r="P628" s="48">
        <v>0</v>
      </c>
    </row>
    <row r="629" spans="1:16" ht="15" customHeight="1" x14ac:dyDescent="0.3">
      <c r="A629" s="38" t="s">
        <v>1334</v>
      </c>
      <c r="B629" s="39">
        <v>44925</v>
      </c>
      <c r="C629" s="38" t="s">
        <v>1335</v>
      </c>
      <c r="D629" s="38" t="s">
        <v>113</v>
      </c>
      <c r="E629" s="40">
        <v>27143</v>
      </c>
      <c r="F629" s="41">
        <v>6.5000000000000002E-2</v>
      </c>
      <c r="G629" s="38">
        <v>60</v>
      </c>
      <c r="H629" s="38" t="s">
        <v>35</v>
      </c>
      <c r="I629" s="38" t="s">
        <v>60</v>
      </c>
      <c r="J629" s="38" t="s">
        <v>76</v>
      </c>
      <c r="K629" s="42">
        <v>112895</v>
      </c>
      <c r="L629" s="38" t="s">
        <v>85</v>
      </c>
      <c r="M629" s="43">
        <v>0.16</v>
      </c>
      <c r="N629" s="43">
        <v>0.67</v>
      </c>
      <c r="O629" s="42">
        <v>28907.3</v>
      </c>
      <c r="P629" s="42">
        <v>0</v>
      </c>
    </row>
    <row r="630" spans="1:16" ht="15" customHeight="1" x14ac:dyDescent="0.3">
      <c r="A630" s="38" t="s">
        <v>1336</v>
      </c>
      <c r="B630" s="39">
        <v>44925</v>
      </c>
      <c r="C630" s="38" t="s">
        <v>1337</v>
      </c>
      <c r="D630" s="38" t="s">
        <v>125</v>
      </c>
      <c r="E630" s="40">
        <v>24116</v>
      </c>
      <c r="F630" s="41">
        <v>0.128</v>
      </c>
      <c r="G630" s="38">
        <v>36</v>
      </c>
      <c r="H630" s="38" t="s">
        <v>35</v>
      </c>
      <c r="I630" s="38" t="s">
        <v>66</v>
      </c>
      <c r="J630" s="38" t="s">
        <v>84</v>
      </c>
      <c r="K630" s="42">
        <v>45160</v>
      </c>
      <c r="L630" s="38" t="s">
        <v>85</v>
      </c>
      <c r="M630" s="43">
        <v>0.35</v>
      </c>
      <c r="N630" s="43">
        <v>0.64</v>
      </c>
      <c r="O630" s="42">
        <v>27202.85</v>
      </c>
      <c r="P630" s="42">
        <v>0</v>
      </c>
    </row>
    <row r="631" spans="1:16" ht="15" customHeight="1" x14ac:dyDescent="0.3">
      <c r="A631" s="38" t="s">
        <v>1338</v>
      </c>
      <c r="B631" s="39">
        <v>44926</v>
      </c>
      <c r="C631" s="38" t="s">
        <v>1339</v>
      </c>
      <c r="D631" s="38" t="s">
        <v>88</v>
      </c>
      <c r="E631" s="40">
        <v>35008</v>
      </c>
      <c r="F631" s="41">
        <v>0.154</v>
      </c>
      <c r="G631" s="38">
        <v>36</v>
      </c>
      <c r="H631" s="38" t="s">
        <v>35</v>
      </c>
      <c r="I631" s="38" t="s">
        <v>66</v>
      </c>
      <c r="J631" s="38" t="s">
        <v>76</v>
      </c>
      <c r="K631" s="42">
        <v>52010</v>
      </c>
      <c r="L631" s="38" t="s">
        <v>68</v>
      </c>
      <c r="M631" s="43">
        <v>0.23</v>
      </c>
      <c r="N631" s="43">
        <v>0.82</v>
      </c>
      <c r="O631" s="42">
        <v>40399.230000000003</v>
      </c>
      <c r="P631" s="42">
        <v>0</v>
      </c>
    </row>
    <row r="632" spans="1:16" ht="15" customHeight="1" x14ac:dyDescent="0.3">
      <c r="A632" s="38" t="s">
        <v>1340</v>
      </c>
      <c r="B632" s="39">
        <v>44926</v>
      </c>
      <c r="C632" s="38" t="s">
        <v>1341</v>
      </c>
      <c r="D632" s="38" t="s">
        <v>138</v>
      </c>
      <c r="E632" s="40">
        <v>20895</v>
      </c>
      <c r="F632" s="41">
        <v>9.5000000000000001E-2</v>
      </c>
      <c r="G632" s="38">
        <v>36</v>
      </c>
      <c r="H632" s="38" t="s">
        <v>35</v>
      </c>
      <c r="I632" s="38" t="s">
        <v>257</v>
      </c>
      <c r="J632" s="38" t="s">
        <v>72</v>
      </c>
      <c r="K632" s="42">
        <v>46767</v>
      </c>
      <c r="L632" s="38" t="s">
        <v>85</v>
      </c>
      <c r="M632" s="43">
        <v>0.31</v>
      </c>
      <c r="N632" s="43">
        <v>0.73</v>
      </c>
      <c r="O632" s="42">
        <v>22880.02</v>
      </c>
      <c r="P632" s="42">
        <v>0</v>
      </c>
    </row>
    <row r="633" spans="1:16" ht="15" customHeight="1" x14ac:dyDescent="0.3">
      <c r="A633" s="44" t="s">
        <v>1342</v>
      </c>
      <c r="B633" s="45">
        <v>44928</v>
      </c>
      <c r="C633" s="44" t="s">
        <v>1343</v>
      </c>
      <c r="D633" s="44" t="s">
        <v>79</v>
      </c>
      <c r="E633" s="46">
        <v>36133</v>
      </c>
      <c r="F633" s="47">
        <v>0.219</v>
      </c>
      <c r="G633" s="44">
        <v>36</v>
      </c>
      <c r="H633" s="44" t="s">
        <v>36</v>
      </c>
      <c r="I633" s="44" t="s">
        <v>71</v>
      </c>
      <c r="J633" s="44" t="s">
        <v>84</v>
      </c>
      <c r="K633" s="48">
        <v>60134</v>
      </c>
      <c r="L633" s="44" t="s">
        <v>85</v>
      </c>
      <c r="M633" s="49">
        <v>0.18</v>
      </c>
      <c r="N633" s="49">
        <v>0.77</v>
      </c>
      <c r="O633" s="48">
        <v>2677.28</v>
      </c>
      <c r="P633" s="48">
        <v>0</v>
      </c>
    </row>
    <row r="634" spans="1:16" ht="15" customHeight="1" x14ac:dyDescent="0.3">
      <c r="A634" s="44" t="s">
        <v>1344</v>
      </c>
      <c r="B634" s="45">
        <v>44928</v>
      </c>
      <c r="C634" s="44" t="s">
        <v>1345</v>
      </c>
      <c r="D634" s="44" t="s">
        <v>88</v>
      </c>
      <c r="E634" s="46">
        <v>24279</v>
      </c>
      <c r="F634" s="47">
        <v>0.14399999999999999</v>
      </c>
      <c r="G634" s="44">
        <v>60</v>
      </c>
      <c r="H634" s="44" t="s">
        <v>36</v>
      </c>
      <c r="I634" s="44" t="s">
        <v>60</v>
      </c>
      <c r="J634" s="44" t="s">
        <v>84</v>
      </c>
      <c r="K634" s="48">
        <v>68230</v>
      </c>
      <c r="L634" s="44" t="s">
        <v>85</v>
      </c>
      <c r="M634" s="49">
        <v>0.15</v>
      </c>
      <c r="N634" s="49">
        <v>0.68</v>
      </c>
      <c r="O634" s="48">
        <v>4595.21</v>
      </c>
      <c r="P634" s="48">
        <v>0</v>
      </c>
    </row>
    <row r="635" spans="1:16" ht="15" customHeight="1" x14ac:dyDescent="0.3">
      <c r="A635" s="56" t="s">
        <v>1346</v>
      </c>
      <c r="B635" s="57">
        <v>44929</v>
      </c>
      <c r="C635" s="56" t="s">
        <v>1347</v>
      </c>
      <c r="D635" s="56" t="s">
        <v>113</v>
      </c>
      <c r="E635" s="58">
        <v>1899</v>
      </c>
      <c r="F635" s="59">
        <v>6.4000000000000001E-2</v>
      </c>
      <c r="G635" s="56">
        <v>36</v>
      </c>
      <c r="H635" s="56" t="s">
        <v>37</v>
      </c>
      <c r="I635" s="56" t="s">
        <v>83</v>
      </c>
      <c r="J635" s="56" t="s">
        <v>76</v>
      </c>
      <c r="K635" s="60">
        <v>122435</v>
      </c>
      <c r="L635" s="56" t="s">
        <v>62</v>
      </c>
      <c r="M635" s="61">
        <v>0.28000000000000003</v>
      </c>
      <c r="N635" s="61">
        <v>0.88</v>
      </c>
      <c r="O635" s="60">
        <v>487.5</v>
      </c>
      <c r="P635" s="60">
        <v>737.8</v>
      </c>
    </row>
    <row r="636" spans="1:16" ht="15" customHeight="1" x14ac:dyDescent="0.3">
      <c r="A636" s="38" t="s">
        <v>1348</v>
      </c>
      <c r="B636" s="39">
        <v>44931</v>
      </c>
      <c r="C636" s="38" t="s">
        <v>1349</v>
      </c>
      <c r="D636" s="38" t="s">
        <v>108</v>
      </c>
      <c r="E636" s="40">
        <v>39850</v>
      </c>
      <c r="F636" s="41">
        <v>0.24299999999999999</v>
      </c>
      <c r="G636" s="38">
        <v>60</v>
      </c>
      <c r="H636" s="38" t="s">
        <v>35</v>
      </c>
      <c r="I636" s="38" t="s">
        <v>60</v>
      </c>
      <c r="J636" s="38" t="s">
        <v>72</v>
      </c>
      <c r="K636" s="42">
        <v>108768</v>
      </c>
      <c r="L636" s="38" t="s">
        <v>68</v>
      </c>
      <c r="M636" s="43">
        <v>0.28999999999999998</v>
      </c>
      <c r="N636" s="43">
        <v>0.84</v>
      </c>
      <c r="O636" s="42">
        <v>49533.55</v>
      </c>
      <c r="P636" s="42">
        <v>0</v>
      </c>
    </row>
    <row r="637" spans="1:16" ht="15" customHeight="1" x14ac:dyDescent="0.3">
      <c r="A637" s="38" t="s">
        <v>1350</v>
      </c>
      <c r="B637" s="39">
        <v>44931</v>
      </c>
      <c r="C637" s="38" t="s">
        <v>1351</v>
      </c>
      <c r="D637" s="38" t="s">
        <v>65</v>
      </c>
      <c r="E637" s="40">
        <v>35317</v>
      </c>
      <c r="F637" s="41">
        <v>0.14499999999999999</v>
      </c>
      <c r="G637" s="38">
        <v>60</v>
      </c>
      <c r="H637" s="38" t="s">
        <v>35</v>
      </c>
      <c r="I637" s="38" t="s">
        <v>66</v>
      </c>
      <c r="J637" s="38" t="s">
        <v>67</v>
      </c>
      <c r="K637" s="42">
        <v>64393</v>
      </c>
      <c r="L637" s="38" t="s">
        <v>68</v>
      </c>
      <c r="M637" s="43">
        <v>0.13</v>
      </c>
      <c r="N637" s="43">
        <v>0.63</v>
      </c>
      <c r="O637" s="42">
        <v>40437.97</v>
      </c>
      <c r="P637" s="42">
        <v>0</v>
      </c>
    </row>
    <row r="638" spans="1:16" ht="15" customHeight="1" x14ac:dyDescent="0.3">
      <c r="A638" s="38" t="s">
        <v>1352</v>
      </c>
      <c r="B638" s="39">
        <v>44932</v>
      </c>
      <c r="C638" s="38" t="s">
        <v>1353</v>
      </c>
      <c r="D638" s="38" t="s">
        <v>75</v>
      </c>
      <c r="E638" s="40">
        <v>27958</v>
      </c>
      <c r="F638" s="41">
        <v>0.104</v>
      </c>
      <c r="G638" s="38">
        <v>36</v>
      </c>
      <c r="H638" s="38" t="s">
        <v>35</v>
      </c>
      <c r="I638" s="38" t="s">
        <v>66</v>
      </c>
      <c r="J638" s="38" t="s">
        <v>61</v>
      </c>
      <c r="K638" s="42">
        <v>40692</v>
      </c>
      <c r="L638" s="38" t="s">
        <v>85</v>
      </c>
      <c r="M638" s="43">
        <v>0.16</v>
      </c>
      <c r="N638" s="43">
        <v>0.76</v>
      </c>
      <c r="O638" s="42">
        <v>30865.63</v>
      </c>
      <c r="P638" s="42">
        <v>0</v>
      </c>
    </row>
    <row r="639" spans="1:16" ht="15" customHeight="1" x14ac:dyDescent="0.3">
      <c r="A639" s="56" t="s">
        <v>1354</v>
      </c>
      <c r="B639" s="57">
        <v>44932</v>
      </c>
      <c r="C639" s="56" t="s">
        <v>1355</v>
      </c>
      <c r="D639" s="56" t="s">
        <v>113</v>
      </c>
      <c r="E639" s="58">
        <v>38487</v>
      </c>
      <c r="F639" s="59">
        <v>0.23599999999999999</v>
      </c>
      <c r="G639" s="56">
        <v>60</v>
      </c>
      <c r="H639" s="56" t="s">
        <v>37</v>
      </c>
      <c r="I639" s="56" t="s">
        <v>60</v>
      </c>
      <c r="J639" s="56" t="s">
        <v>84</v>
      </c>
      <c r="K639" s="60">
        <v>139758</v>
      </c>
      <c r="L639" s="56" t="s">
        <v>68</v>
      </c>
      <c r="M639" s="61">
        <v>0.17</v>
      </c>
      <c r="N639" s="61">
        <v>0.68</v>
      </c>
      <c r="O639" s="60">
        <v>7006.59</v>
      </c>
      <c r="P639" s="60">
        <v>17357.919999999998</v>
      </c>
    </row>
    <row r="640" spans="1:16" ht="15" customHeight="1" x14ac:dyDescent="0.3">
      <c r="A640" s="38" t="s">
        <v>1356</v>
      </c>
      <c r="B640" s="39">
        <v>44934</v>
      </c>
      <c r="C640" s="38" t="s">
        <v>1357</v>
      </c>
      <c r="D640" s="38" t="s">
        <v>108</v>
      </c>
      <c r="E640" s="40">
        <v>7570</v>
      </c>
      <c r="F640" s="41">
        <v>0.14299999999999999</v>
      </c>
      <c r="G640" s="38">
        <v>60</v>
      </c>
      <c r="H640" s="38" t="s">
        <v>35</v>
      </c>
      <c r="I640" s="38" t="s">
        <v>60</v>
      </c>
      <c r="J640" s="38" t="s">
        <v>76</v>
      </c>
      <c r="K640" s="42">
        <v>33262</v>
      </c>
      <c r="L640" s="38" t="s">
        <v>68</v>
      </c>
      <c r="M640" s="43">
        <v>0.41</v>
      </c>
      <c r="N640" s="43">
        <v>0.87</v>
      </c>
      <c r="O640" s="42">
        <v>8652.51</v>
      </c>
      <c r="P640" s="42">
        <v>0</v>
      </c>
    </row>
    <row r="641" spans="1:16" ht="15" customHeight="1" x14ac:dyDescent="0.3">
      <c r="A641" s="56" t="s">
        <v>1358</v>
      </c>
      <c r="B641" s="57">
        <v>44935</v>
      </c>
      <c r="C641" s="56" t="s">
        <v>1359</v>
      </c>
      <c r="D641" s="56" t="s">
        <v>138</v>
      </c>
      <c r="E641" s="58">
        <v>10768</v>
      </c>
      <c r="F641" s="59">
        <v>0.20300000000000001</v>
      </c>
      <c r="G641" s="56">
        <v>60</v>
      </c>
      <c r="H641" s="56" t="s">
        <v>37</v>
      </c>
      <c r="I641" s="56" t="s">
        <v>66</v>
      </c>
      <c r="J641" s="56" t="s">
        <v>76</v>
      </c>
      <c r="K641" s="60">
        <v>118151</v>
      </c>
      <c r="L641" s="56" t="s">
        <v>62</v>
      </c>
      <c r="M641" s="61">
        <v>0.5</v>
      </c>
      <c r="N641" s="61">
        <v>0.51</v>
      </c>
      <c r="O641" s="60">
        <v>4240.21</v>
      </c>
      <c r="P641" s="60">
        <v>804.81</v>
      </c>
    </row>
    <row r="642" spans="1:16" ht="15" customHeight="1" x14ac:dyDescent="0.3">
      <c r="A642" s="38" t="s">
        <v>1360</v>
      </c>
      <c r="B642" s="39">
        <v>44935</v>
      </c>
      <c r="C642" s="38" t="s">
        <v>1361</v>
      </c>
      <c r="D642" s="38" t="s">
        <v>79</v>
      </c>
      <c r="E642" s="40">
        <v>32348</v>
      </c>
      <c r="F642" s="41">
        <v>0.25</v>
      </c>
      <c r="G642" s="38">
        <v>36</v>
      </c>
      <c r="H642" s="38" t="s">
        <v>35</v>
      </c>
      <c r="I642" s="38" t="s">
        <v>83</v>
      </c>
      <c r="J642" s="38" t="s">
        <v>84</v>
      </c>
      <c r="K642" s="42">
        <v>82509</v>
      </c>
      <c r="L642" s="38" t="s">
        <v>62</v>
      </c>
      <c r="M642" s="43">
        <v>0.17</v>
      </c>
      <c r="N642" s="43">
        <v>0.51</v>
      </c>
      <c r="O642" s="42">
        <v>40435</v>
      </c>
      <c r="P642" s="42">
        <v>0</v>
      </c>
    </row>
    <row r="643" spans="1:16" ht="15" customHeight="1" x14ac:dyDescent="0.3">
      <c r="A643" s="38" t="s">
        <v>1362</v>
      </c>
      <c r="B643" s="39">
        <v>44936</v>
      </c>
      <c r="C643" s="38" t="s">
        <v>1363</v>
      </c>
      <c r="D643" s="38" t="s">
        <v>88</v>
      </c>
      <c r="E643" s="40">
        <v>1525</v>
      </c>
      <c r="F643" s="41">
        <v>0.16800000000000001</v>
      </c>
      <c r="G643" s="38">
        <v>36</v>
      </c>
      <c r="H643" s="38" t="s">
        <v>35</v>
      </c>
      <c r="I643" s="38" t="s">
        <v>83</v>
      </c>
      <c r="J643" s="38" t="s">
        <v>84</v>
      </c>
      <c r="K643" s="42">
        <v>115238</v>
      </c>
      <c r="L643" s="38" t="s">
        <v>85</v>
      </c>
      <c r="M643" s="43">
        <v>0.4</v>
      </c>
      <c r="N643" s="43">
        <v>0.86</v>
      </c>
      <c r="O643" s="42">
        <v>1781.2</v>
      </c>
      <c r="P643" s="42">
        <v>0</v>
      </c>
    </row>
    <row r="644" spans="1:16" ht="15" customHeight="1" x14ac:dyDescent="0.3">
      <c r="A644" s="38" t="s">
        <v>1364</v>
      </c>
      <c r="B644" s="39">
        <v>44937</v>
      </c>
      <c r="C644" s="38" t="s">
        <v>1365</v>
      </c>
      <c r="D644" s="38" t="s">
        <v>75</v>
      </c>
      <c r="E644" s="40">
        <v>12745</v>
      </c>
      <c r="F644" s="41">
        <v>0.16200000000000001</v>
      </c>
      <c r="G644" s="38">
        <v>60</v>
      </c>
      <c r="H644" s="38" t="s">
        <v>35</v>
      </c>
      <c r="I644" s="38" t="s">
        <v>257</v>
      </c>
      <c r="J644" s="38" t="s">
        <v>61</v>
      </c>
      <c r="K644" s="42">
        <v>132020</v>
      </c>
      <c r="L644" s="38" t="s">
        <v>62</v>
      </c>
      <c r="M644" s="43">
        <v>0.22</v>
      </c>
      <c r="N644" s="43">
        <v>0.64</v>
      </c>
      <c r="O644" s="42">
        <v>14809.69</v>
      </c>
      <c r="P644" s="42">
        <v>0</v>
      </c>
    </row>
    <row r="645" spans="1:16" ht="15" customHeight="1" x14ac:dyDescent="0.3">
      <c r="A645" s="38" t="s">
        <v>1366</v>
      </c>
      <c r="B645" s="39">
        <v>44939</v>
      </c>
      <c r="C645" s="38" t="s">
        <v>1367</v>
      </c>
      <c r="D645" s="38" t="s">
        <v>125</v>
      </c>
      <c r="E645" s="40">
        <v>22776</v>
      </c>
      <c r="F645" s="41">
        <v>0.112</v>
      </c>
      <c r="G645" s="38">
        <v>60</v>
      </c>
      <c r="H645" s="38" t="s">
        <v>35</v>
      </c>
      <c r="I645" s="38" t="s">
        <v>80</v>
      </c>
      <c r="J645" s="38" t="s">
        <v>61</v>
      </c>
      <c r="K645" s="42">
        <v>148333</v>
      </c>
      <c r="L645" s="38" t="s">
        <v>85</v>
      </c>
      <c r="M645" s="43">
        <v>0.28000000000000003</v>
      </c>
      <c r="N645" s="43">
        <v>0.64</v>
      </c>
      <c r="O645" s="42">
        <v>25326.91</v>
      </c>
      <c r="P645" s="42">
        <v>0</v>
      </c>
    </row>
    <row r="646" spans="1:16" ht="15" customHeight="1" x14ac:dyDescent="0.3">
      <c r="A646" s="38" t="s">
        <v>1368</v>
      </c>
      <c r="B646" s="39">
        <v>44942</v>
      </c>
      <c r="C646" s="38" t="s">
        <v>1369</v>
      </c>
      <c r="D646" s="38" t="s">
        <v>138</v>
      </c>
      <c r="E646" s="40">
        <v>26476</v>
      </c>
      <c r="F646" s="41">
        <v>0.22900000000000001</v>
      </c>
      <c r="G646" s="38">
        <v>36</v>
      </c>
      <c r="H646" s="38" t="s">
        <v>35</v>
      </c>
      <c r="I646" s="38" t="s">
        <v>80</v>
      </c>
      <c r="J646" s="38" t="s">
        <v>84</v>
      </c>
      <c r="K646" s="42">
        <v>61417</v>
      </c>
      <c r="L646" s="38" t="s">
        <v>62</v>
      </c>
      <c r="M646" s="43">
        <v>0.31</v>
      </c>
      <c r="N646" s="43">
        <v>0.53</v>
      </c>
      <c r="O646" s="42">
        <v>32539</v>
      </c>
      <c r="P646" s="42">
        <v>0</v>
      </c>
    </row>
    <row r="647" spans="1:16" ht="15" customHeight="1" x14ac:dyDescent="0.3">
      <c r="A647" s="38" t="s">
        <v>1370</v>
      </c>
      <c r="B647" s="39">
        <v>44944</v>
      </c>
      <c r="C647" s="38" t="s">
        <v>1371</v>
      </c>
      <c r="D647" s="38" t="s">
        <v>88</v>
      </c>
      <c r="E647" s="40">
        <v>37397</v>
      </c>
      <c r="F647" s="41">
        <v>0.21</v>
      </c>
      <c r="G647" s="38">
        <v>60</v>
      </c>
      <c r="H647" s="38" t="s">
        <v>35</v>
      </c>
      <c r="I647" s="38" t="s">
        <v>71</v>
      </c>
      <c r="J647" s="38" t="s">
        <v>67</v>
      </c>
      <c r="K647" s="42">
        <v>107535</v>
      </c>
      <c r="L647" s="38" t="s">
        <v>85</v>
      </c>
      <c r="M647" s="43">
        <v>0.2</v>
      </c>
      <c r="N647" s="43">
        <v>0.81</v>
      </c>
      <c r="O647" s="42">
        <v>45250.37</v>
      </c>
      <c r="P647" s="42">
        <v>0</v>
      </c>
    </row>
    <row r="648" spans="1:16" ht="15" customHeight="1" x14ac:dyDescent="0.3">
      <c r="A648" s="38" t="s">
        <v>1372</v>
      </c>
      <c r="B648" s="39">
        <v>44944</v>
      </c>
      <c r="C648" s="38" t="s">
        <v>1373</v>
      </c>
      <c r="D648" s="38" t="s">
        <v>88</v>
      </c>
      <c r="E648" s="40">
        <v>9906</v>
      </c>
      <c r="F648" s="41">
        <v>5.8000000000000003E-2</v>
      </c>
      <c r="G648" s="38">
        <v>60</v>
      </c>
      <c r="H648" s="38" t="s">
        <v>35</v>
      </c>
      <c r="I648" s="38" t="s">
        <v>71</v>
      </c>
      <c r="J648" s="38" t="s">
        <v>72</v>
      </c>
      <c r="K648" s="42">
        <v>112062</v>
      </c>
      <c r="L648" s="38" t="s">
        <v>62</v>
      </c>
      <c r="M648" s="43">
        <v>0.34</v>
      </c>
      <c r="N648" s="43">
        <v>0.84</v>
      </c>
      <c r="O648" s="42">
        <v>10480.549999999999</v>
      </c>
      <c r="P648" s="42">
        <v>0</v>
      </c>
    </row>
    <row r="649" spans="1:16" ht="15" customHeight="1" x14ac:dyDescent="0.3">
      <c r="A649" s="38" t="s">
        <v>1374</v>
      </c>
      <c r="B649" s="39">
        <v>44945</v>
      </c>
      <c r="C649" s="38" t="s">
        <v>1375</v>
      </c>
      <c r="D649" s="38" t="s">
        <v>59</v>
      </c>
      <c r="E649" s="40">
        <v>17514</v>
      </c>
      <c r="F649" s="41">
        <v>0.158</v>
      </c>
      <c r="G649" s="38">
        <v>60</v>
      </c>
      <c r="H649" s="38" t="s">
        <v>35</v>
      </c>
      <c r="I649" s="38" t="s">
        <v>83</v>
      </c>
      <c r="J649" s="38" t="s">
        <v>76</v>
      </c>
      <c r="K649" s="42">
        <v>69178</v>
      </c>
      <c r="L649" s="38" t="s">
        <v>62</v>
      </c>
      <c r="M649" s="43">
        <v>0.12</v>
      </c>
      <c r="N649" s="43">
        <v>0.77</v>
      </c>
      <c r="O649" s="42">
        <v>20281.21</v>
      </c>
      <c r="P649" s="42">
        <v>0</v>
      </c>
    </row>
    <row r="650" spans="1:16" ht="15" customHeight="1" x14ac:dyDescent="0.3">
      <c r="A650" s="56" t="s">
        <v>1376</v>
      </c>
      <c r="B650" s="57">
        <v>44946</v>
      </c>
      <c r="C650" s="56" t="s">
        <v>1377</v>
      </c>
      <c r="D650" s="56" t="s">
        <v>88</v>
      </c>
      <c r="E650" s="58">
        <v>7471</v>
      </c>
      <c r="F650" s="59">
        <v>0.159</v>
      </c>
      <c r="G650" s="56">
        <v>60</v>
      </c>
      <c r="H650" s="56" t="s">
        <v>37</v>
      </c>
      <c r="I650" s="56" t="s">
        <v>114</v>
      </c>
      <c r="J650" s="56" t="s">
        <v>76</v>
      </c>
      <c r="K650" s="60">
        <v>129025</v>
      </c>
      <c r="L650" s="56" t="s">
        <v>68</v>
      </c>
      <c r="M650" s="61">
        <v>0.46</v>
      </c>
      <c r="N650" s="61">
        <v>0.75</v>
      </c>
      <c r="O650" s="60">
        <v>1146.94</v>
      </c>
      <c r="P650" s="60">
        <v>2846.42</v>
      </c>
    </row>
    <row r="651" spans="1:16" ht="15" customHeight="1" x14ac:dyDescent="0.3">
      <c r="A651" s="44" t="s">
        <v>1378</v>
      </c>
      <c r="B651" s="45">
        <v>44946</v>
      </c>
      <c r="C651" s="44" t="s">
        <v>1379</v>
      </c>
      <c r="D651" s="44" t="s">
        <v>125</v>
      </c>
      <c r="E651" s="46">
        <v>26559</v>
      </c>
      <c r="F651" s="47">
        <v>0.245</v>
      </c>
      <c r="G651" s="44">
        <v>60</v>
      </c>
      <c r="H651" s="44" t="s">
        <v>36</v>
      </c>
      <c r="I651" s="44" t="s">
        <v>66</v>
      </c>
      <c r="J651" s="44" t="s">
        <v>67</v>
      </c>
      <c r="K651" s="48">
        <v>126282</v>
      </c>
      <c r="L651" s="44" t="s">
        <v>62</v>
      </c>
      <c r="M651" s="49">
        <v>0.11</v>
      </c>
      <c r="N651" s="49">
        <v>0.83</v>
      </c>
      <c r="O651" s="48">
        <v>10442.84</v>
      </c>
      <c r="P651" s="48">
        <v>0</v>
      </c>
    </row>
    <row r="652" spans="1:16" ht="15" customHeight="1" x14ac:dyDescent="0.3">
      <c r="A652" s="38" t="s">
        <v>1380</v>
      </c>
      <c r="B652" s="39">
        <v>44947</v>
      </c>
      <c r="C652" s="38" t="s">
        <v>1381</v>
      </c>
      <c r="D652" s="38" t="s">
        <v>125</v>
      </c>
      <c r="E652" s="40">
        <v>17405</v>
      </c>
      <c r="F652" s="41">
        <v>0.16300000000000001</v>
      </c>
      <c r="G652" s="38">
        <v>60</v>
      </c>
      <c r="H652" s="38" t="s">
        <v>35</v>
      </c>
      <c r="I652" s="38" t="s">
        <v>83</v>
      </c>
      <c r="J652" s="38" t="s">
        <v>72</v>
      </c>
      <c r="K652" s="42">
        <v>32775</v>
      </c>
      <c r="L652" s="38" t="s">
        <v>62</v>
      </c>
      <c r="M652" s="43">
        <v>0.15</v>
      </c>
      <c r="N652" s="43">
        <v>0.57999999999999996</v>
      </c>
      <c r="O652" s="42">
        <v>20242.02</v>
      </c>
      <c r="P652" s="42">
        <v>0</v>
      </c>
    </row>
    <row r="653" spans="1:16" ht="15" customHeight="1" x14ac:dyDescent="0.3">
      <c r="A653" s="38" t="s">
        <v>1382</v>
      </c>
      <c r="B653" s="39">
        <v>44948</v>
      </c>
      <c r="C653" s="38" t="s">
        <v>1383</v>
      </c>
      <c r="D653" s="38" t="s">
        <v>125</v>
      </c>
      <c r="E653" s="40">
        <v>31523</v>
      </c>
      <c r="F653" s="41">
        <v>0.107</v>
      </c>
      <c r="G653" s="38">
        <v>60</v>
      </c>
      <c r="H653" s="38" t="s">
        <v>35</v>
      </c>
      <c r="I653" s="38" t="s">
        <v>71</v>
      </c>
      <c r="J653" s="38" t="s">
        <v>67</v>
      </c>
      <c r="K653" s="42">
        <v>40345</v>
      </c>
      <c r="L653" s="38" t="s">
        <v>85</v>
      </c>
      <c r="M653" s="43">
        <v>0.21</v>
      </c>
      <c r="N653" s="43">
        <v>0.92</v>
      </c>
      <c r="O653" s="42">
        <v>34895.96</v>
      </c>
      <c r="P653" s="42">
        <v>0</v>
      </c>
    </row>
    <row r="654" spans="1:16" ht="15" customHeight="1" x14ac:dyDescent="0.3">
      <c r="A654" s="38" t="s">
        <v>1384</v>
      </c>
      <c r="B654" s="39">
        <v>44948</v>
      </c>
      <c r="C654" s="38" t="s">
        <v>1385</v>
      </c>
      <c r="D654" s="38" t="s">
        <v>97</v>
      </c>
      <c r="E654" s="40">
        <v>25951</v>
      </c>
      <c r="F654" s="41">
        <v>0.246</v>
      </c>
      <c r="G654" s="38">
        <v>36</v>
      </c>
      <c r="H654" s="38" t="s">
        <v>35</v>
      </c>
      <c r="I654" s="38" t="s">
        <v>80</v>
      </c>
      <c r="J654" s="38" t="s">
        <v>61</v>
      </c>
      <c r="K654" s="42">
        <v>77788</v>
      </c>
      <c r="L654" s="38" t="s">
        <v>68</v>
      </c>
      <c r="M654" s="43">
        <v>0.35</v>
      </c>
      <c r="N654" s="43">
        <v>0.82</v>
      </c>
      <c r="O654" s="42">
        <v>32334.95</v>
      </c>
      <c r="P654" s="42">
        <v>0</v>
      </c>
    </row>
    <row r="655" spans="1:16" ht="15" customHeight="1" x14ac:dyDescent="0.3">
      <c r="A655" s="38" t="s">
        <v>1386</v>
      </c>
      <c r="B655" s="39">
        <v>44950</v>
      </c>
      <c r="C655" s="38" t="s">
        <v>1387</v>
      </c>
      <c r="D655" s="38" t="s">
        <v>97</v>
      </c>
      <c r="E655" s="40">
        <v>35531</v>
      </c>
      <c r="F655" s="41">
        <v>0.16500000000000001</v>
      </c>
      <c r="G655" s="38">
        <v>36</v>
      </c>
      <c r="H655" s="38" t="s">
        <v>35</v>
      </c>
      <c r="I655" s="38" t="s">
        <v>71</v>
      </c>
      <c r="J655" s="38" t="s">
        <v>72</v>
      </c>
      <c r="K655" s="42">
        <v>53559</v>
      </c>
      <c r="L655" s="38" t="s">
        <v>62</v>
      </c>
      <c r="M655" s="43">
        <v>0.41</v>
      </c>
      <c r="N655" s="43">
        <v>0.79</v>
      </c>
      <c r="O655" s="42">
        <v>41393.620000000003</v>
      </c>
      <c r="P655" s="42">
        <v>0</v>
      </c>
    </row>
    <row r="656" spans="1:16" ht="15" customHeight="1" x14ac:dyDescent="0.3">
      <c r="A656" s="38" t="s">
        <v>1388</v>
      </c>
      <c r="B656" s="39">
        <v>44950</v>
      </c>
      <c r="C656" s="38" t="s">
        <v>1389</v>
      </c>
      <c r="D656" s="38" t="s">
        <v>97</v>
      </c>
      <c r="E656" s="40">
        <v>21049</v>
      </c>
      <c r="F656" s="41">
        <v>0.14799999999999999</v>
      </c>
      <c r="G656" s="38">
        <v>60</v>
      </c>
      <c r="H656" s="38" t="s">
        <v>35</v>
      </c>
      <c r="I656" s="38" t="s">
        <v>80</v>
      </c>
      <c r="J656" s="38" t="s">
        <v>76</v>
      </c>
      <c r="K656" s="42">
        <v>112569</v>
      </c>
      <c r="L656" s="38" t="s">
        <v>85</v>
      </c>
      <c r="M656" s="43">
        <v>0.17</v>
      </c>
      <c r="N656" s="43">
        <v>0.51</v>
      </c>
      <c r="O656" s="42">
        <v>24164.25</v>
      </c>
      <c r="P656" s="42">
        <v>0</v>
      </c>
    </row>
    <row r="657" spans="1:16" ht="15" customHeight="1" x14ac:dyDescent="0.3">
      <c r="A657" s="38" t="s">
        <v>1390</v>
      </c>
      <c r="B657" s="39">
        <v>44951</v>
      </c>
      <c r="C657" s="38" t="s">
        <v>1391</v>
      </c>
      <c r="D657" s="38" t="s">
        <v>59</v>
      </c>
      <c r="E657" s="40">
        <v>34004</v>
      </c>
      <c r="F657" s="41">
        <v>8.7999999999999995E-2</v>
      </c>
      <c r="G657" s="38">
        <v>36</v>
      </c>
      <c r="H657" s="38" t="s">
        <v>35</v>
      </c>
      <c r="I657" s="38" t="s">
        <v>80</v>
      </c>
      <c r="J657" s="38" t="s">
        <v>76</v>
      </c>
      <c r="K657" s="42">
        <v>33358</v>
      </c>
      <c r="L657" s="38" t="s">
        <v>85</v>
      </c>
      <c r="M657" s="43">
        <v>0.44</v>
      </c>
      <c r="N657" s="43">
        <v>0.81</v>
      </c>
      <c r="O657" s="42">
        <v>36996.35</v>
      </c>
      <c r="P657" s="42">
        <v>0</v>
      </c>
    </row>
    <row r="658" spans="1:16" ht="15" customHeight="1" x14ac:dyDescent="0.3">
      <c r="A658" s="44" t="s">
        <v>1392</v>
      </c>
      <c r="B658" s="45">
        <v>44955</v>
      </c>
      <c r="C658" s="44" t="s">
        <v>1393</v>
      </c>
      <c r="D658" s="44" t="s">
        <v>125</v>
      </c>
      <c r="E658" s="46">
        <v>11225</v>
      </c>
      <c r="F658" s="47">
        <v>0.14000000000000001</v>
      </c>
      <c r="G658" s="44">
        <v>36</v>
      </c>
      <c r="H658" s="44" t="s">
        <v>36</v>
      </c>
      <c r="I658" s="44" t="s">
        <v>83</v>
      </c>
      <c r="J658" s="44" t="s">
        <v>67</v>
      </c>
      <c r="K658" s="48">
        <v>93909</v>
      </c>
      <c r="L658" s="44" t="s">
        <v>68</v>
      </c>
      <c r="M658" s="49">
        <v>0.17</v>
      </c>
      <c r="N658" s="49">
        <v>0.85</v>
      </c>
      <c r="O658" s="48">
        <v>3482.53</v>
      </c>
      <c r="P658" s="48">
        <v>0</v>
      </c>
    </row>
    <row r="659" spans="1:16" ht="15" customHeight="1" x14ac:dyDescent="0.3">
      <c r="A659" s="38" t="s">
        <v>1394</v>
      </c>
      <c r="B659" s="39">
        <v>44955</v>
      </c>
      <c r="C659" s="38" t="s">
        <v>1395</v>
      </c>
      <c r="D659" s="38" t="s">
        <v>138</v>
      </c>
      <c r="E659" s="40">
        <v>35905</v>
      </c>
      <c r="F659" s="41">
        <v>0.14799999999999999</v>
      </c>
      <c r="G659" s="38">
        <v>60</v>
      </c>
      <c r="H659" s="38" t="s">
        <v>35</v>
      </c>
      <c r="I659" s="38" t="s">
        <v>80</v>
      </c>
      <c r="J659" s="38" t="s">
        <v>76</v>
      </c>
      <c r="K659" s="42">
        <v>49456</v>
      </c>
      <c r="L659" s="38" t="s">
        <v>85</v>
      </c>
      <c r="M659" s="43">
        <v>0.34</v>
      </c>
      <c r="N659" s="43">
        <v>0.76</v>
      </c>
      <c r="O659" s="42">
        <v>41218.94</v>
      </c>
      <c r="P659" s="42">
        <v>0</v>
      </c>
    </row>
    <row r="660" spans="1:16" ht="15" customHeight="1" x14ac:dyDescent="0.3">
      <c r="A660" s="56" t="s">
        <v>1396</v>
      </c>
      <c r="B660" s="57">
        <v>44955</v>
      </c>
      <c r="C660" s="56" t="s">
        <v>1397</v>
      </c>
      <c r="D660" s="56" t="s">
        <v>88</v>
      </c>
      <c r="E660" s="58">
        <v>24312</v>
      </c>
      <c r="F660" s="59">
        <v>0.16400000000000001</v>
      </c>
      <c r="G660" s="56">
        <v>36</v>
      </c>
      <c r="H660" s="56" t="s">
        <v>37</v>
      </c>
      <c r="I660" s="56" t="s">
        <v>66</v>
      </c>
      <c r="J660" s="56" t="s">
        <v>84</v>
      </c>
      <c r="K660" s="60">
        <v>64028</v>
      </c>
      <c r="L660" s="56" t="s">
        <v>68</v>
      </c>
      <c r="M660" s="61">
        <v>0.42</v>
      </c>
      <c r="N660" s="61">
        <v>0.76</v>
      </c>
      <c r="O660" s="60">
        <v>9266.1200000000008</v>
      </c>
      <c r="P660" s="60">
        <v>2516.62</v>
      </c>
    </row>
    <row r="661" spans="1:16" ht="15" customHeight="1" x14ac:dyDescent="0.3">
      <c r="A661" s="56" t="s">
        <v>1398</v>
      </c>
      <c r="B661" s="57">
        <v>44955</v>
      </c>
      <c r="C661" s="56" t="s">
        <v>1399</v>
      </c>
      <c r="D661" s="56" t="s">
        <v>75</v>
      </c>
      <c r="E661" s="58">
        <v>34062</v>
      </c>
      <c r="F661" s="59">
        <v>0.13600000000000001</v>
      </c>
      <c r="G661" s="56">
        <v>36</v>
      </c>
      <c r="H661" s="56" t="s">
        <v>37</v>
      </c>
      <c r="I661" s="56" t="s">
        <v>80</v>
      </c>
      <c r="J661" s="56" t="s">
        <v>61</v>
      </c>
      <c r="K661" s="60">
        <v>116724</v>
      </c>
      <c r="L661" s="56" t="s">
        <v>85</v>
      </c>
      <c r="M661" s="61">
        <v>0.42</v>
      </c>
      <c r="N661" s="61">
        <v>0.55000000000000004</v>
      </c>
      <c r="O661" s="60">
        <v>12667.87</v>
      </c>
      <c r="P661" s="60">
        <v>12334.49</v>
      </c>
    </row>
    <row r="662" spans="1:16" ht="15" customHeight="1" x14ac:dyDescent="0.3">
      <c r="A662" s="38" t="s">
        <v>1400</v>
      </c>
      <c r="B662" s="39">
        <v>44957</v>
      </c>
      <c r="C662" s="38" t="s">
        <v>1401</v>
      </c>
      <c r="D662" s="38" t="s">
        <v>79</v>
      </c>
      <c r="E662" s="40">
        <v>22804</v>
      </c>
      <c r="F662" s="41">
        <v>0.11799999999999999</v>
      </c>
      <c r="G662" s="38">
        <v>60</v>
      </c>
      <c r="H662" s="38" t="s">
        <v>35</v>
      </c>
      <c r="I662" s="38" t="s">
        <v>66</v>
      </c>
      <c r="J662" s="38" t="s">
        <v>61</v>
      </c>
      <c r="K662" s="42">
        <v>121066</v>
      </c>
      <c r="L662" s="38" t="s">
        <v>85</v>
      </c>
      <c r="M662" s="43">
        <v>0.32</v>
      </c>
      <c r="N662" s="43">
        <v>0.55000000000000004</v>
      </c>
      <c r="O662" s="42">
        <v>25494.87</v>
      </c>
      <c r="P662" s="42">
        <v>0</v>
      </c>
    </row>
    <row r="663" spans="1:16" ht="15" customHeight="1" x14ac:dyDescent="0.3">
      <c r="A663" s="38" t="s">
        <v>1402</v>
      </c>
      <c r="B663" s="39">
        <v>44957</v>
      </c>
      <c r="C663" s="38" t="s">
        <v>1403</v>
      </c>
      <c r="D663" s="38" t="s">
        <v>125</v>
      </c>
      <c r="E663" s="40">
        <v>36840</v>
      </c>
      <c r="F663" s="41">
        <v>0.11799999999999999</v>
      </c>
      <c r="G663" s="38">
        <v>36</v>
      </c>
      <c r="H663" s="38" t="s">
        <v>35</v>
      </c>
      <c r="I663" s="38" t="s">
        <v>83</v>
      </c>
      <c r="J663" s="38" t="s">
        <v>84</v>
      </c>
      <c r="K663" s="42">
        <v>79500</v>
      </c>
      <c r="L663" s="38" t="s">
        <v>62</v>
      </c>
      <c r="M663" s="43">
        <v>0.3</v>
      </c>
      <c r="N663" s="43">
        <v>0.8</v>
      </c>
      <c r="O663" s="42">
        <v>41187.120000000003</v>
      </c>
      <c r="P663" s="42">
        <v>0</v>
      </c>
    </row>
    <row r="664" spans="1:16" ht="15" customHeight="1" x14ac:dyDescent="0.3">
      <c r="A664" s="38" t="s">
        <v>1404</v>
      </c>
      <c r="B664" s="39">
        <v>44957</v>
      </c>
      <c r="C664" s="38" t="s">
        <v>1405</v>
      </c>
      <c r="D664" s="38" t="s">
        <v>75</v>
      </c>
      <c r="E664" s="40">
        <v>34187</v>
      </c>
      <c r="F664" s="41">
        <v>0.22600000000000001</v>
      </c>
      <c r="G664" s="38">
        <v>60</v>
      </c>
      <c r="H664" s="38" t="s">
        <v>35</v>
      </c>
      <c r="I664" s="38" t="s">
        <v>83</v>
      </c>
      <c r="J664" s="38" t="s">
        <v>61</v>
      </c>
      <c r="K664" s="42">
        <v>46968</v>
      </c>
      <c r="L664" s="38" t="s">
        <v>62</v>
      </c>
      <c r="M664" s="43">
        <v>0.41</v>
      </c>
      <c r="N664" s="43">
        <v>0.93</v>
      </c>
      <c r="O664" s="42">
        <v>41913.26</v>
      </c>
      <c r="P664" s="42">
        <v>0</v>
      </c>
    </row>
    <row r="665" spans="1:16" ht="15" customHeight="1" x14ac:dyDescent="0.3">
      <c r="A665" s="44" t="s">
        <v>1406</v>
      </c>
      <c r="B665" s="45">
        <v>44958</v>
      </c>
      <c r="C665" s="44" t="s">
        <v>1407</v>
      </c>
      <c r="D665" s="44" t="s">
        <v>79</v>
      </c>
      <c r="E665" s="46">
        <v>24019</v>
      </c>
      <c r="F665" s="47">
        <v>0.109</v>
      </c>
      <c r="G665" s="44">
        <v>36</v>
      </c>
      <c r="H665" s="44" t="s">
        <v>36</v>
      </c>
      <c r="I665" s="44" t="s">
        <v>60</v>
      </c>
      <c r="J665" s="44" t="s">
        <v>76</v>
      </c>
      <c r="K665" s="48">
        <v>34627</v>
      </c>
      <c r="L665" s="44" t="s">
        <v>62</v>
      </c>
      <c r="M665" s="49">
        <v>0.4</v>
      </c>
      <c r="N665" s="49">
        <v>0.72</v>
      </c>
      <c r="O665" s="48">
        <v>1328.11</v>
      </c>
      <c r="P665" s="48">
        <v>0</v>
      </c>
    </row>
    <row r="666" spans="1:16" ht="15" customHeight="1" x14ac:dyDescent="0.3">
      <c r="A666" s="44" t="s">
        <v>1408</v>
      </c>
      <c r="B666" s="45">
        <v>44959</v>
      </c>
      <c r="C666" s="44" t="s">
        <v>1409</v>
      </c>
      <c r="D666" s="44" t="s">
        <v>65</v>
      </c>
      <c r="E666" s="46">
        <v>30856</v>
      </c>
      <c r="F666" s="47">
        <v>0.216</v>
      </c>
      <c r="G666" s="44">
        <v>60</v>
      </c>
      <c r="H666" s="44" t="s">
        <v>36</v>
      </c>
      <c r="I666" s="44" t="s">
        <v>80</v>
      </c>
      <c r="J666" s="44" t="s">
        <v>84</v>
      </c>
      <c r="K666" s="48">
        <v>63037</v>
      </c>
      <c r="L666" s="44" t="s">
        <v>68</v>
      </c>
      <c r="M666" s="49">
        <v>0.12</v>
      </c>
      <c r="N666" s="49">
        <v>0.73</v>
      </c>
      <c r="O666" s="48">
        <v>7333.61</v>
      </c>
      <c r="P666" s="48">
        <v>0</v>
      </c>
    </row>
    <row r="667" spans="1:16" ht="15" customHeight="1" x14ac:dyDescent="0.3">
      <c r="A667" s="44" t="s">
        <v>1410</v>
      </c>
      <c r="B667" s="45">
        <v>44959</v>
      </c>
      <c r="C667" s="44" t="s">
        <v>1411</v>
      </c>
      <c r="D667" s="44" t="s">
        <v>59</v>
      </c>
      <c r="E667" s="46">
        <v>9984</v>
      </c>
      <c r="F667" s="47">
        <v>0.18</v>
      </c>
      <c r="G667" s="44">
        <v>60</v>
      </c>
      <c r="H667" s="44" t="s">
        <v>36</v>
      </c>
      <c r="I667" s="44" t="s">
        <v>83</v>
      </c>
      <c r="J667" s="44" t="s">
        <v>76</v>
      </c>
      <c r="K667" s="48">
        <v>36589</v>
      </c>
      <c r="L667" s="44" t="s">
        <v>85</v>
      </c>
      <c r="M667" s="49">
        <v>0.46</v>
      </c>
      <c r="N667" s="49">
        <v>0.93</v>
      </c>
      <c r="O667" s="48">
        <v>2403.9499999999998</v>
      </c>
      <c r="P667" s="48">
        <v>0</v>
      </c>
    </row>
    <row r="668" spans="1:16" ht="15" customHeight="1" x14ac:dyDescent="0.3">
      <c r="A668" s="44" t="s">
        <v>1412</v>
      </c>
      <c r="B668" s="45">
        <v>44960</v>
      </c>
      <c r="C668" s="44" t="s">
        <v>1413</v>
      </c>
      <c r="D668" s="44" t="s">
        <v>113</v>
      </c>
      <c r="E668" s="46">
        <v>36400</v>
      </c>
      <c r="F668" s="47">
        <v>0.19700000000000001</v>
      </c>
      <c r="G668" s="44">
        <v>60</v>
      </c>
      <c r="H668" s="44" t="s">
        <v>36</v>
      </c>
      <c r="I668" s="44" t="s">
        <v>80</v>
      </c>
      <c r="J668" s="44" t="s">
        <v>72</v>
      </c>
      <c r="K668" s="48">
        <v>96458</v>
      </c>
      <c r="L668" s="44" t="s">
        <v>68</v>
      </c>
      <c r="M668" s="49">
        <v>0.4</v>
      </c>
      <c r="N668" s="49">
        <v>0.72</v>
      </c>
      <c r="O668" s="48">
        <v>4839.3500000000004</v>
      </c>
      <c r="P668" s="48">
        <v>0</v>
      </c>
    </row>
    <row r="669" spans="1:16" ht="15" customHeight="1" x14ac:dyDescent="0.3">
      <c r="A669" s="38" t="s">
        <v>1414</v>
      </c>
      <c r="B669" s="39">
        <v>44960</v>
      </c>
      <c r="C669" s="38" t="s">
        <v>1415</v>
      </c>
      <c r="D669" s="38" t="s">
        <v>97</v>
      </c>
      <c r="E669" s="40">
        <v>7563</v>
      </c>
      <c r="F669" s="41">
        <v>0.20699999999999999</v>
      </c>
      <c r="G669" s="38">
        <v>60</v>
      </c>
      <c r="H669" s="38" t="s">
        <v>35</v>
      </c>
      <c r="I669" s="38" t="s">
        <v>257</v>
      </c>
      <c r="J669" s="38" t="s">
        <v>61</v>
      </c>
      <c r="K669" s="42">
        <v>119462</v>
      </c>
      <c r="L669" s="38" t="s">
        <v>62</v>
      </c>
      <c r="M669" s="43">
        <v>0.42</v>
      </c>
      <c r="N669" s="43">
        <v>0.62</v>
      </c>
      <c r="O669" s="42">
        <v>9128.5400000000009</v>
      </c>
      <c r="P669" s="42">
        <v>0</v>
      </c>
    </row>
    <row r="670" spans="1:16" ht="15" customHeight="1" x14ac:dyDescent="0.3">
      <c r="A670" s="38" t="s">
        <v>1416</v>
      </c>
      <c r="B670" s="39">
        <v>44960</v>
      </c>
      <c r="C670" s="38" t="s">
        <v>1417</v>
      </c>
      <c r="D670" s="38" t="s">
        <v>125</v>
      </c>
      <c r="E670" s="40">
        <v>5090</v>
      </c>
      <c r="F670" s="41">
        <v>5.2999999999999999E-2</v>
      </c>
      <c r="G670" s="38">
        <v>60</v>
      </c>
      <c r="H670" s="38" t="s">
        <v>35</v>
      </c>
      <c r="I670" s="38" t="s">
        <v>71</v>
      </c>
      <c r="J670" s="38" t="s">
        <v>61</v>
      </c>
      <c r="K670" s="42">
        <v>30670</v>
      </c>
      <c r="L670" s="38" t="s">
        <v>68</v>
      </c>
      <c r="M670" s="43">
        <v>0.28000000000000003</v>
      </c>
      <c r="N670" s="43">
        <v>0.59</v>
      </c>
      <c r="O670" s="42">
        <v>5359.77</v>
      </c>
      <c r="P670" s="42">
        <v>0</v>
      </c>
    </row>
    <row r="671" spans="1:16" ht="15" customHeight="1" x14ac:dyDescent="0.3">
      <c r="A671" s="56" t="s">
        <v>1418</v>
      </c>
      <c r="B671" s="57">
        <v>44960</v>
      </c>
      <c r="C671" s="56" t="s">
        <v>1419</v>
      </c>
      <c r="D671" s="56" t="s">
        <v>97</v>
      </c>
      <c r="E671" s="58">
        <v>7638</v>
      </c>
      <c r="F671" s="59">
        <v>9.2999999999999999E-2</v>
      </c>
      <c r="G671" s="56">
        <v>60</v>
      </c>
      <c r="H671" s="56" t="s">
        <v>37</v>
      </c>
      <c r="I671" s="56" t="s">
        <v>114</v>
      </c>
      <c r="J671" s="56" t="s">
        <v>84</v>
      </c>
      <c r="K671" s="60">
        <v>110357</v>
      </c>
      <c r="L671" s="56" t="s">
        <v>85</v>
      </c>
      <c r="M671" s="61">
        <v>0.23</v>
      </c>
      <c r="N671" s="61">
        <v>0.55000000000000004</v>
      </c>
      <c r="O671" s="60">
        <v>2378.77</v>
      </c>
      <c r="P671" s="60">
        <v>1767.84</v>
      </c>
    </row>
    <row r="672" spans="1:16" ht="15" customHeight="1" x14ac:dyDescent="0.3">
      <c r="A672" s="56" t="s">
        <v>1420</v>
      </c>
      <c r="B672" s="57">
        <v>44963</v>
      </c>
      <c r="C672" s="56" t="s">
        <v>1421</v>
      </c>
      <c r="D672" s="56" t="s">
        <v>59</v>
      </c>
      <c r="E672" s="58">
        <v>26611</v>
      </c>
      <c r="F672" s="59">
        <v>0.189</v>
      </c>
      <c r="G672" s="56">
        <v>60</v>
      </c>
      <c r="H672" s="56" t="s">
        <v>37</v>
      </c>
      <c r="I672" s="56" t="s">
        <v>83</v>
      </c>
      <c r="J672" s="56" t="s">
        <v>67</v>
      </c>
      <c r="K672" s="60">
        <v>118059</v>
      </c>
      <c r="L672" s="56" t="s">
        <v>68</v>
      </c>
      <c r="M672" s="61">
        <v>0.12</v>
      </c>
      <c r="N672" s="61">
        <v>0.65</v>
      </c>
      <c r="O672" s="60">
        <v>3671.34</v>
      </c>
      <c r="P672" s="60">
        <v>13658.29</v>
      </c>
    </row>
    <row r="673" spans="1:16" ht="15" customHeight="1" x14ac:dyDescent="0.3">
      <c r="A673" s="38" t="s">
        <v>1422</v>
      </c>
      <c r="B673" s="39">
        <v>44963</v>
      </c>
      <c r="C673" s="38" t="s">
        <v>1423</v>
      </c>
      <c r="D673" s="38" t="s">
        <v>125</v>
      </c>
      <c r="E673" s="40">
        <v>30398</v>
      </c>
      <c r="F673" s="41">
        <v>8.2000000000000003E-2</v>
      </c>
      <c r="G673" s="38">
        <v>60</v>
      </c>
      <c r="H673" s="38" t="s">
        <v>35</v>
      </c>
      <c r="I673" s="38" t="s">
        <v>80</v>
      </c>
      <c r="J673" s="38" t="s">
        <v>84</v>
      </c>
      <c r="K673" s="42">
        <v>47374</v>
      </c>
      <c r="L673" s="38" t="s">
        <v>85</v>
      </c>
      <c r="M673" s="43">
        <v>0.18</v>
      </c>
      <c r="N673" s="43">
        <v>0.81</v>
      </c>
      <c r="O673" s="42">
        <v>32890.639999999999</v>
      </c>
      <c r="P673" s="42">
        <v>0</v>
      </c>
    </row>
    <row r="674" spans="1:16" ht="15" customHeight="1" x14ac:dyDescent="0.3">
      <c r="A674" s="38" t="s">
        <v>1424</v>
      </c>
      <c r="B674" s="39">
        <v>44963</v>
      </c>
      <c r="C674" s="38" t="s">
        <v>1425</v>
      </c>
      <c r="D674" s="38" t="s">
        <v>125</v>
      </c>
      <c r="E674" s="40">
        <v>13676</v>
      </c>
      <c r="F674" s="41">
        <v>5.5E-2</v>
      </c>
      <c r="G674" s="38">
        <v>36</v>
      </c>
      <c r="H674" s="38" t="s">
        <v>35</v>
      </c>
      <c r="I674" s="38" t="s">
        <v>71</v>
      </c>
      <c r="J674" s="38" t="s">
        <v>72</v>
      </c>
      <c r="K674" s="42">
        <v>81877</v>
      </c>
      <c r="L674" s="38" t="s">
        <v>85</v>
      </c>
      <c r="M674" s="43">
        <v>0.23</v>
      </c>
      <c r="N674" s="43">
        <v>0.67</v>
      </c>
      <c r="O674" s="42">
        <v>14428.18</v>
      </c>
      <c r="P674" s="42">
        <v>0</v>
      </c>
    </row>
    <row r="675" spans="1:16" ht="15" customHeight="1" x14ac:dyDescent="0.3">
      <c r="A675" s="38" t="s">
        <v>1426</v>
      </c>
      <c r="B675" s="39">
        <v>44965</v>
      </c>
      <c r="C675" s="38" t="s">
        <v>1427</v>
      </c>
      <c r="D675" s="38" t="s">
        <v>79</v>
      </c>
      <c r="E675" s="40">
        <v>20994</v>
      </c>
      <c r="F675" s="41">
        <v>7.1999999999999995E-2</v>
      </c>
      <c r="G675" s="38">
        <v>36</v>
      </c>
      <c r="H675" s="38" t="s">
        <v>35</v>
      </c>
      <c r="I675" s="38" t="s">
        <v>83</v>
      </c>
      <c r="J675" s="38" t="s">
        <v>84</v>
      </c>
      <c r="K675" s="42">
        <v>142805</v>
      </c>
      <c r="L675" s="38" t="s">
        <v>62</v>
      </c>
      <c r="M675" s="43">
        <v>0.15</v>
      </c>
      <c r="N675" s="43">
        <v>0.54</v>
      </c>
      <c r="O675" s="42">
        <v>22505.57</v>
      </c>
      <c r="P675" s="42">
        <v>0</v>
      </c>
    </row>
    <row r="676" spans="1:16" ht="15" customHeight="1" x14ac:dyDescent="0.3">
      <c r="A676" s="38" t="s">
        <v>1428</v>
      </c>
      <c r="B676" s="39">
        <v>44965</v>
      </c>
      <c r="C676" s="38" t="s">
        <v>1429</v>
      </c>
      <c r="D676" s="38" t="s">
        <v>65</v>
      </c>
      <c r="E676" s="40">
        <v>7610</v>
      </c>
      <c r="F676" s="41">
        <v>5.8000000000000003E-2</v>
      </c>
      <c r="G676" s="38">
        <v>60</v>
      </c>
      <c r="H676" s="38" t="s">
        <v>35</v>
      </c>
      <c r="I676" s="38" t="s">
        <v>71</v>
      </c>
      <c r="J676" s="38" t="s">
        <v>61</v>
      </c>
      <c r="K676" s="42">
        <v>87535</v>
      </c>
      <c r="L676" s="38" t="s">
        <v>62</v>
      </c>
      <c r="M676" s="43">
        <v>0.19</v>
      </c>
      <c r="N676" s="43">
        <v>0.73</v>
      </c>
      <c r="O676" s="42">
        <v>8051.38</v>
      </c>
      <c r="P676" s="42">
        <v>0</v>
      </c>
    </row>
    <row r="677" spans="1:16" ht="15" customHeight="1" x14ac:dyDescent="0.3">
      <c r="A677" s="44" t="s">
        <v>1430</v>
      </c>
      <c r="B677" s="45">
        <v>44966</v>
      </c>
      <c r="C677" s="44" t="s">
        <v>1431</v>
      </c>
      <c r="D677" s="44" t="s">
        <v>97</v>
      </c>
      <c r="E677" s="46">
        <v>5263</v>
      </c>
      <c r="F677" s="47">
        <v>0.14000000000000001</v>
      </c>
      <c r="G677" s="44">
        <v>36</v>
      </c>
      <c r="H677" s="44" t="s">
        <v>36</v>
      </c>
      <c r="I677" s="44" t="s">
        <v>80</v>
      </c>
      <c r="J677" s="44" t="s">
        <v>61</v>
      </c>
      <c r="K677" s="48">
        <v>99300</v>
      </c>
      <c r="L677" s="44" t="s">
        <v>68</v>
      </c>
      <c r="M677" s="49">
        <v>0.21</v>
      </c>
      <c r="N677" s="49">
        <v>0.68</v>
      </c>
      <c r="O677" s="48">
        <v>885.74</v>
      </c>
      <c r="P677" s="48">
        <v>0</v>
      </c>
    </row>
    <row r="678" spans="1:16" ht="15" customHeight="1" x14ac:dyDescent="0.3">
      <c r="A678" s="44" t="s">
        <v>1432</v>
      </c>
      <c r="B678" s="45">
        <v>44967</v>
      </c>
      <c r="C678" s="44" t="s">
        <v>1433</v>
      </c>
      <c r="D678" s="44" t="s">
        <v>79</v>
      </c>
      <c r="E678" s="46">
        <v>7116</v>
      </c>
      <c r="F678" s="47">
        <v>0.216</v>
      </c>
      <c r="G678" s="44">
        <v>60</v>
      </c>
      <c r="H678" s="44" t="s">
        <v>36</v>
      </c>
      <c r="I678" s="44" t="s">
        <v>60</v>
      </c>
      <c r="J678" s="44" t="s">
        <v>72</v>
      </c>
      <c r="K678" s="48">
        <v>144091</v>
      </c>
      <c r="L678" s="44" t="s">
        <v>62</v>
      </c>
      <c r="M678" s="49">
        <v>0.21</v>
      </c>
      <c r="N678" s="49">
        <v>0.86</v>
      </c>
      <c r="O678" s="48">
        <v>3149.61</v>
      </c>
      <c r="P678" s="48">
        <v>0</v>
      </c>
    </row>
    <row r="679" spans="1:16" ht="15" customHeight="1" x14ac:dyDescent="0.3">
      <c r="A679" s="38" t="s">
        <v>1434</v>
      </c>
      <c r="B679" s="39">
        <v>44967</v>
      </c>
      <c r="C679" s="38" t="s">
        <v>1435</v>
      </c>
      <c r="D679" s="38" t="s">
        <v>79</v>
      </c>
      <c r="E679" s="40">
        <v>16360</v>
      </c>
      <c r="F679" s="41">
        <v>7.2999999999999995E-2</v>
      </c>
      <c r="G679" s="38">
        <v>60</v>
      </c>
      <c r="H679" s="38" t="s">
        <v>35</v>
      </c>
      <c r="I679" s="38" t="s">
        <v>71</v>
      </c>
      <c r="J679" s="38" t="s">
        <v>67</v>
      </c>
      <c r="K679" s="42">
        <v>96788</v>
      </c>
      <c r="L679" s="38" t="s">
        <v>62</v>
      </c>
      <c r="M679" s="43">
        <v>0.47</v>
      </c>
      <c r="N679" s="43">
        <v>0.62</v>
      </c>
      <c r="O679" s="42">
        <v>17554.28</v>
      </c>
      <c r="P679" s="42">
        <v>0</v>
      </c>
    </row>
    <row r="680" spans="1:16" ht="15" customHeight="1" x14ac:dyDescent="0.3">
      <c r="A680" s="38" t="s">
        <v>1436</v>
      </c>
      <c r="B680" s="39">
        <v>44970</v>
      </c>
      <c r="C680" s="38" t="s">
        <v>1437</v>
      </c>
      <c r="D680" s="38" t="s">
        <v>65</v>
      </c>
      <c r="E680" s="40">
        <v>38567</v>
      </c>
      <c r="F680" s="41">
        <v>0.14000000000000001</v>
      </c>
      <c r="G680" s="38">
        <v>60</v>
      </c>
      <c r="H680" s="38" t="s">
        <v>35</v>
      </c>
      <c r="I680" s="38" t="s">
        <v>257</v>
      </c>
      <c r="J680" s="38" t="s">
        <v>84</v>
      </c>
      <c r="K680" s="42">
        <v>82691</v>
      </c>
      <c r="L680" s="38" t="s">
        <v>68</v>
      </c>
      <c r="M680" s="43">
        <v>0.15</v>
      </c>
      <c r="N680" s="43">
        <v>0.83</v>
      </c>
      <c r="O680" s="42">
        <v>43966.38</v>
      </c>
      <c r="P680" s="42">
        <v>0</v>
      </c>
    </row>
    <row r="681" spans="1:16" ht="15" customHeight="1" x14ac:dyDescent="0.3">
      <c r="A681" s="44" t="s">
        <v>1438</v>
      </c>
      <c r="B681" s="45">
        <v>44971</v>
      </c>
      <c r="C681" s="44" t="s">
        <v>1439</v>
      </c>
      <c r="D681" s="44" t="s">
        <v>97</v>
      </c>
      <c r="E681" s="46">
        <v>4716</v>
      </c>
      <c r="F681" s="47">
        <v>9.8000000000000004E-2</v>
      </c>
      <c r="G681" s="44">
        <v>36</v>
      </c>
      <c r="H681" s="44" t="s">
        <v>36</v>
      </c>
      <c r="I681" s="44" t="s">
        <v>60</v>
      </c>
      <c r="J681" s="44" t="s">
        <v>72</v>
      </c>
      <c r="K681" s="48">
        <v>59631</v>
      </c>
      <c r="L681" s="44" t="s">
        <v>85</v>
      </c>
      <c r="M681" s="49">
        <v>0.17</v>
      </c>
      <c r="N681" s="49">
        <v>0.94</v>
      </c>
      <c r="O681" s="48">
        <v>1357.66</v>
      </c>
      <c r="P681" s="48">
        <v>0</v>
      </c>
    </row>
    <row r="682" spans="1:16" ht="15" customHeight="1" x14ac:dyDescent="0.3">
      <c r="A682" s="44" t="s">
        <v>1440</v>
      </c>
      <c r="B682" s="45">
        <v>44972</v>
      </c>
      <c r="C682" s="44" t="s">
        <v>1441</v>
      </c>
      <c r="D682" s="44" t="s">
        <v>59</v>
      </c>
      <c r="E682" s="46">
        <v>36201</v>
      </c>
      <c r="F682" s="47">
        <v>5.6000000000000001E-2</v>
      </c>
      <c r="G682" s="44">
        <v>60</v>
      </c>
      <c r="H682" s="44" t="s">
        <v>36</v>
      </c>
      <c r="I682" s="44" t="s">
        <v>83</v>
      </c>
      <c r="J682" s="44" t="s">
        <v>76</v>
      </c>
      <c r="K682" s="48">
        <v>51119</v>
      </c>
      <c r="L682" s="44" t="s">
        <v>68</v>
      </c>
      <c r="M682" s="49">
        <v>0.13</v>
      </c>
      <c r="N682" s="49">
        <v>0.62</v>
      </c>
      <c r="O682" s="48">
        <v>9484.2000000000007</v>
      </c>
      <c r="P682" s="48">
        <v>0</v>
      </c>
    </row>
    <row r="683" spans="1:16" ht="15" customHeight="1" x14ac:dyDescent="0.3">
      <c r="A683" s="44" t="s">
        <v>1442</v>
      </c>
      <c r="B683" s="45">
        <v>44972</v>
      </c>
      <c r="C683" s="44" t="s">
        <v>1443</v>
      </c>
      <c r="D683" s="44" t="s">
        <v>79</v>
      </c>
      <c r="E683" s="46">
        <v>39890</v>
      </c>
      <c r="F683" s="47">
        <v>0.14599999999999999</v>
      </c>
      <c r="G683" s="44">
        <v>36</v>
      </c>
      <c r="H683" s="44" t="s">
        <v>36</v>
      </c>
      <c r="I683" s="44" t="s">
        <v>66</v>
      </c>
      <c r="J683" s="44" t="s">
        <v>76</v>
      </c>
      <c r="K683" s="48">
        <v>109698</v>
      </c>
      <c r="L683" s="44" t="s">
        <v>85</v>
      </c>
      <c r="M683" s="49">
        <v>0.32</v>
      </c>
      <c r="N683" s="49">
        <v>0.69</v>
      </c>
      <c r="O683" s="48">
        <v>3304.32</v>
      </c>
      <c r="P683" s="48">
        <v>0</v>
      </c>
    </row>
    <row r="684" spans="1:16" ht="15" customHeight="1" x14ac:dyDescent="0.3">
      <c r="A684" s="38" t="s">
        <v>1444</v>
      </c>
      <c r="B684" s="39">
        <v>44973</v>
      </c>
      <c r="C684" s="38" t="s">
        <v>1445</v>
      </c>
      <c r="D684" s="38" t="s">
        <v>59</v>
      </c>
      <c r="E684" s="40">
        <v>9942</v>
      </c>
      <c r="F684" s="41">
        <v>0.183</v>
      </c>
      <c r="G684" s="38">
        <v>36</v>
      </c>
      <c r="H684" s="38" t="s">
        <v>35</v>
      </c>
      <c r="I684" s="38" t="s">
        <v>66</v>
      </c>
      <c r="J684" s="38" t="s">
        <v>72</v>
      </c>
      <c r="K684" s="42">
        <v>117999</v>
      </c>
      <c r="L684" s="38" t="s">
        <v>62</v>
      </c>
      <c r="M684" s="43">
        <v>0.4</v>
      </c>
      <c r="N684" s="43">
        <v>0.92</v>
      </c>
      <c r="O684" s="42">
        <v>11761.39</v>
      </c>
      <c r="P684" s="42">
        <v>0</v>
      </c>
    </row>
    <row r="685" spans="1:16" ht="15" customHeight="1" x14ac:dyDescent="0.3">
      <c r="A685" s="38" t="s">
        <v>1446</v>
      </c>
      <c r="B685" s="39">
        <v>44973</v>
      </c>
      <c r="C685" s="38" t="s">
        <v>1447</v>
      </c>
      <c r="D685" s="38" t="s">
        <v>125</v>
      </c>
      <c r="E685" s="40">
        <v>12695</v>
      </c>
      <c r="F685" s="41">
        <v>5.0999999999999997E-2</v>
      </c>
      <c r="G685" s="38">
        <v>60</v>
      </c>
      <c r="H685" s="38" t="s">
        <v>35</v>
      </c>
      <c r="I685" s="38" t="s">
        <v>80</v>
      </c>
      <c r="J685" s="38" t="s">
        <v>84</v>
      </c>
      <c r="K685" s="42">
        <v>55832</v>
      </c>
      <c r="L685" s="38" t="s">
        <v>68</v>
      </c>
      <c r="M685" s="43">
        <v>0.16</v>
      </c>
      <c r="N685" s="43">
        <v>0.77</v>
      </c>
      <c r="O685" s="42">
        <v>13342.44</v>
      </c>
      <c r="P685" s="42">
        <v>0</v>
      </c>
    </row>
    <row r="686" spans="1:16" ht="15" customHeight="1" x14ac:dyDescent="0.3">
      <c r="A686" s="56" t="s">
        <v>1448</v>
      </c>
      <c r="B686" s="57">
        <v>44974</v>
      </c>
      <c r="C686" s="56" t="s">
        <v>1449</v>
      </c>
      <c r="D686" s="56" t="s">
        <v>113</v>
      </c>
      <c r="E686" s="58">
        <v>29141</v>
      </c>
      <c r="F686" s="59">
        <v>8.5999999999999993E-2</v>
      </c>
      <c r="G686" s="56">
        <v>60</v>
      </c>
      <c r="H686" s="56" t="s">
        <v>37</v>
      </c>
      <c r="I686" s="56" t="s">
        <v>66</v>
      </c>
      <c r="J686" s="56" t="s">
        <v>67</v>
      </c>
      <c r="K686" s="60">
        <v>130356</v>
      </c>
      <c r="L686" s="56" t="s">
        <v>85</v>
      </c>
      <c r="M686" s="61">
        <v>0.43</v>
      </c>
      <c r="N686" s="61">
        <v>0.6</v>
      </c>
      <c r="O686" s="60">
        <v>3346.38</v>
      </c>
      <c r="P686" s="60">
        <v>13855.54</v>
      </c>
    </row>
    <row r="687" spans="1:16" ht="15" customHeight="1" x14ac:dyDescent="0.3">
      <c r="A687" s="44" t="s">
        <v>1450</v>
      </c>
      <c r="B687" s="45">
        <v>44975</v>
      </c>
      <c r="C687" s="44" t="s">
        <v>1451</v>
      </c>
      <c r="D687" s="44" t="s">
        <v>79</v>
      </c>
      <c r="E687" s="46">
        <v>25981</v>
      </c>
      <c r="F687" s="47">
        <v>0.22500000000000001</v>
      </c>
      <c r="G687" s="44">
        <v>60</v>
      </c>
      <c r="H687" s="44" t="s">
        <v>36</v>
      </c>
      <c r="I687" s="44" t="s">
        <v>257</v>
      </c>
      <c r="J687" s="44" t="s">
        <v>84</v>
      </c>
      <c r="K687" s="48">
        <v>62299</v>
      </c>
      <c r="L687" s="44" t="s">
        <v>85</v>
      </c>
      <c r="M687" s="49">
        <v>0.38</v>
      </c>
      <c r="N687" s="49">
        <v>0.78</v>
      </c>
      <c r="O687" s="48">
        <v>10820.79</v>
      </c>
      <c r="P687" s="48">
        <v>0</v>
      </c>
    </row>
    <row r="688" spans="1:16" ht="15" customHeight="1" x14ac:dyDescent="0.3">
      <c r="A688" s="38" t="s">
        <v>1452</v>
      </c>
      <c r="B688" s="39">
        <v>44976</v>
      </c>
      <c r="C688" s="38" t="s">
        <v>1453</v>
      </c>
      <c r="D688" s="38" t="s">
        <v>65</v>
      </c>
      <c r="E688" s="40">
        <v>30711</v>
      </c>
      <c r="F688" s="41">
        <v>6.8000000000000005E-2</v>
      </c>
      <c r="G688" s="38">
        <v>60</v>
      </c>
      <c r="H688" s="38" t="s">
        <v>35</v>
      </c>
      <c r="I688" s="38" t="s">
        <v>80</v>
      </c>
      <c r="J688" s="38" t="s">
        <v>67</v>
      </c>
      <c r="K688" s="42">
        <v>74386</v>
      </c>
      <c r="L688" s="38" t="s">
        <v>68</v>
      </c>
      <c r="M688" s="43">
        <v>0.19</v>
      </c>
      <c r="N688" s="43">
        <v>0.77</v>
      </c>
      <c r="O688" s="42">
        <v>32799.35</v>
      </c>
      <c r="P688" s="42">
        <v>0</v>
      </c>
    </row>
    <row r="689" spans="1:16" ht="15" customHeight="1" x14ac:dyDescent="0.3">
      <c r="A689" s="44" t="s">
        <v>1454</v>
      </c>
      <c r="B689" s="45">
        <v>44980</v>
      </c>
      <c r="C689" s="44" t="s">
        <v>1455</v>
      </c>
      <c r="D689" s="44" t="s">
        <v>75</v>
      </c>
      <c r="E689" s="46">
        <v>27017</v>
      </c>
      <c r="F689" s="47">
        <v>0.13100000000000001</v>
      </c>
      <c r="G689" s="44">
        <v>36</v>
      </c>
      <c r="H689" s="44" t="s">
        <v>36</v>
      </c>
      <c r="I689" s="44" t="s">
        <v>60</v>
      </c>
      <c r="J689" s="44" t="s">
        <v>61</v>
      </c>
      <c r="K689" s="48">
        <v>77295</v>
      </c>
      <c r="L689" s="44" t="s">
        <v>62</v>
      </c>
      <c r="M689" s="49">
        <v>0.41</v>
      </c>
      <c r="N689" s="49">
        <v>0.87</v>
      </c>
      <c r="O689" s="48">
        <v>4494.63</v>
      </c>
      <c r="P689" s="48">
        <v>0</v>
      </c>
    </row>
    <row r="690" spans="1:16" ht="15" customHeight="1" x14ac:dyDescent="0.3">
      <c r="A690" s="38" t="s">
        <v>1456</v>
      </c>
      <c r="B690" s="39">
        <v>44981</v>
      </c>
      <c r="C690" s="38" t="s">
        <v>1457</v>
      </c>
      <c r="D690" s="38" t="s">
        <v>88</v>
      </c>
      <c r="E690" s="40">
        <v>19787</v>
      </c>
      <c r="F690" s="41">
        <v>0.17299999999999999</v>
      </c>
      <c r="G690" s="38">
        <v>36</v>
      </c>
      <c r="H690" s="38" t="s">
        <v>35</v>
      </c>
      <c r="I690" s="38" t="s">
        <v>71</v>
      </c>
      <c r="J690" s="38" t="s">
        <v>67</v>
      </c>
      <c r="K690" s="42">
        <v>53993</v>
      </c>
      <c r="L690" s="38" t="s">
        <v>62</v>
      </c>
      <c r="M690" s="43">
        <v>0.15</v>
      </c>
      <c r="N690" s="43">
        <v>0.75</v>
      </c>
      <c r="O690" s="42">
        <v>23210.15</v>
      </c>
      <c r="P690" s="42">
        <v>0</v>
      </c>
    </row>
    <row r="691" spans="1:16" ht="15" customHeight="1" x14ac:dyDescent="0.3">
      <c r="A691" s="38" t="s">
        <v>1458</v>
      </c>
      <c r="B691" s="39">
        <v>44981</v>
      </c>
      <c r="C691" s="38" t="s">
        <v>1459</v>
      </c>
      <c r="D691" s="38" t="s">
        <v>113</v>
      </c>
      <c r="E691" s="40">
        <v>15996</v>
      </c>
      <c r="F691" s="41">
        <v>6.4000000000000001E-2</v>
      </c>
      <c r="G691" s="38">
        <v>36</v>
      </c>
      <c r="H691" s="38" t="s">
        <v>35</v>
      </c>
      <c r="I691" s="38" t="s">
        <v>71</v>
      </c>
      <c r="J691" s="38" t="s">
        <v>72</v>
      </c>
      <c r="K691" s="42">
        <v>134135</v>
      </c>
      <c r="L691" s="38" t="s">
        <v>62</v>
      </c>
      <c r="M691" s="43">
        <v>0.45</v>
      </c>
      <c r="N691" s="43">
        <v>0.53</v>
      </c>
      <c r="O691" s="42">
        <v>17019.740000000002</v>
      </c>
      <c r="P691" s="42">
        <v>0</v>
      </c>
    </row>
    <row r="692" spans="1:16" ht="15" customHeight="1" x14ac:dyDescent="0.3">
      <c r="A692" s="38" t="s">
        <v>1460</v>
      </c>
      <c r="B692" s="39">
        <v>44981</v>
      </c>
      <c r="C692" s="38" t="s">
        <v>1461</v>
      </c>
      <c r="D692" s="38" t="s">
        <v>97</v>
      </c>
      <c r="E692" s="40">
        <v>29625</v>
      </c>
      <c r="F692" s="41">
        <v>5.5E-2</v>
      </c>
      <c r="G692" s="38">
        <v>60</v>
      </c>
      <c r="H692" s="38" t="s">
        <v>35</v>
      </c>
      <c r="I692" s="38" t="s">
        <v>60</v>
      </c>
      <c r="J692" s="38" t="s">
        <v>61</v>
      </c>
      <c r="K692" s="42">
        <v>121679</v>
      </c>
      <c r="L692" s="38" t="s">
        <v>85</v>
      </c>
      <c r="M692" s="43">
        <v>0.41</v>
      </c>
      <c r="N692" s="43">
        <v>0.72</v>
      </c>
      <c r="O692" s="42">
        <v>31254.37</v>
      </c>
      <c r="P692" s="42">
        <v>0</v>
      </c>
    </row>
    <row r="693" spans="1:16" ht="15" customHeight="1" x14ac:dyDescent="0.3">
      <c r="A693" s="38" t="s">
        <v>1462</v>
      </c>
      <c r="B693" s="39">
        <v>44986</v>
      </c>
      <c r="C693" s="38" t="s">
        <v>1463</v>
      </c>
      <c r="D693" s="38" t="s">
        <v>113</v>
      </c>
      <c r="E693" s="40">
        <v>24411</v>
      </c>
      <c r="F693" s="41">
        <v>0.21</v>
      </c>
      <c r="G693" s="38">
        <v>36</v>
      </c>
      <c r="H693" s="38" t="s">
        <v>35</v>
      </c>
      <c r="I693" s="38" t="s">
        <v>60</v>
      </c>
      <c r="J693" s="38" t="s">
        <v>76</v>
      </c>
      <c r="K693" s="42">
        <v>102518</v>
      </c>
      <c r="L693" s="38" t="s">
        <v>85</v>
      </c>
      <c r="M693" s="43">
        <v>0.25</v>
      </c>
      <c r="N693" s="43">
        <v>0.7</v>
      </c>
      <c r="O693" s="42">
        <v>29537.31</v>
      </c>
      <c r="P693" s="42">
        <v>0</v>
      </c>
    </row>
    <row r="694" spans="1:16" ht="15" customHeight="1" x14ac:dyDescent="0.3">
      <c r="A694" s="38" t="s">
        <v>1464</v>
      </c>
      <c r="B694" s="39">
        <v>44987</v>
      </c>
      <c r="C694" s="38" t="s">
        <v>1465</v>
      </c>
      <c r="D694" s="38" t="s">
        <v>79</v>
      </c>
      <c r="E694" s="40">
        <v>14025</v>
      </c>
      <c r="F694" s="41">
        <v>0.17299999999999999</v>
      </c>
      <c r="G694" s="38">
        <v>36</v>
      </c>
      <c r="H694" s="38" t="s">
        <v>35</v>
      </c>
      <c r="I694" s="38" t="s">
        <v>60</v>
      </c>
      <c r="J694" s="38" t="s">
        <v>61</v>
      </c>
      <c r="K694" s="42">
        <v>146136</v>
      </c>
      <c r="L694" s="38" t="s">
        <v>85</v>
      </c>
      <c r="M694" s="43">
        <v>0.11</v>
      </c>
      <c r="N694" s="43">
        <v>0.71</v>
      </c>
      <c r="O694" s="42">
        <v>16451.32</v>
      </c>
      <c r="P694" s="42">
        <v>0</v>
      </c>
    </row>
    <row r="695" spans="1:16" ht="15" customHeight="1" x14ac:dyDescent="0.3">
      <c r="A695" s="44" t="s">
        <v>1466</v>
      </c>
      <c r="B695" s="45">
        <v>44988</v>
      </c>
      <c r="C695" s="44" t="s">
        <v>1467</v>
      </c>
      <c r="D695" s="44" t="s">
        <v>97</v>
      </c>
      <c r="E695" s="46">
        <v>37444</v>
      </c>
      <c r="F695" s="47">
        <v>0.18</v>
      </c>
      <c r="G695" s="44">
        <v>60</v>
      </c>
      <c r="H695" s="44" t="s">
        <v>36</v>
      </c>
      <c r="I695" s="44" t="s">
        <v>66</v>
      </c>
      <c r="J695" s="44" t="s">
        <v>72</v>
      </c>
      <c r="K695" s="48">
        <v>87433</v>
      </c>
      <c r="L695" s="44" t="s">
        <v>62</v>
      </c>
      <c r="M695" s="49">
        <v>0.27</v>
      </c>
      <c r="N695" s="49">
        <v>0.78</v>
      </c>
      <c r="O695" s="48">
        <v>11777.96</v>
      </c>
      <c r="P695" s="48">
        <v>0</v>
      </c>
    </row>
    <row r="696" spans="1:16" ht="15" customHeight="1" x14ac:dyDescent="0.3">
      <c r="A696" s="56" t="s">
        <v>1468</v>
      </c>
      <c r="B696" s="57">
        <v>44988</v>
      </c>
      <c r="C696" s="56" t="s">
        <v>1469</v>
      </c>
      <c r="D696" s="56" t="s">
        <v>88</v>
      </c>
      <c r="E696" s="58">
        <v>24051</v>
      </c>
      <c r="F696" s="59">
        <v>0.185</v>
      </c>
      <c r="G696" s="56">
        <v>60</v>
      </c>
      <c r="H696" s="56" t="s">
        <v>37</v>
      </c>
      <c r="I696" s="56" t="s">
        <v>60</v>
      </c>
      <c r="J696" s="56" t="s">
        <v>61</v>
      </c>
      <c r="K696" s="60">
        <v>78008</v>
      </c>
      <c r="L696" s="56" t="s">
        <v>85</v>
      </c>
      <c r="M696" s="61">
        <v>0.41</v>
      </c>
      <c r="N696" s="61">
        <v>0.66</v>
      </c>
      <c r="O696" s="60">
        <v>2509.5100000000002</v>
      </c>
      <c r="P696" s="60">
        <v>11762.86</v>
      </c>
    </row>
    <row r="697" spans="1:16" ht="15" customHeight="1" x14ac:dyDescent="0.3">
      <c r="A697" s="38" t="s">
        <v>1470</v>
      </c>
      <c r="B697" s="39">
        <v>44990</v>
      </c>
      <c r="C697" s="38" t="s">
        <v>1471</v>
      </c>
      <c r="D697" s="38" t="s">
        <v>108</v>
      </c>
      <c r="E697" s="40">
        <v>37321</v>
      </c>
      <c r="F697" s="41">
        <v>0.129</v>
      </c>
      <c r="G697" s="38">
        <v>60</v>
      </c>
      <c r="H697" s="38" t="s">
        <v>35</v>
      </c>
      <c r="I697" s="38" t="s">
        <v>257</v>
      </c>
      <c r="J697" s="38" t="s">
        <v>84</v>
      </c>
      <c r="K697" s="42">
        <v>72933</v>
      </c>
      <c r="L697" s="38" t="s">
        <v>62</v>
      </c>
      <c r="M697" s="43">
        <v>0.1</v>
      </c>
      <c r="N697" s="43">
        <v>0.54</v>
      </c>
      <c r="O697" s="42">
        <v>42135.41</v>
      </c>
      <c r="P697" s="42">
        <v>0</v>
      </c>
    </row>
    <row r="698" spans="1:16" ht="15" customHeight="1" x14ac:dyDescent="0.3">
      <c r="A698" s="56" t="s">
        <v>1472</v>
      </c>
      <c r="B698" s="57">
        <v>44990</v>
      </c>
      <c r="C698" s="56" t="s">
        <v>1473</v>
      </c>
      <c r="D698" s="56" t="s">
        <v>125</v>
      </c>
      <c r="E698" s="58">
        <v>8446</v>
      </c>
      <c r="F698" s="59">
        <v>0.20699999999999999</v>
      </c>
      <c r="G698" s="56">
        <v>60</v>
      </c>
      <c r="H698" s="56" t="s">
        <v>37</v>
      </c>
      <c r="I698" s="56" t="s">
        <v>60</v>
      </c>
      <c r="J698" s="56" t="s">
        <v>84</v>
      </c>
      <c r="K698" s="60">
        <v>118535</v>
      </c>
      <c r="L698" s="56" t="s">
        <v>62</v>
      </c>
      <c r="M698" s="61">
        <v>0.48</v>
      </c>
      <c r="N698" s="61">
        <v>0.9</v>
      </c>
      <c r="O698" s="60">
        <v>1999.88</v>
      </c>
      <c r="P698" s="60">
        <v>1314.2</v>
      </c>
    </row>
    <row r="699" spans="1:16" ht="15" customHeight="1" x14ac:dyDescent="0.3">
      <c r="A699" s="38" t="s">
        <v>1474</v>
      </c>
      <c r="B699" s="39">
        <v>44991</v>
      </c>
      <c r="C699" s="38" t="s">
        <v>1475</v>
      </c>
      <c r="D699" s="38" t="s">
        <v>138</v>
      </c>
      <c r="E699" s="40">
        <v>16349</v>
      </c>
      <c r="F699" s="41">
        <v>0.22500000000000001</v>
      </c>
      <c r="G699" s="38">
        <v>36</v>
      </c>
      <c r="H699" s="38" t="s">
        <v>35</v>
      </c>
      <c r="I699" s="38" t="s">
        <v>60</v>
      </c>
      <c r="J699" s="38" t="s">
        <v>84</v>
      </c>
      <c r="K699" s="42">
        <v>95149</v>
      </c>
      <c r="L699" s="38" t="s">
        <v>85</v>
      </c>
      <c r="M699" s="43">
        <v>0.17</v>
      </c>
      <c r="N699" s="43">
        <v>0.87</v>
      </c>
      <c r="O699" s="42">
        <v>20027.53</v>
      </c>
      <c r="P699" s="42">
        <v>0</v>
      </c>
    </row>
    <row r="700" spans="1:16" ht="15" customHeight="1" x14ac:dyDescent="0.3">
      <c r="A700" s="56" t="s">
        <v>1476</v>
      </c>
      <c r="B700" s="57">
        <v>44991</v>
      </c>
      <c r="C700" s="56" t="s">
        <v>1477</v>
      </c>
      <c r="D700" s="56" t="s">
        <v>108</v>
      </c>
      <c r="E700" s="58">
        <v>37062</v>
      </c>
      <c r="F700" s="59">
        <v>0.19800000000000001</v>
      </c>
      <c r="G700" s="56">
        <v>60</v>
      </c>
      <c r="H700" s="56" t="s">
        <v>37</v>
      </c>
      <c r="I700" s="56" t="s">
        <v>60</v>
      </c>
      <c r="J700" s="56" t="s">
        <v>84</v>
      </c>
      <c r="K700" s="60">
        <v>111471</v>
      </c>
      <c r="L700" s="56" t="s">
        <v>68</v>
      </c>
      <c r="M700" s="61">
        <v>0.27</v>
      </c>
      <c r="N700" s="61">
        <v>0.87</v>
      </c>
      <c r="O700" s="60">
        <v>9479.8700000000008</v>
      </c>
      <c r="P700" s="60">
        <v>13222.79</v>
      </c>
    </row>
    <row r="701" spans="1:16" ht="15" customHeight="1" x14ac:dyDescent="0.3">
      <c r="A701" s="44" t="s">
        <v>1478</v>
      </c>
      <c r="B701" s="45">
        <v>44991</v>
      </c>
      <c r="C701" s="44" t="s">
        <v>1479</v>
      </c>
      <c r="D701" s="44" t="s">
        <v>125</v>
      </c>
      <c r="E701" s="46">
        <v>20816</v>
      </c>
      <c r="F701" s="47">
        <v>0.184</v>
      </c>
      <c r="G701" s="44">
        <v>60</v>
      </c>
      <c r="H701" s="44" t="s">
        <v>36</v>
      </c>
      <c r="I701" s="44" t="s">
        <v>80</v>
      </c>
      <c r="J701" s="44" t="s">
        <v>72</v>
      </c>
      <c r="K701" s="48">
        <v>61379</v>
      </c>
      <c r="L701" s="44" t="s">
        <v>68</v>
      </c>
      <c r="M701" s="49">
        <v>0.35</v>
      </c>
      <c r="N701" s="49">
        <v>0.56000000000000005</v>
      </c>
      <c r="O701" s="48">
        <v>3310.57</v>
      </c>
      <c r="P701" s="48">
        <v>0</v>
      </c>
    </row>
    <row r="702" spans="1:16" ht="15" customHeight="1" x14ac:dyDescent="0.3">
      <c r="A702" s="44" t="s">
        <v>1480</v>
      </c>
      <c r="B702" s="45">
        <v>44992</v>
      </c>
      <c r="C702" s="44" t="s">
        <v>1481</v>
      </c>
      <c r="D702" s="44" t="s">
        <v>59</v>
      </c>
      <c r="E702" s="46">
        <v>16317</v>
      </c>
      <c r="F702" s="47">
        <v>0.20100000000000001</v>
      </c>
      <c r="G702" s="44">
        <v>60</v>
      </c>
      <c r="H702" s="44" t="s">
        <v>36</v>
      </c>
      <c r="I702" s="44" t="s">
        <v>66</v>
      </c>
      <c r="J702" s="44" t="s">
        <v>61</v>
      </c>
      <c r="K702" s="48">
        <v>63722</v>
      </c>
      <c r="L702" s="44" t="s">
        <v>68</v>
      </c>
      <c r="M702" s="49">
        <v>0.21</v>
      </c>
      <c r="N702" s="49">
        <v>0.76</v>
      </c>
      <c r="O702" s="48">
        <v>2517.8000000000002</v>
      </c>
      <c r="P702" s="48">
        <v>0</v>
      </c>
    </row>
    <row r="703" spans="1:16" ht="15" customHeight="1" x14ac:dyDescent="0.3">
      <c r="A703" s="38" t="s">
        <v>1482</v>
      </c>
      <c r="B703" s="39">
        <v>44993</v>
      </c>
      <c r="C703" s="38" t="s">
        <v>1483</v>
      </c>
      <c r="D703" s="38" t="s">
        <v>88</v>
      </c>
      <c r="E703" s="40">
        <v>38380</v>
      </c>
      <c r="F703" s="41">
        <v>7.0000000000000007E-2</v>
      </c>
      <c r="G703" s="38">
        <v>36</v>
      </c>
      <c r="H703" s="38" t="s">
        <v>35</v>
      </c>
      <c r="I703" s="38" t="s">
        <v>257</v>
      </c>
      <c r="J703" s="38" t="s">
        <v>72</v>
      </c>
      <c r="K703" s="42">
        <v>38263</v>
      </c>
      <c r="L703" s="38" t="s">
        <v>85</v>
      </c>
      <c r="M703" s="43">
        <v>0.18</v>
      </c>
      <c r="N703" s="43">
        <v>0.88</v>
      </c>
      <c r="O703" s="42">
        <v>41066.6</v>
      </c>
      <c r="P703" s="42">
        <v>0</v>
      </c>
    </row>
    <row r="704" spans="1:16" ht="15" customHeight="1" x14ac:dyDescent="0.3">
      <c r="A704" s="44" t="s">
        <v>1484</v>
      </c>
      <c r="B704" s="45">
        <v>44994</v>
      </c>
      <c r="C704" s="44" t="s">
        <v>1485</v>
      </c>
      <c r="D704" s="44" t="s">
        <v>97</v>
      </c>
      <c r="E704" s="46">
        <v>3113</v>
      </c>
      <c r="F704" s="47">
        <v>0.156</v>
      </c>
      <c r="G704" s="44">
        <v>60</v>
      </c>
      <c r="H704" s="44" t="s">
        <v>36</v>
      </c>
      <c r="I704" s="44" t="s">
        <v>60</v>
      </c>
      <c r="J704" s="44" t="s">
        <v>76</v>
      </c>
      <c r="K704" s="48">
        <v>103616</v>
      </c>
      <c r="L704" s="44" t="s">
        <v>68</v>
      </c>
      <c r="M704" s="49">
        <v>0.17</v>
      </c>
      <c r="N704" s="49">
        <v>0.9</v>
      </c>
      <c r="O704" s="48">
        <v>422.95</v>
      </c>
      <c r="P704" s="48">
        <v>0</v>
      </c>
    </row>
    <row r="705" spans="1:16" ht="15" customHeight="1" x14ac:dyDescent="0.3">
      <c r="A705" s="38" t="s">
        <v>1486</v>
      </c>
      <c r="B705" s="39">
        <v>44994</v>
      </c>
      <c r="C705" s="38" t="s">
        <v>1487</v>
      </c>
      <c r="D705" s="38" t="s">
        <v>108</v>
      </c>
      <c r="E705" s="40">
        <v>14605</v>
      </c>
      <c r="F705" s="41">
        <v>0.127</v>
      </c>
      <c r="G705" s="38">
        <v>36</v>
      </c>
      <c r="H705" s="38" t="s">
        <v>35</v>
      </c>
      <c r="I705" s="38" t="s">
        <v>83</v>
      </c>
      <c r="J705" s="38" t="s">
        <v>84</v>
      </c>
      <c r="K705" s="42">
        <v>105485</v>
      </c>
      <c r="L705" s="38" t="s">
        <v>62</v>
      </c>
      <c r="M705" s="43">
        <v>0.33</v>
      </c>
      <c r="N705" s="43">
        <v>0.52</v>
      </c>
      <c r="O705" s="42">
        <v>16459.84</v>
      </c>
      <c r="P705" s="42">
        <v>0</v>
      </c>
    </row>
    <row r="706" spans="1:16" ht="15" customHeight="1" x14ac:dyDescent="0.3">
      <c r="A706" s="44" t="s">
        <v>1488</v>
      </c>
      <c r="B706" s="45">
        <v>44994</v>
      </c>
      <c r="C706" s="44" t="s">
        <v>1489</v>
      </c>
      <c r="D706" s="44" t="s">
        <v>75</v>
      </c>
      <c r="E706" s="46">
        <v>34537</v>
      </c>
      <c r="F706" s="47">
        <v>5.5E-2</v>
      </c>
      <c r="G706" s="44">
        <v>36</v>
      </c>
      <c r="H706" s="44" t="s">
        <v>36</v>
      </c>
      <c r="I706" s="44" t="s">
        <v>60</v>
      </c>
      <c r="J706" s="44" t="s">
        <v>61</v>
      </c>
      <c r="K706" s="48">
        <v>140695</v>
      </c>
      <c r="L706" s="44" t="s">
        <v>68</v>
      </c>
      <c r="M706" s="49">
        <v>0.18</v>
      </c>
      <c r="N706" s="49">
        <v>0.94</v>
      </c>
      <c r="O706" s="48">
        <v>14559.15</v>
      </c>
      <c r="P706" s="48">
        <v>0</v>
      </c>
    </row>
    <row r="707" spans="1:16" ht="15" customHeight="1" x14ac:dyDescent="0.3">
      <c r="A707" s="38" t="s">
        <v>1490</v>
      </c>
      <c r="B707" s="39">
        <v>44994</v>
      </c>
      <c r="C707" s="38" t="s">
        <v>1491</v>
      </c>
      <c r="D707" s="38" t="s">
        <v>108</v>
      </c>
      <c r="E707" s="40">
        <v>30125</v>
      </c>
      <c r="F707" s="41">
        <v>5.8999999999999997E-2</v>
      </c>
      <c r="G707" s="38">
        <v>36</v>
      </c>
      <c r="H707" s="38" t="s">
        <v>35</v>
      </c>
      <c r="I707" s="38" t="s">
        <v>66</v>
      </c>
      <c r="J707" s="38" t="s">
        <v>84</v>
      </c>
      <c r="K707" s="42">
        <v>134927</v>
      </c>
      <c r="L707" s="38" t="s">
        <v>68</v>
      </c>
      <c r="M707" s="43">
        <v>0.2</v>
      </c>
      <c r="N707" s="43">
        <v>0.84</v>
      </c>
      <c r="O707" s="42">
        <v>31902.38</v>
      </c>
      <c r="P707" s="42">
        <v>0</v>
      </c>
    </row>
    <row r="708" spans="1:16" ht="15" customHeight="1" x14ac:dyDescent="0.3">
      <c r="A708" s="44" t="s">
        <v>1492</v>
      </c>
      <c r="B708" s="45">
        <v>44996</v>
      </c>
      <c r="C708" s="44" t="s">
        <v>1493</v>
      </c>
      <c r="D708" s="44" t="s">
        <v>125</v>
      </c>
      <c r="E708" s="46">
        <v>32007</v>
      </c>
      <c r="F708" s="47">
        <v>0.14599999999999999</v>
      </c>
      <c r="G708" s="44">
        <v>36</v>
      </c>
      <c r="H708" s="44" t="s">
        <v>36</v>
      </c>
      <c r="I708" s="44" t="s">
        <v>71</v>
      </c>
      <c r="J708" s="44" t="s">
        <v>72</v>
      </c>
      <c r="K708" s="48">
        <v>106918</v>
      </c>
      <c r="L708" s="44" t="s">
        <v>68</v>
      </c>
      <c r="M708" s="49">
        <v>0.36</v>
      </c>
      <c r="N708" s="49">
        <v>0.94</v>
      </c>
      <c r="O708" s="48">
        <v>6315.61</v>
      </c>
      <c r="P708" s="48">
        <v>0</v>
      </c>
    </row>
    <row r="709" spans="1:16" ht="15" customHeight="1" x14ac:dyDescent="0.3">
      <c r="A709" s="38" t="s">
        <v>1494</v>
      </c>
      <c r="B709" s="39">
        <v>44996</v>
      </c>
      <c r="C709" s="38" t="s">
        <v>1495</v>
      </c>
      <c r="D709" s="38" t="s">
        <v>75</v>
      </c>
      <c r="E709" s="40">
        <v>29861</v>
      </c>
      <c r="F709" s="41">
        <v>0.124</v>
      </c>
      <c r="G709" s="38">
        <v>60</v>
      </c>
      <c r="H709" s="38" t="s">
        <v>35</v>
      </c>
      <c r="I709" s="38" t="s">
        <v>80</v>
      </c>
      <c r="J709" s="38" t="s">
        <v>84</v>
      </c>
      <c r="K709" s="42">
        <v>116207</v>
      </c>
      <c r="L709" s="38" t="s">
        <v>68</v>
      </c>
      <c r="M709" s="43">
        <v>0.37</v>
      </c>
      <c r="N709" s="43">
        <v>0.62</v>
      </c>
      <c r="O709" s="42">
        <v>33563.760000000002</v>
      </c>
      <c r="P709" s="42">
        <v>0</v>
      </c>
    </row>
    <row r="710" spans="1:16" ht="15" customHeight="1" x14ac:dyDescent="0.3">
      <c r="A710" s="38" t="s">
        <v>1496</v>
      </c>
      <c r="B710" s="39">
        <v>44997</v>
      </c>
      <c r="C710" s="38" t="s">
        <v>1497</v>
      </c>
      <c r="D710" s="38" t="s">
        <v>125</v>
      </c>
      <c r="E710" s="40">
        <v>18674</v>
      </c>
      <c r="F710" s="41">
        <v>7.5999999999999998E-2</v>
      </c>
      <c r="G710" s="38">
        <v>36</v>
      </c>
      <c r="H710" s="38" t="s">
        <v>35</v>
      </c>
      <c r="I710" s="38" t="s">
        <v>60</v>
      </c>
      <c r="J710" s="38" t="s">
        <v>67</v>
      </c>
      <c r="K710" s="42">
        <v>42391</v>
      </c>
      <c r="L710" s="38" t="s">
        <v>68</v>
      </c>
      <c r="M710" s="43">
        <v>0.4</v>
      </c>
      <c r="N710" s="43">
        <v>0.56000000000000005</v>
      </c>
      <c r="O710" s="42">
        <v>20093.22</v>
      </c>
      <c r="P710" s="42">
        <v>0</v>
      </c>
    </row>
    <row r="711" spans="1:16" ht="15" customHeight="1" x14ac:dyDescent="0.3">
      <c r="A711" s="44" t="s">
        <v>1498</v>
      </c>
      <c r="B711" s="45">
        <v>44998</v>
      </c>
      <c r="C711" s="44" t="s">
        <v>1499</v>
      </c>
      <c r="D711" s="44" t="s">
        <v>125</v>
      </c>
      <c r="E711" s="46">
        <v>39158</v>
      </c>
      <c r="F711" s="47">
        <v>0.11700000000000001</v>
      </c>
      <c r="G711" s="44">
        <v>36</v>
      </c>
      <c r="H711" s="44" t="s">
        <v>36</v>
      </c>
      <c r="I711" s="44" t="s">
        <v>60</v>
      </c>
      <c r="J711" s="44" t="s">
        <v>67</v>
      </c>
      <c r="K711" s="48">
        <v>96677</v>
      </c>
      <c r="L711" s="44" t="s">
        <v>85</v>
      </c>
      <c r="M711" s="49">
        <v>0.25</v>
      </c>
      <c r="N711" s="49">
        <v>0.7</v>
      </c>
      <c r="O711" s="48">
        <v>18437.47</v>
      </c>
      <c r="P711" s="48">
        <v>0</v>
      </c>
    </row>
    <row r="712" spans="1:16" ht="15" customHeight="1" x14ac:dyDescent="0.3">
      <c r="A712" s="38" t="s">
        <v>1500</v>
      </c>
      <c r="B712" s="39">
        <v>44998</v>
      </c>
      <c r="C712" s="38" t="s">
        <v>1501</v>
      </c>
      <c r="D712" s="38" t="s">
        <v>88</v>
      </c>
      <c r="E712" s="40">
        <v>33232</v>
      </c>
      <c r="F712" s="41">
        <v>0.17</v>
      </c>
      <c r="G712" s="38">
        <v>36</v>
      </c>
      <c r="H712" s="38" t="s">
        <v>35</v>
      </c>
      <c r="I712" s="38" t="s">
        <v>114</v>
      </c>
      <c r="J712" s="38" t="s">
        <v>84</v>
      </c>
      <c r="K712" s="42">
        <v>59877</v>
      </c>
      <c r="L712" s="38" t="s">
        <v>62</v>
      </c>
      <c r="M712" s="43">
        <v>0.43</v>
      </c>
      <c r="N712" s="43">
        <v>0.56999999999999995</v>
      </c>
      <c r="O712" s="42">
        <v>38881.440000000002</v>
      </c>
      <c r="P712" s="42">
        <v>0</v>
      </c>
    </row>
    <row r="713" spans="1:16" ht="15" customHeight="1" x14ac:dyDescent="0.3">
      <c r="A713" s="38" t="s">
        <v>1502</v>
      </c>
      <c r="B713" s="39">
        <v>45000</v>
      </c>
      <c r="C713" s="38" t="s">
        <v>1503</v>
      </c>
      <c r="D713" s="38" t="s">
        <v>88</v>
      </c>
      <c r="E713" s="40">
        <v>28723</v>
      </c>
      <c r="F713" s="41">
        <v>6.8000000000000005E-2</v>
      </c>
      <c r="G713" s="38">
        <v>36</v>
      </c>
      <c r="H713" s="38" t="s">
        <v>35</v>
      </c>
      <c r="I713" s="38" t="s">
        <v>71</v>
      </c>
      <c r="J713" s="38" t="s">
        <v>84</v>
      </c>
      <c r="K713" s="42">
        <v>116124</v>
      </c>
      <c r="L713" s="38" t="s">
        <v>62</v>
      </c>
      <c r="M713" s="43">
        <v>0.24</v>
      </c>
      <c r="N713" s="43">
        <v>0.7</v>
      </c>
      <c r="O713" s="42">
        <v>30676.16</v>
      </c>
      <c r="P713" s="42">
        <v>0</v>
      </c>
    </row>
    <row r="714" spans="1:16" ht="15" customHeight="1" x14ac:dyDescent="0.3">
      <c r="A714" s="44" t="s">
        <v>1504</v>
      </c>
      <c r="B714" s="45">
        <v>45001</v>
      </c>
      <c r="C714" s="44" t="s">
        <v>1505</v>
      </c>
      <c r="D714" s="44" t="s">
        <v>88</v>
      </c>
      <c r="E714" s="46">
        <v>4191</v>
      </c>
      <c r="F714" s="47">
        <v>0.20200000000000001</v>
      </c>
      <c r="G714" s="44">
        <v>36</v>
      </c>
      <c r="H714" s="44" t="s">
        <v>36</v>
      </c>
      <c r="I714" s="44" t="s">
        <v>60</v>
      </c>
      <c r="J714" s="44" t="s">
        <v>84</v>
      </c>
      <c r="K714" s="48">
        <v>77111</v>
      </c>
      <c r="L714" s="44" t="s">
        <v>62</v>
      </c>
      <c r="M714" s="49">
        <v>0.49</v>
      </c>
      <c r="N714" s="49">
        <v>0.61</v>
      </c>
      <c r="O714" s="48">
        <v>1379.36</v>
      </c>
      <c r="P714" s="48">
        <v>0</v>
      </c>
    </row>
    <row r="715" spans="1:16" ht="15" customHeight="1" x14ac:dyDescent="0.3">
      <c r="A715" s="38" t="s">
        <v>1506</v>
      </c>
      <c r="B715" s="39">
        <v>45001</v>
      </c>
      <c r="C715" s="38" t="s">
        <v>1507</v>
      </c>
      <c r="D715" s="38" t="s">
        <v>138</v>
      </c>
      <c r="E715" s="40">
        <v>17774</v>
      </c>
      <c r="F715" s="41">
        <v>0.20200000000000001</v>
      </c>
      <c r="G715" s="38">
        <v>36</v>
      </c>
      <c r="H715" s="38" t="s">
        <v>35</v>
      </c>
      <c r="I715" s="38" t="s">
        <v>60</v>
      </c>
      <c r="J715" s="38" t="s">
        <v>72</v>
      </c>
      <c r="K715" s="42">
        <v>116598</v>
      </c>
      <c r="L715" s="38" t="s">
        <v>62</v>
      </c>
      <c r="M715" s="43">
        <v>0.25</v>
      </c>
      <c r="N715" s="43">
        <v>0.76</v>
      </c>
      <c r="O715" s="42">
        <v>21364.35</v>
      </c>
      <c r="P715" s="42">
        <v>0</v>
      </c>
    </row>
    <row r="716" spans="1:16" ht="15" customHeight="1" x14ac:dyDescent="0.3">
      <c r="A716" s="44" t="s">
        <v>1508</v>
      </c>
      <c r="B716" s="45">
        <v>45001</v>
      </c>
      <c r="C716" s="44" t="s">
        <v>1509</v>
      </c>
      <c r="D716" s="44" t="s">
        <v>113</v>
      </c>
      <c r="E716" s="46">
        <v>1671</v>
      </c>
      <c r="F716" s="47">
        <v>0.23100000000000001</v>
      </c>
      <c r="G716" s="44">
        <v>36</v>
      </c>
      <c r="H716" s="44" t="s">
        <v>36</v>
      </c>
      <c r="I716" s="44" t="s">
        <v>60</v>
      </c>
      <c r="J716" s="44" t="s">
        <v>76</v>
      </c>
      <c r="K716" s="48">
        <v>69454</v>
      </c>
      <c r="L716" s="44" t="s">
        <v>68</v>
      </c>
      <c r="M716" s="49">
        <v>0.37</v>
      </c>
      <c r="N716" s="49">
        <v>0.78</v>
      </c>
      <c r="O716" s="48">
        <v>682.33</v>
      </c>
      <c r="P716" s="48">
        <v>0</v>
      </c>
    </row>
    <row r="717" spans="1:16" ht="15" customHeight="1" x14ac:dyDescent="0.3">
      <c r="A717" s="50" t="s">
        <v>1510</v>
      </c>
      <c r="B717" s="51">
        <v>45002</v>
      </c>
      <c r="C717" s="50" t="s">
        <v>1511</v>
      </c>
      <c r="D717" s="50" t="s">
        <v>138</v>
      </c>
      <c r="E717" s="52">
        <v>9646</v>
      </c>
      <c r="F717" s="53">
        <v>7.0999999999999994E-2</v>
      </c>
      <c r="G717" s="50">
        <v>60</v>
      </c>
      <c r="H717" s="50" t="s">
        <v>38</v>
      </c>
      <c r="I717" s="50" t="s">
        <v>80</v>
      </c>
      <c r="J717" s="50" t="s">
        <v>72</v>
      </c>
      <c r="K717" s="54">
        <v>67405</v>
      </c>
      <c r="L717" s="50" t="s">
        <v>68</v>
      </c>
      <c r="M717" s="55">
        <v>0.11</v>
      </c>
      <c r="N717" s="55">
        <v>0.6</v>
      </c>
      <c r="O717" s="54">
        <v>0</v>
      </c>
      <c r="P717" s="54">
        <v>0</v>
      </c>
    </row>
    <row r="718" spans="1:16" ht="15" customHeight="1" x14ac:dyDescent="0.3">
      <c r="A718" s="44" t="s">
        <v>1512</v>
      </c>
      <c r="B718" s="45">
        <v>45002</v>
      </c>
      <c r="C718" s="44" t="s">
        <v>1513</v>
      </c>
      <c r="D718" s="44" t="s">
        <v>138</v>
      </c>
      <c r="E718" s="46">
        <v>26592</v>
      </c>
      <c r="F718" s="47">
        <v>0.16300000000000001</v>
      </c>
      <c r="G718" s="44">
        <v>36</v>
      </c>
      <c r="H718" s="44" t="s">
        <v>36</v>
      </c>
      <c r="I718" s="44" t="s">
        <v>80</v>
      </c>
      <c r="J718" s="44" t="s">
        <v>76</v>
      </c>
      <c r="K718" s="48">
        <v>106384</v>
      </c>
      <c r="L718" s="44" t="s">
        <v>85</v>
      </c>
      <c r="M718" s="49">
        <v>0.48</v>
      </c>
      <c r="N718" s="49">
        <v>0.74</v>
      </c>
      <c r="O718" s="48">
        <v>9009.34</v>
      </c>
      <c r="P718" s="48">
        <v>0</v>
      </c>
    </row>
    <row r="719" spans="1:16" ht="15" customHeight="1" x14ac:dyDescent="0.3">
      <c r="A719" s="44" t="s">
        <v>1514</v>
      </c>
      <c r="B719" s="45">
        <v>45002</v>
      </c>
      <c r="C719" s="44" t="s">
        <v>1515</v>
      </c>
      <c r="D719" s="44" t="s">
        <v>88</v>
      </c>
      <c r="E719" s="46">
        <v>27523</v>
      </c>
      <c r="F719" s="47">
        <v>0.16700000000000001</v>
      </c>
      <c r="G719" s="44">
        <v>60</v>
      </c>
      <c r="H719" s="44" t="s">
        <v>36</v>
      </c>
      <c r="I719" s="44" t="s">
        <v>114</v>
      </c>
      <c r="J719" s="44" t="s">
        <v>67</v>
      </c>
      <c r="K719" s="48">
        <v>104640</v>
      </c>
      <c r="L719" s="44" t="s">
        <v>68</v>
      </c>
      <c r="M719" s="49">
        <v>0.38</v>
      </c>
      <c r="N719" s="49">
        <v>0.7</v>
      </c>
      <c r="O719" s="48">
        <v>11458.03</v>
      </c>
      <c r="P719" s="48">
        <v>0</v>
      </c>
    </row>
    <row r="720" spans="1:16" ht="15" customHeight="1" x14ac:dyDescent="0.3">
      <c r="A720" s="56" t="s">
        <v>1516</v>
      </c>
      <c r="B720" s="57">
        <v>45002</v>
      </c>
      <c r="C720" s="56" t="s">
        <v>1517</v>
      </c>
      <c r="D720" s="56" t="s">
        <v>79</v>
      </c>
      <c r="E720" s="58">
        <v>4249</v>
      </c>
      <c r="F720" s="59">
        <v>0.21299999999999999</v>
      </c>
      <c r="G720" s="56">
        <v>36</v>
      </c>
      <c r="H720" s="56" t="s">
        <v>37</v>
      </c>
      <c r="I720" s="56" t="s">
        <v>83</v>
      </c>
      <c r="J720" s="56" t="s">
        <v>61</v>
      </c>
      <c r="K720" s="60">
        <v>96981</v>
      </c>
      <c r="L720" s="56" t="s">
        <v>68</v>
      </c>
      <c r="M720" s="61">
        <v>0.27</v>
      </c>
      <c r="N720" s="61">
        <v>0.56000000000000005</v>
      </c>
      <c r="O720" s="60">
        <v>1578.6</v>
      </c>
      <c r="P720" s="60">
        <v>1006.52</v>
      </c>
    </row>
    <row r="721" spans="1:16" ht="15" customHeight="1" x14ac:dyDescent="0.3">
      <c r="A721" s="38" t="s">
        <v>1518</v>
      </c>
      <c r="B721" s="39">
        <v>45008</v>
      </c>
      <c r="C721" s="38" t="s">
        <v>1519</v>
      </c>
      <c r="D721" s="38" t="s">
        <v>75</v>
      </c>
      <c r="E721" s="40">
        <v>12563</v>
      </c>
      <c r="F721" s="41">
        <v>0.20899999999999999</v>
      </c>
      <c r="G721" s="38">
        <v>60</v>
      </c>
      <c r="H721" s="38" t="s">
        <v>35</v>
      </c>
      <c r="I721" s="38" t="s">
        <v>80</v>
      </c>
      <c r="J721" s="38" t="s">
        <v>67</v>
      </c>
      <c r="K721" s="42">
        <v>74369</v>
      </c>
      <c r="L721" s="38" t="s">
        <v>62</v>
      </c>
      <c r="M721" s="43">
        <v>0.15</v>
      </c>
      <c r="N721" s="43">
        <v>0.75</v>
      </c>
      <c r="O721" s="42">
        <v>15188.67</v>
      </c>
      <c r="P721" s="42">
        <v>0</v>
      </c>
    </row>
    <row r="722" spans="1:16" ht="15" customHeight="1" x14ac:dyDescent="0.3">
      <c r="A722" s="38" t="s">
        <v>1520</v>
      </c>
      <c r="B722" s="39">
        <v>45010</v>
      </c>
      <c r="C722" s="38" t="s">
        <v>1521</v>
      </c>
      <c r="D722" s="38" t="s">
        <v>113</v>
      </c>
      <c r="E722" s="40">
        <v>6693</v>
      </c>
      <c r="F722" s="41">
        <v>0.108</v>
      </c>
      <c r="G722" s="38">
        <v>60</v>
      </c>
      <c r="H722" s="38" t="s">
        <v>35</v>
      </c>
      <c r="I722" s="38" t="s">
        <v>83</v>
      </c>
      <c r="J722" s="38" t="s">
        <v>76</v>
      </c>
      <c r="K722" s="42">
        <v>32866</v>
      </c>
      <c r="L722" s="38" t="s">
        <v>85</v>
      </c>
      <c r="M722" s="43">
        <v>0.31</v>
      </c>
      <c r="N722" s="43">
        <v>0.62</v>
      </c>
      <c r="O722" s="42">
        <v>7415.84</v>
      </c>
      <c r="P722" s="42">
        <v>0</v>
      </c>
    </row>
    <row r="723" spans="1:16" ht="15" customHeight="1" x14ac:dyDescent="0.3">
      <c r="A723" s="38" t="s">
        <v>1522</v>
      </c>
      <c r="B723" s="39">
        <v>45010</v>
      </c>
      <c r="C723" s="38" t="s">
        <v>1523</v>
      </c>
      <c r="D723" s="38" t="s">
        <v>97</v>
      </c>
      <c r="E723" s="40">
        <v>11382</v>
      </c>
      <c r="F723" s="41">
        <v>8.6999999999999994E-2</v>
      </c>
      <c r="G723" s="38">
        <v>36</v>
      </c>
      <c r="H723" s="38" t="s">
        <v>35</v>
      </c>
      <c r="I723" s="38" t="s">
        <v>60</v>
      </c>
      <c r="J723" s="38" t="s">
        <v>76</v>
      </c>
      <c r="K723" s="42">
        <v>45641</v>
      </c>
      <c r="L723" s="38" t="s">
        <v>62</v>
      </c>
      <c r="M723" s="43">
        <v>0.35</v>
      </c>
      <c r="N723" s="43">
        <v>0.52</v>
      </c>
      <c r="O723" s="42">
        <v>12372.23</v>
      </c>
      <c r="P723" s="42">
        <v>0</v>
      </c>
    </row>
    <row r="724" spans="1:16" ht="15" customHeight="1" x14ac:dyDescent="0.3">
      <c r="A724" s="50" t="s">
        <v>1524</v>
      </c>
      <c r="B724" s="51">
        <v>45011</v>
      </c>
      <c r="C724" s="50" t="s">
        <v>1525</v>
      </c>
      <c r="D724" s="50" t="s">
        <v>75</v>
      </c>
      <c r="E724" s="52">
        <v>37221</v>
      </c>
      <c r="F724" s="53">
        <v>0.17799999999999999</v>
      </c>
      <c r="G724" s="50">
        <v>60</v>
      </c>
      <c r="H724" s="50" t="s">
        <v>39</v>
      </c>
      <c r="I724" s="50" t="s">
        <v>80</v>
      </c>
      <c r="J724" s="50" t="s">
        <v>61</v>
      </c>
      <c r="K724" s="54">
        <v>45735</v>
      </c>
      <c r="L724" s="50" t="s">
        <v>85</v>
      </c>
      <c r="M724" s="55">
        <v>0.5</v>
      </c>
      <c r="N724" s="55">
        <v>0.92</v>
      </c>
      <c r="O724" s="54">
        <v>0</v>
      </c>
      <c r="P724" s="54">
        <v>0</v>
      </c>
    </row>
    <row r="725" spans="1:16" ht="15" customHeight="1" x14ac:dyDescent="0.3">
      <c r="A725" s="44" t="s">
        <v>1526</v>
      </c>
      <c r="B725" s="45">
        <v>45011</v>
      </c>
      <c r="C725" s="44" t="s">
        <v>1527</v>
      </c>
      <c r="D725" s="44" t="s">
        <v>75</v>
      </c>
      <c r="E725" s="46">
        <v>33916</v>
      </c>
      <c r="F725" s="47">
        <v>0.23799999999999999</v>
      </c>
      <c r="G725" s="44">
        <v>60</v>
      </c>
      <c r="H725" s="44" t="s">
        <v>36</v>
      </c>
      <c r="I725" s="44" t="s">
        <v>257</v>
      </c>
      <c r="J725" s="44" t="s">
        <v>67</v>
      </c>
      <c r="K725" s="48">
        <v>123079</v>
      </c>
      <c r="L725" s="44" t="s">
        <v>68</v>
      </c>
      <c r="M725" s="49">
        <v>0.26</v>
      </c>
      <c r="N725" s="49">
        <v>0.53</v>
      </c>
      <c r="O725" s="48">
        <v>16543.73</v>
      </c>
      <c r="P725" s="48">
        <v>0</v>
      </c>
    </row>
    <row r="726" spans="1:16" ht="15" customHeight="1" x14ac:dyDescent="0.3">
      <c r="A726" s="38" t="s">
        <v>1528</v>
      </c>
      <c r="B726" s="39">
        <v>45011</v>
      </c>
      <c r="C726" s="38" t="s">
        <v>1529</v>
      </c>
      <c r="D726" s="38" t="s">
        <v>108</v>
      </c>
      <c r="E726" s="40">
        <v>29982</v>
      </c>
      <c r="F726" s="41">
        <v>7.3999999999999996E-2</v>
      </c>
      <c r="G726" s="38">
        <v>36</v>
      </c>
      <c r="H726" s="38" t="s">
        <v>35</v>
      </c>
      <c r="I726" s="38" t="s">
        <v>60</v>
      </c>
      <c r="J726" s="38" t="s">
        <v>67</v>
      </c>
      <c r="K726" s="42">
        <v>85755</v>
      </c>
      <c r="L726" s="38" t="s">
        <v>85</v>
      </c>
      <c r="M726" s="43">
        <v>0.45</v>
      </c>
      <c r="N726" s="43">
        <v>0.55000000000000004</v>
      </c>
      <c r="O726" s="42">
        <v>32200.67</v>
      </c>
      <c r="P726" s="42">
        <v>0</v>
      </c>
    </row>
    <row r="727" spans="1:16" ht="15" customHeight="1" x14ac:dyDescent="0.3">
      <c r="A727" s="38" t="s">
        <v>1530</v>
      </c>
      <c r="B727" s="39">
        <v>45011</v>
      </c>
      <c r="C727" s="38" t="s">
        <v>1531</v>
      </c>
      <c r="D727" s="38" t="s">
        <v>65</v>
      </c>
      <c r="E727" s="40">
        <v>25022</v>
      </c>
      <c r="F727" s="41">
        <v>0.19500000000000001</v>
      </c>
      <c r="G727" s="38">
        <v>36</v>
      </c>
      <c r="H727" s="38" t="s">
        <v>35</v>
      </c>
      <c r="I727" s="38" t="s">
        <v>83</v>
      </c>
      <c r="J727" s="38" t="s">
        <v>76</v>
      </c>
      <c r="K727" s="42">
        <v>71574</v>
      </c>
      <c r="L727" s="38" t="s">
        <v>68</v>
      </c>
      <c r="M727" s="43">
        <v>0.42</v>
      </c>
      <c r="N727" s="43">
        <v>0.5</v>
      </c>
      <c r="O727" s="42">
        <v>29901.29</v>
      </c>
      <c r="P727" s="42">
        <v>0</v>
      </c>
    </row>
    <row r="728" spans="1:16" ht="15" customHeight="1" x14ac:dyDescent="0.3">
      <c r="A728" s="38" t="s">
        <v>1532</v>
      </c>
      <c r="B728" s="39">
        <v>45012</v>
      </c>
      <c r="C728" s="38" t="s">
        <v>1533</v>
      </c>
      <c r="D728" s="38" t="s">
        <v>59</v>
      </c>
      <c r="E728" s="40">
        <v>10516</v>
      </c>
      <c r="F728" s="41">
        <v>6.7000000000000004E-2</v>
      </c>
      <c r="G728" s="38">
        <v>36</v>
      </c>
      <c r="H728" s="38" t="s">
        <v>35</v>
      </c>
      <c r="I728" s="38" t="s">
        <v>80</v>
      </c>
      <c r="J728" s="38" t="s">
        <v>84</v>
      </c>
      <c r="K728" s="42">
        <v>76754</v>
      </c>
      <c r="L728" s="38" t="s">
        <v>62</v>
      </c>
      <c r="M728" s="43">
        <v>0.42</v>
      </c>
      <c r="N728" s="43">
        <v>0.63</v>
      </c>
      <c r="O728" s="42">
        <v>11220.57</v>
      </c>
      <c r="P728" s="42">
        <v>0</v>
      </c>
    </row>
    <row r="729" spans="1:16" ht="15" customHeight="1" x14ac:dyDescent="0.3">
      <c r="A729" s="50" t="s">
        <v>1534</v>
      </c>
      <c r="B729" s="51">
        <v>45012</v>
      </c>
      <c r="C729" s="50" t="s">
        <v>1535</v>
      </c>
      <c r="D729" s="50" t="s">
        <v>113</v>
      </c>
      <c r="E729" s="52">
        <v>24874</v>
      </c>
      <c r="F729" s="53">
        <v>0.23499999999999999</v>
      </c>
      <c r="G729" s="50">
        <v>36</v>
      </c>
      <c r="H729" s="50" t="s">
        <v>38</v>
      </c>
      <c r="I729" s="50" t="s">
        <v>83</v>
      </c>
      <c r="J729" s="50" t="s">
        <v>67</v>
      </c>
      <c r="K729" s="54">
        <v>58901</v>
      </c>
      <c r="L729" s="50" t="s">
        <v>68</v>
      </c>
      <c r="M729" s="55">
        <v>0.36</v>
      </c>
      <c r="N729" s="55">
        <v>0.82</v>
      </c>
      <c r="O729" s="54">
        <v>0</v>
      </c>
      <c r="P729" s="54">
        <v>0</v>
      </c>
    </row>
    <row r="730" spans="1:16" ht="15" customHeight="1" x14ac:dyDescent="0.3">
      <c r="A730" s="38" t="s">
        <v>1536</v>
      </c>
      <c r="B730" s="39">
        <v>45012</v>
      </c>
      <c r="C730" s="38" t="s">
        <v>1537</v>
      </c>
      <c r="D730" s="38" t="s">
        <v>79</v>
      </c>
      <c r="E730" s="40">
        <v>25354</v>
      </c>
      <c r="F730" s="41">
        <v>0.17</v>
      </c>
      <c r="G730" s="38">
        <v>60</v>
      </c>
      <c r="H730" s="38" t="s">
        <v>35</v>
      </c>
      <c r="I730" s="38" t="s">
        <v>257</v>
      </c>
      <c r="J730" s="38" t="s">
        <v>67</v>
      </c>
      <c r="K730" s="42">
        <v>139162</v>
      </c>
      <c r="L730" s="38" t="s">
        <v>62</v>
      </c>
      <c r="M730" s="43">
        <v>0.12</v>
      </c>
      <c r="N730" s="43">
        <v>0.73</v>
      </c>
      <c r="O730" s="42">
        <v>29664.18</v>
      </c>
      <c r="P730" s="42">
        <v>0</v>
      </c>
    </row>
    <row r="731" spans="1:16" ht="15" customHeight="1" x14ac:dyDescent="0.3">
      <c r="A731" s="44" t="s">
        <v>1538</v>
      </c>
      <c r="B731" s="45">
        <v>45012</v>
      </c>
      <c r="C731" s="44" t="s">
        <v>1539</v>
      </c>
      <c r="D731" s="44" t="s">
        <v>113</v>
      </c>
      <c r="E731" s="46">
        <v>1726</v>
      </c>
      <c r="F731" s="47">
        <v>0.20699999999999999</v>
      </c>
      <c r="G731" s="44">
        <v>36</v>
      </c>
      <c r="H731" s="44" t="s">
        <v>36</v>
      </c>
      <c r="I731" s="44" t="s">
        <v>66</v>
      </c>
      <c r="J731" s="44" t="s">
        <v>76</v>
      </c>
      <c r="K731" s="48">
        <v>50884</v>
      </c>
      <c r="L731" s="44" t="s">
        <v>62</v>
      </c>
      <c r="M731" s="49">
        <v>0.36</v>
      </c>
      <c r="N731" s="49">
        <v>0.83</v>
      </c>
      <c r="O731" s="48">
        <v>470.61</v>
      </c>
      <c r="P731" s="48">
        <v>0</v>
      </c>
    </row>
    <row r="732" spans="1:16" ht="15" customHeight="1" x14ac:dyDescent="0.3">
      <c r="A732" s="38" t="s">
        <v>1540</v>
      </c>
      <c r="B732" s="39">
        <v>45017</v>
      </c>
      <c r="C732" s="38" t="s">
        <v>1541</v>
      </c>
      <c r="D732" s="38" t="s">
        <v>138</v>
      </c>
      <c r="E732" s="40">
        <v>7704</v>
      </c>
      <c r="F732" s="41">
        <v>5.3999999999999999E-2</v>
      </c>
      <c r="G732" s="38">
        <v>36</v>
      </c>
      <c r="H732" s="38" t="s">
        <v>35</v>
      </c>
      <c r="I732" s="38" t="s">
        <v>66</v>
      </c>
      <c r="J732" s="38" t="s">
        <v>61</v>
      </c>
      <c r="K732" s="42">
        <v>98895</v>
      </c>
      <c r="L732" s="38" t="s">
        <v>68</v>
      </c>
      <c r="M732" s="43">
        <v>0.32</v>
      </c>
      <c r="N732" s="43">
        <v>0.7</v>
      </c>
      <c r="O732" s="42">
        <v>8120.02</v>
      </c>
      <c r="P732" s="42">
        <v>0</v>
      </c>
    </row>
    <row r="733" spans="1:16" ht="15" customHeight="1" x14ac:dyDescent="0.3">
      <c r="A733" s="44" t="s">
        <v>1542</v>
      </c>
      <c r="B733" s="45">
        <v>45018</v>
      </c>
      <c r="C733" s="44" t="s">
        <v>1543</v>
      </c>
      <c r="D733" s="44" t="s">
        <v>97</v>
      </c>
      <c r="E733" s="46">
        <v>38443</v>
      </c>
      <c r="F733" s="47">
        <v>5.0999999999999997E-2</v>
      </c>
      <c r="G733" s="44">
        <v>36</v>
      </c>
      <c r="H733" s="44" t="s">
        <v>36</v>
      </c>
      <c r="I733" s="44" t="s">
        <v>71</v>
      </c>
      <c r="J733" s="44" t="s">
        <v>67</v>
      </c>
      <c r="K733" s="48">
        <v>128046</v>
      </c>
      <c r="L733" s="44" t="s">
        <v>68</v>
      </c>
      <c r="M733" s="49">
        <v>0.15</v>
      </c>
      <c r="N733" s="49">
        <v>0.82</v>
      </c>
      <c r="O733" s="48">
        <v>5847.39</v>
      </c>
      <c r="P733" s="48">
        <v>0</v>
      </c>
    </row>
    <row r="734" spans="1:16" ht="15" customHeight="1" x14ac:dyDescent="0.3">
      <c r="A734" s="38" t="s">
        <v>1544</v>
      </c>
      <c r="B734" s="39">
        <v>45019</v>
      </c>
      <c r="C734" s="38" t="s">
        <v>1545</v>
      </c>
      <c r="D734" s="38" t="s">
        <v>59</v>
      </c>
      <c r="E734" s="40">
        <v>17959</v>
      </c>
      <c r="F734" s="41">
        <v>0.19400000000000001</v>
      </c>
      <c r="G734" s="38">
        <v>60</v>
      </c>
      <c r="H734" s="38" t="s">
        <v>35</v>
      </c>
      <c r="I734" s="38" t="s">
        <v>71</v>
      </c>
      <c r="J734" s="38" t="s">
        <v>84</v>
      </c>
      <c r="K734" s="42">
        <v>44031</v>
      </c>
      <c r="L734" s="38" t="s">
        <v>62</v>
      </c>
      <c r="M734" s="43">
        <v>0.25</v>
      </c>
      <c r="N734" s="43">
        <v>0.61</v>
      </c>
      <c r="O734" s="42">
        <v>21443.05</v>
      </c>
      <c r="P734" s="42">
        <v>0</v>
      </c>
    </row>
    <row r="735" spans="1:16" ht="15" customHeight="1" x14ac:dyDescent="0.3">
      <c r="A735" s="38" t="s">
        <v>1546</v>
      </c>
      <c r="B735" s="39">
        <v>45019</v>
      </c>
      <c r="C735" s="38" t="s">
        <v>1547</v>
      </c>
      <c r="D735" s="38" t="s">
        <v>97</v>
      </c>
      <c r="E735" s="40">
        <v>32174</v>
      </c>
      <c r="F735" s="41">
        <v>6.2E-2</v>
      </c>
      <c r="G735" s="38">
        <v>60</v>
      </c>
      <c r="H735" s="38" t="s">
        <v>35</v>
      </c>
      <c r="I735" s="38" t="s">
        <v>83</v>
      </c>
      <c r="J735" s="38" t="s">
        <v>72</v>
      </c>
      <c r="K735" s="42">
        <v>40956</v>
      </c>
      <c r="L735" s="38" t="s">
        <v>68</v>
      </c>
      <c r="M735" s="43">
        <v>0.5</v>
      </c>
      <c r="N735" s="43">
        <v>0.71</v>
      </c>
      <c r="O735" s="42">
        <v>34168.79</v>
      </c>
      <c r="P735" s="42">
        <v>0</v>
      </c>
    </row>
    <row r="736" spans="1:16" ht="15" customHeight="1" x14ac:dyDescent="0.3">
      <c r="A736" s="38" t="s">
        <v>1548</v>
      </c>
      <c r="B736" s="39">
        <v>45019</v>
      </c>
      <c r="C736" s="38" t="s">
        <v>1549</v>
      </c>
      <c r="D736" s="38" t="s">
        <v>88</v>
      </c>
      <c r="E736" s="40">
        <v>24171</v>
      </c>
      <c r="F736" s="41">
        <v>0.11</v>
      </c>
      <c r="G736" s="38">
        <v>36</v>
      </c>
      <c r="H736" s="38" t="s">
        <v>35</v>
      </c>
      <c r="I736" s="38" t="s">
        <v>71</v>
      </c>
      <c r="J736" s="38" t="s">
        <v>72</v>
      </c>
      <c r="K736" s="42">
        <v>64485</v>
      </c>
      <c r="L736" s="38" t="s">
        <v>68</v>
      </c>
      <c r="M736" s="43">
        <v>0.34</v>
      </c>
      <c r="N736" s="43">
        <v>0.55000000000000004</v>
      </c>
      <c r="O736" s="42">
        <v>26829.81</v>
      </c>
      <c r="P736" s="42">
        <v>0</v>
      </c>
    </row>
    <row r="737" spans="1:16" ht="15" customHeight="1" x14ac:dyDescent="0.3">
      <c r="A737" s="38" t="s">
        <v>1550</v>
      </c>
      <c r="B737" s="39">
        <v>45019</v>
      </c>
      <c r="C737" s="38" t="s">
        <v>1551</v>
      </c>
      <c r="D737" s="38" t="s">
        <v>138</v>
      </c>
      <c r="E737" s="40">
        <v>22427</v>
      </c>
      <c r="F737" s="41">
        <v>6.9000000000000006E-2</v>
      </c>
      <c r="G737" s="38">
        <v>36</v>
      </c>
      <c r="H737" s="38" t="s">
        <v>35</v>
      </c>
      <c r="I737" s="38" t="s">
        <v>71</v>
      </c>
      <c r="J737" s="38" t="s">
        <v>67</v>
      </c>
      <c r="K737" s="42">
        <v>124090</v>
      </c>
      <c r="L737" s="38" t="s">
        <v>68</v>
      </c>
      <c r="M737" s="43">
        <v>0.15</v>
      </c>
      <c r="N737" s="43">
        <v>0.88</v>
      </c>
      <c r="O737" s="42">
        <v>23974.46</v>
      </c>
      <c r="P737" s="42">
        <v>0</v>
      </c>
    </row>
    <row r="738" spans="1:16" ht="15" customHeight="1" x14ac:dyDescent="0.3">
      <c r="A738" s="38" t="s">
        <v>1552</v>
      </c>
      <c r="B738" s="39">
        <v>45020</v>
      </c>
      <c r="C738" s="38" t="s">
        <v>1553</v>
      </c>
      <c r="D738" s="38" t="s">
        <v>97</v>
      </c>
      <c r="E738" s="40">
        <v>34120</v>
      </c>
      <c r="F738" s="41">
        <v>0.14299999999999999</v>
      </c>
      <c r="G738" s="38">
        <v>60</v>
      </c>
      <c r="H738" s="38" t="s">
        <v>35</v>
      </c>
      <c r="I738" s="38" t="s">
        <v>60</v>
      </c>
      <c r="J738" s="38" t="s">
        <v>72</v>
      </c>
      <c r="K738" s="42">
        <v>90931</v>
      </c>
      <c r="L738" s="38" t="s">
        <v>85</v>
      </c>
      <c r="M738" s="43">
        <v>0.23</v>
      </c>
      <c r="N738" s="43">
        <v>0.94</v>
      </c>
      <c r="O738" s="42">
        <v>38999.160000000003</v>
      </c>
      <c r="P738" s="42">
        <v>0</v>
      </c>
    </row>
    <row r="739" spans="1:16" ht="15" customHeight="1" x14ac:dyDescent="0.3">
      <c r="A739" s="38" t="s">
        <v>1554</v>
      </c>
      <c r="B739" s="39">
        <v>45020</v>
      </c>
      <c r="C739" s="38" t="s">
        <v>1555</v>
      </c>
      <c r="D739" s="38" t="s">
        <v>59</v>
      </c>
      <c r="E739" s="40">
        <v>27616</v>
      </c>
      <c r="F739" s="41">
        <v>0.214</v>
      </c>
      <c r="G739" s="38">
        <v>36</v>
      </c>
      <c r="H739" s="38" t="s">
        <v>35</v>
      </c>
      <c r="I739" s="38" t="s">
        <v>83</v>
      </c>
      <c r="J739" s="38" t="s">
        <v>84</v>
      </c>
      <c r="K739" s="42">
        <v>75991</v>
      </c>
      <c r="L739" s="38" t="s">
        <v>62</v>
      </c>
      <c r="M739" s="43">
        <v>0.45</v>
      </c>
      <c r="N739" s="43">
        <v>0.61</v>
      </c>
      <c r="O739" s="42">
        <v>33525.82</v>
      </c>
      <c r="P739" s="42">
        <v>0</v>
      </c>
    </row>
    <row r="740" spans="1:16" ht="15" customHeight="1" x14ac:dyDescent="0.3">
      <c r="A740" s="38" t="s">
        <v>1556</v>
      </c>
      <c r="B740" s="39">
        <v>45021</v>
      </c>
      <c r="C740" s="38" t="s">
        <v>1557</v>
      </c>
      <c r="D740" s="38" t="s">
        <v>75</v>
      </c>
      <c r="E740" s="40">
        <v>25819</v>
      </c>
      <c r="F740" s="41">
        <v>0.185</v>
      </c>
      <c r="G740" s="38">
        <v>36</v>
      </c>
      <c r="H740" s="38" t="s">
        <v>35</v>
      </c>
      <c r="I740" s="38" t="s">
        <v>60</v>
      </c>
      <c r="J740" s="38" t="s">
        <v>72</v>
      </c>
      <c r="K740" s="42">
        <v>128262</v>
      </c>
      <c r="L740" s="38" t="s">
        <v>62</v>
      </c>
      <c r="M740" s="43">
        <v>0.49</v>
      </c>
      <c r="N740" s="43">
        <v>0.91</v>
      </c>
      <c r="O740" s="42">
        <v>30595.52</v>
      </c>
      <c r="P740" s="42">
        <v>0</v>
      </c>
    </row>
    <row r="741" spans="1:16" ht="15" customHeight="1" x14ac:dyDescent="0.3">
      <c r="A741" s="38" t="s">
        <v>1558</v>
      </c>
      <c r="B741" s="39">
        <v>45022</v>
      </c>
      <c r="C741" s="38" t="s">
        <v>1559</v>
      </c>
      <c r="D741" s="38" t="s">
        <v>59</v>
      </c>
      <c r="E741" s="40">
        <v>30009</v>
      </c>
      <c r="F741" s="41">
        <v>0.18099999999999999</v>
      </c>
      <c r="G741" s="38">
        <v>60</v>
      </c>
      <c r="H741" s="38" t="s">
        <v>35</v>
      </c>
      <c r="I741" s="38" t="s">
        <v>60</v>
      </c>
      <c r="J741" s="38" t="s">
        <v>76</v>
      </c>
      <c r="K741" s="42">
        <v>52250</v>
      </c>
      <c r="L741" s="38" t="s">
        <v>68</v>
      </c>
      <c r="M741" s="43">
        <v>0.34</v>
      </c>
      <c r="N741" s="43">
        <v>0.6</v>
      </c>
      <c r="O741" s="42">
        <v>35440.629999999997</v>
      </c>
      <c r="P741" s="42">
        <v>0</v>
      </c>
    </row>
    <row r="742" spans="1:16" ht="15" customHeight="1" x14ac:dyDescent="0.3">
      <c r="A742" s="44" t="s">
        <v>1560</v>
      </c>
      <c r="B742" s="45">
        <v>45023</v>
      </c>
      <c r="C742" s="44" t="s">
        <v>1561</v>
      </c>
      <c r="D742" s="44" t="s">
        <v>59</v>
      </c>
      <c r="E742" s="46">
        <v>12083</v>
      </c>
      <c r="F742" s="47">
        <v>0.22600000000000001</v>
      </c>
      <c r="G742" s="44">
        <v>60</v>
      </c>
      <c r="H742" s="44" t="s">
        <v>36</v>
      </c>
      <c r="I742" s="44" t="s">
        <v>60</v>
      </c>
      <c r="J742" s="44" t="s">
        <v>84</v>
      </c>
      <c r="K742" s="48">
        <v>116055</v>
      </c>
      <c r="L742" s="44" t="s">
        <v>62</v>
      </c>
      <c r="M742" s="49">
        <v>0.25</v>
      </c>
      <c r="N742" s="49">
        <v>0.8</v>
      </c>
      <c r="O742" s="48">
        <v>1690.14</v>
      </c>
      <c r="P742" s="48">
        <v>0</v>
      </c>
    </row>
    <row r="743" spans="1:16" ht="15" customHeight="1" x14ac:dyDescent="0.3">
      <c r="A743" s="50" t="s">
        <v>1562</v>
      </c>
      <c r="B743" s="51">
        <v>45024</v>
      </c>
      <c r="C743" s="50" t="s">
        <v>1563</v>
      </c>
      <c r="D743" s="50" t="s">
        <v>113</v>
      </c>
      <c r="E743" s="52">
        <v>6782</v>
      </c>
      <c r="F743" s="53">
        <v>0.13400000000000001</v>
      </c>
      <c r="G743" s="50">
        <v>36</v>
      </c>
      <c r="H743" s="50" t="s">
        <v>38</v>
      </c>
      <c r="I743" s="50" t="s">
        <v>60</v>
      </c>
      <c r="J743" s="50" t="s">
        <v>61</v>
      </c>
      <c r="K743" s="54">
        <v>38002</v>
      </c>
      <c r="L743" s="50" t="s">
        <v>85</v>
      </c>
      <c r="M743" s="55">
        <v>0.38</v>
      </c>
      <c r="N743" s="55">
        <v>0.8</v>
      </c>
      <c r="O743" s="54">
        <v>0</v>
      </c>
      <c r="P743" s="54">
        <v>0</v>
      </c>
    </row>
    <row r="744" spans="1:16" ht="15" customHeight="1" x14ac:dyDescent="0.3">
      <c r="A744" s="38" t="s">
        <v>1564</v>
      </c>
      <c r="B744" s="39">
        <v>45024</v>
      </c>
      <c r="C744" s="38" t="s">
        <v>1565</v>
      </c>
      <c r="D744" s="38" t="s">
        <v>79</v>
      </c>
      <c r="E744" s="40">
        <v>2136</v>
      </c>
      <c r="F744" s="41">
        <v>0.222</v>
      </c>
      <c r="G744" s="38">
        <v>60</v>
      </c>
      <c r="H744" s="38" t="s">
        <v>35</v>
      </c>
      <c r="I744" s="38" t="s">
        <v>66</v>
      </c>
      <c r="J744" s="38" t="s">
        <v>67</v>
      </c>
      <c r="K744" s="42">
        <v>128371</v>
      </c>
      <c r="L744" s="38" t="s">
        <v>62</v>
      </c>
      <c r="M744" s="43">
        <v>0.39</v>
      </c>
      <c r="N744" s="43">
        <v>0.79</v>
      </c>
      <c r="O744" s="42">
        <v>2610.19</v>
      </c>
      <c r="P744" s="42">
        <v>0</v>
      </c>
    </row>
    <row r="745" spans="1:16" ht="15" customHeight="1" x14ac:dyDescent="0.3">
      <c r="A745" s="38" t="s">
        <v>1566</v>
      </c>
      <c r="B745" s="39">
        <v>45025</v>
      </c>
      <c r="C745" s="38" t="s">
        <v>1567</v>
      </c>
      <c r="D745" s="38" t="s">
        <v>97</v>
      </c>
      <c r="E745" s="40">
        <v>38412</v>
      </c>
      <c r="F745" s="41">
        <v>0.224</v>
      </c>
      <c r="G745" s="38">
        <v>60</v>
      </c>
      <c r="H745" s="38" t="s">
        <v>35</v>
      </c>
      <c r="I745" s="38" t="s">
        <v>83</v>
      </c>
      <c r="J745" s="38" t="s">
        <v>76</v>
      </c>
      <c r="K745" s="42">
        <v>87980</v>
      </c>
      <c r="L745" s="38" t="s">
        <v>68</v>
      </c>
      <c r="M745" s="43">
        <v>0.25</v>
      </c>
      <c r="N745" s="43">
        <v>0.71</v>
      </c>
      <c r="O745" s="42">
        <v>47016.29</v>
      </c>
      <c r="P745" s="42">
        <v>0</v>
      </c>
    </row>
    <row r="746" spans="1:16" ht="15" customHeight="1" x14ac:dyDescent="0.3">
      <c r="A746" s="38" t="s">
        <v>1568</v>
      </c>
      <c r="B746" s="39">
        <v>45027</v>
      </c>
      <c r="C746" s="38" t="s">
        <v>1569</v>
      </c>
      <c r="D746" s="38" t="s">
        <v>108</v>
      </c>
      <c r="E746" s="40">
        <v>38846</v>
      </c>
      <c r="F746" s="41">
        <v>0.16500000000000001</v>
      </c>
      <c r="G746" s="38">
        <v>36</v>
      </c>
      <c r="H746" s="38" t="s">
        <v>35</v>
      </c>
      <c r="I746" s="38" t="s">
        <v>83</v>
      </c>
      <c r="J746" s="38" t="s">
        <v>67</v>
      </c>
      <c r="K746" s="42">
        <v>85798</v>
      </c>
      <c r="L746" s="38" t="s">
        <v>62</v>
      </c>
      <c r="M746" s="43">
        <v>0.13</v>
      </c>
      <c r="N746" s="43">
        <v>0.6</v>
      </c>
      <c r="O746" s="42">
        <v>45255.59</v>
      </c>
      <c r="P746" s="42">
        <v>0</v>
      </c>
    </row>
    <row r="747" spans="1:16" ht="15" customHeight="1" x14ac:dyDescent="0.3">
      <c r="A747" s="38" t="s">
        <v>1570</v>
      </c>
      <c r="B747" s="39">
        <v>45027</v>
      </c>
      <c r="C747" s="38" t="s">
        <v>1571</v>
      </c>
      <c r="D747" s="38" t="s">
        <v>75</v>
      </c>
      <c r="E747" s="40">
        <v>2367</v>
      </c>
      <c r="F747" s="41">
        <v>0.14499999999999999</v>
      </c>
      <c r="G747" s="38">
        <v>60</v>
      </c>
      <c r="H747" s="38" t="s">
        <v>35</v>
      </c>
      <c r="I747" s="38" t="s">
        <v>114</v>
      </c>
      <c r="J747" s="38" t="s">
        <v>84</v>
      </c>
      <c r="K747" s="42">
        <v>98665</v>
      </c>
      <c r="L747" s="38" t="s">
        <v>62</v>
      </c>
      <c r="M747" s="43">
        <v>0.39</v>
      </c>
      <c r="N747" s="43">
        <v>0.85</v>
      </c>
      <c r="O747" s="42">
        <v>2710.22</v>
      </c>
      <c r="P747" s="42">
        <v>0</v>
      </c>
    </row>
    <row r="748" spans="1:16" ht="15" customHeight="1" x14ac:dyDescent="0.3">
      <c r="A748" s="38" t="s">
        <v>1572</v>
      </c>
      <c r="B748" s="39">
        <v>45027</v>
      </c>
      <c r="C748" s="38" t="s">
        <v>1573</v>
      </c>
      <c r="D748" s="38" t="s">
        <v>75</v>
      </c>
      <c r="E748" s="40">
        <v>30241</v>
      </c>
      <c r="F748" s="41">
        <v>0.154</v>
      </c>
      <c r="G748" s="38">
        <v>60</v>
      </c>
      <c r="H748" s="38" t="s">
        <v>35</v>
      </c>
      <c r="I748" s="38" t="s">
        <v>60</v>
      </c>
      <c r="J748" s="38" t="s">
        <v>61</v>
      </c>
      <c r="K748" s="42">
        <v>77574</v>
      </c>
      <c r="L748" s="38" t="s">
        <v>68</v>
      </c>
      <c r="M748" s="43">
        <v>0.36</v>
      </c>
      <c r="N748" s="43">
        <v>0.82</v>
      </c>
      <c r="O748" s="42">
        <v>34898.11</v>
      </c>
      <c r="P748" s="42">
        <v>0</v>
      </c>
    </row>
    <row r="749" spans="1:16" ht="15" customHeight="1" x14ac:dyDescent="0.3">
      <c r="A749" s="38" t="s">
        <v>1574</v>
      </c>
      <c r="B749" s="39">
        <v>45028</v>
      </c>
      <c r="C749" s="38" t="s">
        <v>1575</v>
      </c>
      <c r="D749" s="38" t="s">
        <v>125</v>
      </c>
      <c r="E749" s="40">
        <v>25762</v>
      </c>
      <c r="F749" s="41">
        <v>0.16</v>
      </c>
      <c r="G749" s="38">
        <v>36</v>
      </c>
      <c r="H749" s="38" t="s">
        <v>35</v>
      </c>
      <c r="I749" s="38" t="s">
        <v>60</v>
      </c>
      <c r="J749" s="38" t="s">
        <v>61</v>
      </c>
      <c r="K749" s="42">
        <v>41064</v>
      </c>
      <c r="L749" s="38" t="s">
        <v>62</v>
      </c>
      <c r="M749" s="43">
        <v>0.36</v>
      </c>
      <c r="N749" s="43">
        <v>0.78</v>
      </c>
      <c r="O749" s="42">
        <v>29883.919999999998</v>
      </c>
      <c r="P749" s="42">
        <v>0</v>
      </c>
    </row>
    <row r="750" spans="1:16" ht="15" customHeight="1" x14ac:dyDescent="0.3">
      <c r="A750" s="38" t="s">
        <v>1576</v>
      </c>
      <c r="B750" s="39">
        <v>45029</v>
      </c>
      <c r="C750" s="38" t="s">
        <v>1577</v>
      </c>
      <c r="D750" s="38" t="s">
        <v>108</v>
      </c>
      <c r="E750" s="40">
        <v>33003</v>
      </c>
      <c r="F750" s="41">
        <v>9.5000000000000001E-2</v>
      </c>
      <c r="G750" s="38">
        <v>60</v>
      </c>
      <c r="H750" s="38" t="s">
        <v>35</v>
      </c>
      <c r="I750" s="38" t="s">
        <v>66</v>
      </c>
      <c r="J750" s="38" t="s">
        <v>61</v>
      </c>
      <c r="K750" s="42">
        <v>142695</v>
      </c>
      <c r="L750" s="38" t="s">
        <v>85</v>
      </c>
      <c r="M750" s="43">
        <v>0.31</v>
      </c>
      <c r="N750" s="43">
        <v>0.6</v>
      </c>
      <c r="O750" s="42">
        <v>36138.28</v>
      </c>
      <c r="P750" s="42">
        <v>0</v>
      </c>
    </row>
    <row r="751" spans="1:16" ht="15" customHeight="1" x14ac:dyDescent="0.3">
      <c r="A751" s="56" t="s">
        <v>1578</v>
      </c>
      <c r="B751" s="57">
        <v>45030</v>
      </c>
      <c r="C751" s="56" t="s">
        <v>1579</v>
      </c>
      <c r="D751" s="56" t="s">
        <v>79</v>
      </c>
      <c r="E751" s="58">
        <v>22736</v>
      </c>
      <c r="F751" s="59">
        <v>0.224</v>
      </c>
      <c r="G751" s="56">
        <v>60</v>
      </c>
      <c r="H751" s="56" t="s">
        <v>37</v>
      </c>
      <c r="I751" s="56" t="s">
        <v>66</v>
      </c>
      <c r="J751" s="56" t="s">
        <v>84</v>
      </c>
      <c r="K751" s="60">
        <v>143711</v>
      </c>
      <c r="L751" s="56" t="s">
        <v>85</v>
      </c>
      <c r="M751" s="61">
        <v>0.44</v>
      </c>
      <c r="N751" s="61">
        <v>0.73</v>
      </c>
      <c r="O751" s="60">
        <v>7219.33</v>
      </c>
      <c r="P751" s="60">
        <v>8265.9599999999991</v>
      </c>
    </row>
    <row r="752" spans="1:16" ht="15" customHeight="1" x14ac:dyDescent="0.3">
      <c r="A752" s="38" t="s">
        <v>1580</v>
      </c>
      <c r="B752" s="39">
        <v>45032</v>
      </c>
      <c r="C752" s="38" t="s">
        <v>1581</v>
      </c>
      <c r="D752" s="38" t="s">
        <v>108</v>
      </c>
      <c r="E752" s="40">
        <v>11616</v>
      </c>
      <c r="F752" s="41">
        <v>6.0999999999999999E-2</v>
      </c>
      <c r="G752" s="38">
        <v>36</v>
      </c>
      <c r="H752" s="38" t="s">
        <v>35</v>
      </c>
      <c r="I752" s="38" t="s">
        <v>66</v>
      </c>
      <c r="J752" s="38" t="s">
        <v>76</v>
      </c>
      <c r="K752" s="42">
        <v>58453</v>
      </c>
      <c r="L752" s="38" t="s">
        <v>62</v>
      </c>
      <c r="M752" s="43">
        <v>0.14000000000000001</v>
      </c>
      <c r="N752" s="43">
        <v>0.52</v>
      </c>
      <c r="O752" s="42">
        <v>12324.58</v>
      </c>
      <c r="P752" s="42">
        <v>0</v>
      </c>
    </row>
    <row r="753" spans="1:16" ht="15" customHeight="1" x14ac:dyDescent="0.3">
      <c r="A753" s="44" t="s">
        <v>1582</v>
      </c>
      <c r="B753" s="45">
        <v>45032</v>
      </c>
      <c r="C753" s="44" t="s">
        <v>1583</v>
      </c>
      <c r="D753" s="44" t="s">
        <v>138</v>
      </c>
      <c r="E753" s="46">
        <v>29552</v>
      </c>
      <c r="F753" s="47">
        <v>0.24399999999999999</v>
      </c>
      <c r="G753" s="44">
        <v>36</v>
      </c>
      <c r="H753" s="44" t="s">
        <v>36</v>
      </c>
      <c r="I753" s="44" t="s">
        <v>66</v>
      </c>
      <c r="J753" s="44" t="s">
        <v>72</v>
      </c>
      <c r="K753" s="48">
        <v>46061</v>
      </c>
      <c r="L753" s="44" t="s">
        <v>85</v>
      </c>
      <c r="M753" s="49">
        <v>0.39</v>
      </c>
      <c r="N753" s="49">
        <v>0.57999999999999996</v>
      </c>
      <c r="O753" s="48">
        <v>5184.05</v>
      </c>
      <c r="P753" s="48">
        <v>0</v>
      </c>
    </row>
    <row r="754" spans="1:16" ht="15" customHeight="1" x14ac:dyDescent="0.3">
      <c r="A754" s="44" t="s">
        <v>1584</v>
      </c>
      <c r="B754" s="45">
        <v>45034</v>
      </c>
      <c r="C754" s="44" t="s">
        <v>1585</v>
      </c>
      <c r="D754" s="44" t="s">
        <v>79</v>
      </c>
      <c r="E754" s="46">
        <v>26000</v>
      </c>
      <c r="F754" s="47">
        <v>8.5999999999999993E-2</v>
      </c>
      <c r="G754" s="44">
        <v>60</v>
      </c>
      <c r="H754" s="44" t="s">
        <v>36</v>
      </c>
      <c r="I754" s="44" t="s">
        <v>60</v>
      </c>
      <c r="J754" s="44" t="s">
        <v>84</v>
      </c>
      <c r="K754" s="48">
        <v>115678</v>
      </c>
      <c r="L754" s="44" t="s">
        <v>62</v>
      </c>
      <c r="M754" s="49">
        <v>0.3</v>
      </c>
      <c r="N754" s="49">
        <v>0.72</v>
      </c>
      <c r="O754" s="48">
        <v>9955.6200000000008</v>
      </c>
      <c r="P754" s="48">
        <v>0</v>
      </c>
    </row>
    <row r="755" spans="1:16" ht="15" customHeight="1" x14ac:dyDescent="0.3">
      <c r="A755" s="38" t="s">
        <v>1586</v>
      </c>
      <c r="B755" s="39">
        <v>45034</v>
      </c>
      <c r="C755" s="38" t="s">
        <v>1587</v>
      </c>
      <c r="D755" s="38" t="s">
        <v>65</v>
      </c>
      <c r="E755" s="40">
        <v>1488</v>
      </c>
      <c r="F755" s="41">
        <v>0.245</v>
      </c>
      <c r="G755" s="38">
        <v>36</v>
      </c>
      <c r="H755" s="38" t="s">
        <v>35</v>
      </c>
      <c r="I755" s="38" t="s">
        <v>60</v>
      </c>
      <c r="J755" s="38" t="s">
        <v>61</v>
      </c>
      <c r="K755" s="42">
        <v>32985</v>
      </c>
      <c r="L755" s="38" t="s">
        <v>68</v>
      </c>
      <c r="M755" s="43">
        <v>0.37</v>
      </c>
      <c r="N755" s="43">
        <v>0.69</v>
      </c>
      <c r="O755" s="42">
        <v>1852.56</v>
      </c>
      <c r="P755" s="42">
        <v>0</v>
      </c>
    </row>
    <row r="756" spans="1:16" ht="15" customHeight="1" x14ac:dyDescent="0.3">
      <c r="A756" s="38" t="s">
        <v>1588</v>
      </c>
      <c r="B756" s="39">
        <v>45034</v>
      </c>
      <c r="C756" s="38" t="s">
        <v>1589</v>
      </c>
      <c r="D756" s="38" t="s">
        <v>108</v>
      </c>
      <c r="E756" s="40">
        <v>8059</v>
      </c>
      <c r="F756" s="41">
        <v>0.16200000000000001</v>
      </c>
      <c r="G756" s="38">
        <v>36</v>
      </c>
      <c r="H756" s="38" t="s">
        <v>35</v>
      </c>
      <c r="I756" s="38" t="s">
        <v>80</v>
      </c>
      <c r="J756" s="38" t="s">
        <v>67</v>
      </c>
      <c r="K756" s="42">
        <v>146026</v>
      </c>
      <c r="L756" s="38" t="s">
        <v>85</v>
      </c>
      <c r="M756" s="43">
        <v>0.34</v>
      </c>
      <c r="N756" s="43">
        <v>0.57999999999999996</v>
      </c>
      <c r="O756" s="42">
        <v>9364.56</v>
      </c>
      <c r="P756" s="42">
        <v>0</v>
      </c>
    </row>
    <row r="757" spans="1:16" ht="15" customHeight="1" x14ac:dyDescent="0.3">
      <c r="A757" s="44" t="s">
        <v>1590</v>
      </c>
      <c r="B757" s="45">
        <v>45037</v>
      </c>
      <c r="C757" s="44" t="s">
        <v>1591</v>
      </c>
      <c r="D757" s="44" t="s">
        <v>59</v>
      </c>
      <c r="E757" s="46">
        <v>29769</v>
      </c>
      <c r="F757" s="47">
        <v>0.13500000000000001</v>
      </c>
      <c r="G757" s="44">
        <v>60</v>
      </c>
      <c r="H757" s="44" t="s">
        <v>36</v>
      </c>
      <c r="I757" s="44" t="s">
        <v>60</v>
      </c>
      <c r="J757" s="44" t="s">
        <v>61</v>
      </c>
      <c r="K757" s="48">
        <v>66945</v>
      </c>
      <c r="L757" s="44" t="s">
        <v>85</v>
      </c>
      <c r="M757" s="49">
        <v>0.48</v>
      </c>
      <c r="N757" s="49">
        <v>0.84</v>
      </c>
      <c r="O757" s="48">
        <v>1763.22</v>
      </c>
      <c r="P757" s="48">
        <v>0</v>
      </c>
    </row>
    <row r="758" spans="1:16" ht="15" customHeight="1" x14ac:dyDescent="0.3">
      <c r="A758" s="38" t="s">
        <v>1592</v>
      </c>
      <c r="B758" s="39">
        <v>45039</v>
      </c>
      <c r="C758" s="38" t="s">
        <v>1593</v>
      </c>
      <c r="D758" s="38" t="s">
        <v>59</v>
      </c>
      <c r="E758" s="40">
        <v>32010</v>
      </c>
      <c r="F758" s="41">
        <v>0.20100000000000001</v>
      </c>
      <c r="G758" s="38">
        <v>60</v>
      </c>
      <c r="H758" s="38" t="s">
        <v>35</v>
      </c>
      <c r="I758" s="38" t="s">
        <v>60</v>
      </c>
      <c r="J758" s="38" t="s">
        <v>67</v>
      </c>
      <c r="K758" s="42">
        <v>61027</v>
      </c>
      <c r="L758" s="38" t="s">
        <v>62</v>
      </c>
      <c r="M758" s="43">
        <v>0.25</v>
      </c>
      <c r="N758" s="43">
        <v>0.95</v>
      </c>
      <c r="O758" s="42">
        <v>38444.01</v>
      </c>
      <c r="P758" s="42">
        <v>0</v>
      </c>
    </row>
    <row r="759" spans="1:16" ht="15" customHeight="1" x14ac:dyDescent="0.3">
      <c r="A759" s="44" t="s">
        <v>1594</v>
      </c>
      <c r="B759" s="45">
        <v>45040</v>
      </c>
      <c r="C759" s="44" t="s">
        <v>1595</v>
      </c>
      <c r="D759" s="44" t="s">
        <v>138</v>
      </c>
      <c r="E759" s="46">
        <v>21103</v>
      </c>
      <c r="F759" s="47">
        <v>0.19400000000000001</v>
      </c>
      <c r="G759" s="44">
        <v>60</v>
      </c>
      <c r="H759" s="44" t="s">
        <v>36</v>
      </c>
      <c r="I759" s="44" t="s">
        <v>83</v>
      </c>
      <c r="J759" s="44" t="s">
        <v>67</v>
      </c>
      <c r="K759" s="48">
        <v>74523</v>
      </c>
      <c r="L759" s="44" t="s">
        <v>85</v>
      </c>
      <c r="M759" s="49">
        <v>0.36</v>
      </c>
      <c r="N759" s="49">
        <v>0.7</v>
      </c>
      <c r="O759" s="48">
        <v>3782.05</v>
      </c>
      <c r="P759" s="48">
        <v>0</v>
      </c>
    </row>
    <row r="760" spans="1:16" ht="15" customHeight="1" x14ac:dyDescent="0.3">
      <c r="A760" s="38" t="s">
        <v>1596</v>
      </c>
      <c r="B760" s="39">
        <v>45041</v>
      </c>
      <c r="C760" s="38" t="s">
        <v>1597</v>
      </c>
      <c r="D760" s="38" t="s">
        <v>88</v>
      </c>
      <c r="E760" s="40">
        <v>32910</v>
      </c>
      <c r="F760" s="41">
        <v>0.19700000000000001</v>
      </c>
      <c r="G760" s="38">
        <v>60</v>
      </c>
      <c r="H760" s="38" t="s">
        <v>35</v>
      </c>
      <c r="I760" s="38" t="s">
        <v>257</v>
      </c>
      <c r="J760" s="38" t="s">
        <v>72</v>
      </c>
      <c r="K760" s="42">
        <v>58054</v>
      </c>
      <c r="L760" s="38" t="s">
        <v>68</v>
      </c>
      <c r="M760" s="43">
        <v>0.24</v>
      </c>
      <c r="N760" s="43">
        <v>0.54</v>
      </c>
      <c r="O760" s="42">
        <v>39393.269999999997</v>
      </c>
      <c r="P760" s="42">
        <v>0</v>
      </c>
    </row>
    <row r="761" spans="1:16" ht="15" customHeight="1" x14ac:dyDescent="0.3">
      <c r="A761" s="38" t="s">
        <v>1598</v>
      </c>
      <c r="B761" s="39">
        <v>45043</v>
      </c>
      <c r="C761" s="38" t="s">
        <v>1599</v>
      </c>
      <c r="D761" s="38" t="s">
        <v>65</v>
      </c>
      <c r="E761" s="40">
        <v>16222</v>
      </c>
      <c r="F761" s="41">
        <v>0.11</v>
      </c>
      <c r="G761" s="38">
        <v>60</v>
      </c>
      <c r="H761" s="38" t="s">
        <v>35</v>
      </c>
      <c r="I761" s="38" t="s">
        <v>60</v>
      </c>
      <c r="J761" s="38" t="s">
        <v>61</v>
      </c>
      <c r="K761" s="42">
        <v>59963</v>
      </c>
      <c r="L761" s="38" t="s">
        <v>62</v>
      </c>
      <c r="M761" s="43">
        <v>0.37</v>
      </c>
      <c r="N761" s="43">
        <v>0.7</v>
      </c>
      <c r="O761" s="42">
        <v>18006.419999999998</v>
      </c>
      <c r="P761" s="42">
        <v>0</v>
      </c>
    </row>
    <row r="762" spans="1:16" ht="15" customHeight="1" x14ac:dyDescent="0.3">
      <c r="A762" s="44" t="s">
        <v>1600</v>
      </c>
      <c r="B762" s="45">
        <v>45044</v>
      </c>
      <c r="C762" s="44" t="s">
        <v>1601</v>
      </c>
      <c r="D762" s="44" t="s">
        <v>65</v>
      </c>
      <c r="E762" s="46">
        <v>32890</v>
      </c>
      <c r="F762" s="47">
        <v>0.153</v>
      </c>
      <c r="G762" s="44">
        <v>36</v>
      </c>
      <c r="H762" s="44" t="s">
        <v>36</v>
      </c>
      <c r="I762" s="44" t="s">
        <v>71</v>
      </c>
      <c r="J762" s="44" t="s">
        <v>61</v>
      </c>
      <c r="K762" s="48">
        <v>42100</v>
      </c>
      <c r="L762" s="44" t="s">
        <v>85</v>
      </c>
      <c r="M762" s="49">
        <v>0.35</v>
      </c>
      <c r="N762" s="49">
        <v>0.55000000000000004</v>
      </c>
      <c r="O762" s="48">
        <v>8090.19</v>
      </c>
      <c r="P762" s="48">
        <v>0</v>
      </c>
    </row>
    <row r="763" spans="1:16" ht="15" customHeight="1" x14ac:dyDescent="0.3">
      <c r="A763" s="44" t="s">
        <v>1602</v>
      </c>
      <c r="B763" s="45">
        <v>45045</v>
      </c>
      <c r="C763" s="44" t="s">
        <v>1603</v>
      </c>
      <c r="D763" s="44" t="s">
        <v>79</v>
      </c>
      <c r="E763" s="46">
        <v>10208</v>
      </c>
      <c r="F763" s="47">
        <v>0.219</v>
      </c>
      <c r="G763" s="44">
        <v>60</v>
      </c>
      <c r="H763" s="44" t="s">
        <v>36</v>
      </c>
      <c r="I763" s="44" t="s">
        <v>80</v>
      </c>
      <c r="J763" s="44" t="s">
        <v>76</v>
      </c>
      <c r="K763" s="48">
        <v>35021</v>
      </c>
      <c r="L763" s="44" t="s">
        <v>62</v>
      </c>
      <c r="M763" s="49">
        <v>0.49</v>
      </c>
      <c r="N763" s="49">
        <v>0.74</v>
      </c>
      <c r="O763" s="48">
        <v>703.21</v>
      </c>
      <c r="P763" s="48">
        <v>0</v>
      </c>
    </row>
    <row r="764" spans="1:16" ht="15" customHeight="1" x14ac:dyDescent="0.3">
      <c r="A764" s="44" t="s">
        <v>1604</v>
      </c>
      <c r="B764" s="45">
        <v>45045</v>
      </c>
      <c r="C764" s="44" t="s">
        <v>1605</v>
      </c>
      <c r="D764" s="44" t="s">
        <v>59</v>
      </c>
      <c r="E764" s="46">
        <v>6772</v>
      </c>
      <c r="F764" s="47">
        <v>6.7000000000000004E-2</v>
      </c>
      <c r="G764" s="44">
        <v>36</v>
      </c>
      <c r="H764" s="44" t="s">
        <v>36</v>
      </c>
      <c r="I764" s="44" t="s">
        <v>257</v>
      </c>
      <c r="J764" s="44" t="s">
        <v>76</v>
      </c>
      <c r="K764" s="48">
        <v>53576</v>
      </c>
      <c r="L764" s="44" t="s">
        <v>85</v>
      </c>
      <c r="M764" s="49">
        <v>0.25</v>
      </c>
      <c r="N764" s="49">
        <v>0.73</v>
      </c>
      <c r="O764" s="48">
        <v>2938.07</v>
      </c>
      <c r="P764" s="48">
        <v>0</v>
      </c>
    </row>
    <row r="765" spans="1:16" ht="15" customHeight="1" x14ac:dyDescent="0.3">
      <c r="A765" s="38" t="s">
        <v>1606</v>
      </c>
      <c r="B765" s="39">
        <v>45047</v>
      </c>
      <c r="C765" s="38" t="s">
        <v>1607</v>
      </c>
      <c r="D765" s="38" t="s">
        <v>108</v>
      </c>
      <c r="E765" s="40">
        <v>29482</v>
      </c>
      <c r="F765" s="41">
        <v>0.17599999999999999</v>
      </c>
      <c r="G765" s="38">
        <v>60</v>
      </c>
      <c r="H765" s="38" t="s">
        <v>35</v>
      </c>
      <c r="I765" s="38" t="s">
        <v>80</v>
      </c>
      <c r="J765" s="38" t="s">
        <v>84</v>
      </c>
      <c r="K765" s="42">
        <v>133067</v>
      </c>
      <c r="L765" s="38" t="s">
        <v>68</v>
      </c>
      <c r="M765" s="43">
        <v>0.26</v>
      </c>
      <c r="N765" s="43">
        <v>0.84</v>
      </c>
      <c r="O765" s="42">
        <v>34670.83</v>
      </c>
      <c r="P765" s="42">
        <v>0</v>
      </c>
    </row>
    <row r="766" spans="1:16" ht="15" customHeight="1" x14ac:dyDescent="0.3">
      <c r="A766" s="44" t="s">
        <v>1608</v>
      </c>
      <c r="B766" s="45">
        <v>45047</v>
      </c>
      <c r="C766" s="44" t="s">
        <v>1609</v>
      </c>
      <c r="D766" s="44" t="s">
        <v>113</v>
      </c>
      <c r="E766" s="46">
        <v>2925</v>
      </c>
      <c r="F766" s="47">
        <v>7.4999999999999997E-2</v>
      </c>
      <c r="G766" s="44">
        <v>60</v>
      </c>
      <c r="H766" s="44" t="s">
        <v>36</v>
      </c>
      <c r="I766" s="44" t="s">
        <v>71</v>
      </c>
      <c r="J766" s="44" t="s">
        <v>67</v>
      </c>
      <c r="K766" s="48">
        <v>148544</v>
      </c>
      <c r="L766" s="44" t="s">
        <v>62</v>
      </c>
      <c r="M766" s="49">
        <v>0.13</v>
      </c>
      <c r="N766" s="49">
        <v>0.81</v>
      </c>
      <c r="O766" s="48">
        <v>289.72000000000003</v>
      </c>
      <c r="P766" s="48">
        <v>0</v>
      </c>
    </row>
    <row r="767" spans="1:16" ht="15" customHeight="1" x14ac:dyDescent="0.3">
      <c r="A767" s="56" t="s">
        <v>1610</v>
      </c>
      <c r="B767" s="57">
        <v>45048</v>
      </c>
      <c r="C767" s="56" t="s">
        <v>1611</v>
      </c>
      <c r="D767" s="56" t="s">
        <v>97</v>
      </c>
      <c r="E767" s="58">
        <v>31707</v>
      </c>
      <c r="F767" s="59">
        <v>9.9000000000000005E-2</v>
      </c>
      <c r="G767" s="56">
        <v>60</v>
      </c>
      <c r="H767" s="56" t="s">
        <v>37</v>
      </c>
      <c r="I767" s="56" t="s">
        <v>83</v>
      </c>
      <c r="J767" s="56" t="s">
        <v>61</v>
      </c>
      <c r="K767" s="60">
        <v>121056</v>
      </c>
      <c r="L767" s="56" t="s">
        <v>62</v>
      </c>
      <c r="M767" s="61">
        <v>0.22</v>
      </c>
      <c r="N767" s="61">
        <v>0.68</v>
      </c>
      <c r="O767" s="60">
        <v>11478.42</v>
      </c>
      <c r="P767" s="60">
        <v>11714.89</v>
      </c>
    </row>
    <row r="768" spans="1:16" ht="15" customHeight="1" x14ac:dyDescent="0.3">
      <c r="A768" s="38" t="s">
        <v>1612</v>
      </c>
      <c r="B768" s="39">
        <v>45049</v>
      </c>
      <c r="C768" s="38" t="s">
        <v>1613</v>
      </c>
      <c r="D768" s="38" t="s">
        <v>79</v>
      </c>
      <c r="E768" s="40">
        <v>11831</v>
      </c>
      <c r="F768" s="41">
        <v>0.128</v>
      </c>
      <c r="G768" s="38">
        <v>36</v>
      </c>
      <c r="H768" s="38" t="s">
        <v>35</v>
      </c>
      <c r="I768" s="38" t="s">
        <v>60</v>
      </c>
      <c r="J768" s="38" t="s">
        <v>84</v>
      </c>
      <c r="K768" s="42">
        <v>131407</v>
      </c>
      <c r="L768" s="38" t="s">
        <v>62</v>
      </c>
      <c r="M768" s="43">
        <v>0.43</v>
      </c>
      <c r="N768" s="43">
        <v>0.63</v>
      </c>
      <c r="O768" s="42">
        <v>13345.37</v>
      </c>
      <c r="P768" s="42">
        <v>0</v>
      </c>
    </row>
    <row r="769" spans="1:16" ht="15" customHeight="1" x14ac:dyDescent="0.3">
      <c r="A769" s="38" t="s">
        <v>1614</v>
      </c>
      <c r="B769" s="39">
        <v>45049</v>
      </c>
      <c r="C769" s="38" t="s">
        <v>1615</v>
      </c>
      <c r="D769" s="38" t="s">
        <v>75</v>
      </c>
      <c r="E769" s="40">
        <v>2239</v>
      </c>
      <c r="F769" s="41">
        <v>0.14000000000000001</v>
      </c>
      <c r="G769" s="38">
        <v>60</v>
      </c>
      <c r="H769" s="38" t="s">
        <v>35</v>
      </c>
      <c r="I769" s="38" t="s">
        <v>71</v>
      </c>
      <c r="J769" s="38" t="s">
        <v>76</v>
      </c>
      <c r="K769" s="42">
        <v>76151</v>
      </c>
      <c r="L769" s="38" t="s">
        <v>68</v>
      </c>
      <c r="M769" s="43">
        <v>0.14000000000000001</v>
      </c>
      <c r="N769" s="43">
        <v>0.56999999999999995</v>
      </c>
      <c r="O769" s="42">
        <v>2552.46</v>
      </c>
      <c r="P769" s="42">
        <v>0</v>
      </c>
    </row>
    <row r="770" spans="1:16" ht="15" customHeight="1" x14ac:dyDescent="0.3">
      <c r="A770" s="44" t="s">
        <v>1616</v>
      </c>
      <c r="B770" s="45">
        <v>45050</v>
      </c>
      <c r="C770" s="44" t="s">
        <v>1617</v>
      </c>
      <c r="D770" s="44" t="s">
        <v>88</v>
      </c>
      <c r="E770" s="46">
        <v>2435</v>
      </c>
      <c r="F770" s="47">
        <v>0.20200000000000001</v>
      </c>
      <c r="G770" s="44">
        <v>36</v>
      </c>
      <c r="H770" s="44" t="s">
        <v>36</v>
      </c>
      <c r="I770" s="44" t="s">
        <v>71</v>
      </c>
      <c r="J770" s="44" t="s">
        <v>61</v>
      </c>
      <c r="K770" s="48">
        <v>41094</v>
      </c>
      <c r="L770" s="44" t="s">
        <v>62</v>
      </c>
      <c r="M770" s="49">
        <v>0.42</v>
      </c>
      <c r="N770" s="49">
        <v>0.81</v>
      </c>
      <c r="O770" s="48">
        <v>407.08</v>
      </c>
      <c r="P770" s="48">
        <v>0</v>
      </c>
    </row>
    <row r="771" spans="1:16" ht="15" customHeight="1" x14ac:dyDescent="0.3">
      <c r="A771" s="44" t="s">
        <v>1618</v>
      </c>
      <c r="B771" s="45">
        <v>45050</v>
      </c>
      <c r="C771" s="44" t="s">
        <v>1619</v>
      </c>
      <c r="D771" s="44" t="s">
        <v>59</v>
      </c>
      <c r="E771" s="46">
        <v>23420</v>
      </c>
      <c r="F771" s="47">
        <v>0.11700000000000001</v>
      </c>
      <c r="G771" s="44">
        <v>36</v>
      </c>
      <c r="H771" s="44" t="s">
        <v>36</v>
      </c>
      <c r="I771" s="44" t="s">
        <v>71</v>
      </c>
      <c r="J771" s="44" t="s">
        <v>72</v>
      </c>
      <c r="K771" s="48">
        <v>116567</v>
      </c>
      <c r="L771" s="44" t="s">
        <v>85</v>
      </c>
      <c r="M771" s="49">
        <v>0.23</v>
      </c>
      <c r="N771" s="49">
        <v>0.73</v>
      </c>
      <c r="O771" s="48">
        <v>5945.15</v>
      </c>
      <c r="P771" s="48">
        <v>0</v>
      </c>
    </row>
    <row r="772" spans="1:16" ht="15" customHeight="1" x14ac:dyDescent="0.3">
      <c r="A772" s="44" t="s">
        <v>1620</v>
      </c>
      <c r="B772" s="45">
        <v>45050</v>
      </c>
      <c r="C772" s="44" t="s">
        <v>1621</v>
      </c>
      <c r="D772" s="44" t="s">
        <v>97</v>
      </c>
      <c r="E772" s="46">
        <v>12700</v>
      </c>
      <c r="F772" s="47">
        <v>0.13100000000000001</v>
      </c>
      <c r="G772" s="44">
        <v>60</v>
      </c>
      <c r="H772" s="44" t="s">
        <v>36</v>
      </c>
      <c r="I772" s="44" t="s">
        <v>83</v>
      </c>
      <c r="J772" s="44" t="s">
        <v>61</v>
      </c>
      <c r="K772" s="48">
        <v>95206</v>
      </c>
      <c r="L772" s="44" t="s">
        <v>85</v>
      </c>
      <c r="M772" s="49">
        <v>0.5</v>
      </c>
      <c r="N772" s="49">
        <v>0.68</v>
      </c>
      <c r="O772" s="48">
        <v>1313.12</v>
      </c>
      <c r="P772" s="48">
        <v>0</v>
      </c>
    </row>
    <row r="773" spans="1:16" ht="15" customHeight="1" x14ac:dyDescent="0.3">
      <c r="A773" s="44" t="s">
        <v>1622</v>
      </c>
      <c r="B773" s="45">
        <v>45051</v>
      </c>
      <c r="C773" s="44" t="s">
        <v>1623</v>
      </c>
      <c r="D773" s="44" t="s">
        <v>88</v>
      </c>
      <c r="E773" s="46">
        <v>9436</v>
      </c>
      <c r="F773" s="47">
        <v>0.152</v>
      </c>
      <c r="G773" s="44">
        <v>60</v>
      </c>
      <c r="H773" s="44" t="s">
        <v>36</v>
      </c>
      <c r="I773" s="44" t="s">
        <v>71</v>
      </c>
      <c r="J773" s="44" t="s">
        <v>67</v>
      </c>
      <c r="K773" s="48">
        <v>37485</v>
      </c>
      <c r="L773" s="44" t="s">
        <v>85</v>
      </c>
      <c r="M773" s="49">
        <v>0.33</v>
      </c>
      <c r="N773" s="49">
        <v>0.78</v>
      </c>
      <c r="O773" s="48">
        <v>2248.61</v>
      </c>
      <c r="P773" s="48">
        <v>0</v>
      </c>
    </row>
    <row r="774" spans="1:16" ht="15" customHeight="1" x14ac:dyDescent="0.3">
      <c r="A774" s="56" t="s">
        <v>1624</v>
      </c>
      <c r="B774" s="57">
        <v>45053</v>
      </c>
      <c r="C774" s="56" t="s">
        <v>1625</v>
      </c>
      <c r="D774" s="56" t="s">
        <v>125</v>
      </c>
      <c r="E774" s="58">
        <v>21609</v>
      </c>
      <c r="F774" s="59">
        <v>7.0999999999999994E-2</v>
      </c>
      <c r="G774" s="56">
        <v>60</v>
      </c>
      <c r="H774" s="56" t="s">
        <v>37</v>
      </c>
      <c r="I774" s="56" t="s">
        <v>114</v>
      </c>
      <c r="J774" s="56" t="s">
        <v>72</v>
      </c>
      <c r="K774" s="60">
        <v>132023</v>
      </c>
      <c r="L774" s="56" t="s">
        <v>62</v>
      </c>
      <c r="M774" s="61">
        <v>0.36</v>
      </c>
      <c r="N774" s="61">
        <v>0.88</v>
      </c>
      <c r="O774" s="60">
        <v>2771.85</v>
      </c>
      <c r="P774" s="60">
        <v>10111.4</v>
      </c>
    </row>
    <row r="775" spans="1:16" ht="15" customHeight="1" x14ac:dyDescent="0.3">
      <c r="A775" s="38" t="s">
        <v>1626</v>
      </c>
      <c r="B775" s="39">
        <v>45055</v>
      </c>
      <c r="C775" s="38" t="s">
        <v>1627</v>
      </c>
      <c r="D775" s="38" t="s">
        <v>97</v>
      </c>
      <c r="E775" s="40">
        <v>13115</v>
      </c>
      <c r="F775" s="41">
        <v>0.22</v>
      </c>
      <c r="G775" s="38">
        <v>36</v>
      </c>
      <c r="H775" s="38" t="s">
        <v>35</v>
      </c>
      <c r="I775" s="38" t="s">
        <v>114</v>
      </c>
      <c r="J775" s="38" t="s">
        <v>72</v>
      </c>
      <c r="K775" s="42">
        <v>84722</v>
      </c>
      <c r="L775" s="38" t="s">
        <v>68</v>
      </c>
      <c r="M775" s="43">
        <v>0.11</v>
      </c>
      <c r="N775" s="43">
        <v>0.93</v>
      </c>
      <c r="O775" s="42">
        <v>16000.3</v>
      </c>
      <c r="P775" s="42">
        <v>0</v>
      </c>
    </row>
    <row r="776" spans="1:16" ht="15" customHeight="1" x14ac:dyDescent="0.3">
      <c r="A776" s="38" t="s">
        <v>1628</v>
      </c>
      <c r="B776" s="39">
        <v>45057</v>
      </c>
      <c r="C776" s="38" t="s">
        <v>1629</v>
      </c>
      <c r="D776" s="38" t="s">
        <v>88</v>
      </c>
      <c r="E776" s="40">
        <v>23180</v>
      </c>
      <c r="F776" s="41">
        <v>0.10100000000000001</v>
      </c>
      <c r="G776" s="38">
        <v>60</v>
      </c>
      <c r="H776" s="38" t="s">
        <v>35</v>
      </c>
      <c r="I776" s="38" t="s">
        <v>60</v>
      </c>
      <c r="J776" s="38" t="s">
        <v>76</v>
      </c>
      <c r="K776" s="42">
        <v>41676</v>
      </c>
      <c r="L776" s="38" t="s">
        <v>62</v>
      </c>
      <c r="M776" s="43">
        <v>0.24</v>
      </c>
      <c r="N776" s="43">
        <v>0.82</v>
      </c>
      <c r="O776" s="42">
        <v>25521.18</v>
      </c>
      <c r="P776" s="42">
        <v>0</v>
      </c>
    </row>
    <row r="777" spans="1:16" ht="15" customHeight="1" x14ac:dyDescent="0.3">
      <c r="A777" s="56" t="s">
        <v>1630</v>
      </c>
      <c r="B777" s="57">
        <v>45057</v>
      </c>
      <c r="C777" s="56" t="s">
        <v>1631</v>
      </c>
      <c r="D777" s="56" t="s">
        <v>125</v>
      </c>
      <c r="E777" s="58">
        <v>14261</v>
      </c>
      <c r="F777" s="59">
        <v>0.24399999999999999</v>
      </c>
      <c r="G777" s="56">
        <v>36</v>
      </c>
      <c r="H777" s="56" t="s">
        <v>37</v>
      </c>
      <c r="I777" s="56" t="s">
        <v>60</v>
      </c>
      <c r="J777" s="56" t="s">
        <v>72</v>
      </c>
      <c r="K777" s="60">
        <v>69104</v>
      </c>
      <c r="L777" s="56" t="s">
        <v>62</v>
      </c>
      <c r="M777" s="61">
        <v>0.37</v>
      </c>
      <c r="N777" s="61">
        <v>0.61</v>
      </c>
      <c r="O777" s="60">
        <v>5563.15</v>
      </c>
      <c r="P777" s="60">
        <v>3087.26</v>
      </c>
    </row>
    <row r="778" spans="1:16" ht="15" customHeight="1" x14ac:dyDescent="0.3">
      <c r="A778" s="56" t="s">
        <v>1632</v>
      </c>
      <c r="B778" s="57">
        <v>45060</v>
      </c>
      <c r="C778" s="56" t="s">
        <v>1633</v>
      </c>
      <c r="D778" s="56" t="s">
        <v>125</v>
      </c>
      <c r="E778" s="58">
        <v>10155</v>
      </c>
      <c r="F778" s="59">
        <v>0.21</v>
      </c>
      <c r="G778" s="56">
        <v>60</v>
      </c>
      <c r="H778" s="56" t="s">
        <v>37</v>
      </c>
      <c r="I778" s="56" t="s">
        <v>66</v>
      </c>
      <c r="J778" s="56" t="s">
        <v>76</v>
      </c>
      <c r="K778" s="60">
        <v>82198</v>
      </c>
      <c r="L778" s="56" t="s">
        <v>85</v>
      </c>
      <c r="M778" s="61">
        <v>0.32</v>
      </c>
      <c r="N778" s="61">
        <v>0.78</v>
      </c>
      <c r="O778" s="60">
        <v>3338.92</v>
      </c>
      <c r="P778" s="60">
        <v>989.42</v>
      </c>
    </row>
    <row r="779" spans="1:16" ht="15" customHeight="1" x14ac:dyDescent="0.3">
      <c r="A779" s="38" t="s">
        <v>1634</v>
      </c>
      <c r="B779" s="39">
        <v>45060</v>
      </c>
      <c r="C779" s="38" t="s">
        <v>1635</v>
      </c>
      <c r="D779" s="38" t="s">
        <v>75</v>
      </c>
      <c r="E779" s="40">
        <v>1614</v>
      </c>
      <c r="F779" s="41">
        <v>0.182</v>
      </c>
      <c r="G779" s="38">
        <v>36</v>
      </c>
      <c r="H779" s="38" t="s">
        <v>35</v>
      </c>
      <c r="I779" s="38" t="s">
        <v>83</v>
      </c>
      <c r="J779" s="38" t="s">
        <v>84</v>
      </c>
      <c r="K779" s="42">
        <v>56069</v>
      </c>
      <c r="L779" s="38" t="s">
        <v>85</v>
      </c>
      <c r="M779" s="43">
        <v>0.33</v>
      </c>
      <c r="N779" s="43">
        <v>0.69</v>
      </c>
      <c r="O779" s="42">
        <v>1907.75</v>
      </c>
      <c r="P779" s="42">
        <v>0</v>
      </c>
    </row>
    <row r="780" spans="1:16" ht="15" customHeight="1" x14ac:dyDescent="0.3">
      <c r="A780" s="38" t="s">
        <v>1636</v>
      </c>
      <c r="B780" s="39">
        <v>45061</v>
      </c>
      <c r="C780" s="38" t="s">
        <v>1637</v>
      </c>
      <c r="D780" s="38" t="s">
        <v>138</v>
      </c>
      <c r="E780" s="40">
        <v>4374</v>
      </c>
      <c r="F780" s="41">
        <v>0.108</v>
      </c>
      <c r="G780" s="38">
        <v>36</v>
      </c>
      <c r="H780" s="38" t="s">
        <v>35</v>
      </c>
      <c r="I780" s="38" t="s">
        <v>83</v>
      </c>
      <c r="J780" s="38" t="s">
        <v>72</v>
      </c>
      <c r="K780" s="42">
        <v>62551</v>
      </c>
      <c r="L780" s="38" t="s">
        <v>85</v>
      </c>
      <c r="M780" s="43">
        <v>0.19</v>
      </c>
      <c r="N780" s="43">
        <v>0.56000000000000005</v>
      </c>
      <c r="O780" s="42">
        <v>4846.3900000000003</v>
      </c>
      <c r="P780" s="42">
        <v>0</v>
      </c>
    </row>
    <row r="781" spans="1:16" ht="15" customHeight="1" x14ac:dyDescent="0.3">
      <c r="A781" s="38" t="s">
        <v>1638</v>
      </c>
      <c r="B781" s="39">
        <v>45063</v>
      </c>
      <c r="C781" s="38" t="s">
        <v>1639</v>
      </c>
      <c r="D781" s="38" t="s">
        <v>65</v>
      </c>
      <c r="E781" s="40">
        <v>22730</v>
      </c>
      <c r="F781" s="41">
        <v>8.6999999999999994E-2</v>
      </c>
      <c r="G781" s="38">
        <v>60</v>
      </c>
      <c r="H781" s="38" t="s">
        <v>35</v>
      </c>
      <c r="I781" s="38" t="s">
        <v>60</v>
      </c>
      <c r="J781" s="38" t="s">
        <v>76</v>
      </c>
      <c r="K781" s="42">
        <v>83535</v>
      </c>
      <c r="L781" s="38" t="s">
        <v>62</v>
      </c>
      <c r="M781" s="43">
        <v>0.43</v>
      </c>
      <c r="N781" s="43">
        <v>0.68</v>
      </c>
      <c r="O781" s="42">
        <v>24707.51</v>
      </c>
      <c r="P781" s="42">
        <v>0</v>
      </c>
    </row>
    <row r="782" spans="1:16" ht="15" customHeight="1" x14ac:dyDescent="0.3">
      <c r="A782" s="38" t="s">
        <v>1640</v>
      </c>
      <c r="B782" s="39">
        <v>45063</v>
      </c>
      <c r="C782" s="38" t="s">
        <v>1641</v>
      </c>
      <c r="D782" s="38" t="s">
        <v>97</v>
      </c>
      <c r="E782" s="40">
        <v>23431</v>
      </c>
      <c r="F782" s="41">
        <v>0.18</v>
      </c>
      <c r="G782" s="38">
        <v>60</v>
      </c>
      <c r="H782" s="38" t="s">
        <v>35</v>
      </c>
      <c r="I782" s="38" t="s">
        <v>80</v>
      </c>
      <c r="J782" s="38" t="s">
        <v>76</v>
      </c>
      <c r="K782" s="42">
        <v>112384</v>
      </c>
      <c r="L782" s="38" t="s">
        <v>62</v>
      </c>
      <c r="M782" s="43">
        <v>0.49</v>
      </c>
      <c r="N782" s="43">
        <v>0.56000000000000005</v>
      </c>
      <c r="O782" s="42">
        <v>27648.58</v>
      </c>
      <c r="P782" s="42">
        <v>0</v>
      </c>
    </row>
    <row r="783" spans="1:16" ht="15" customHeight="1" x14ac:dyDescent="0.3">
      <c r="A783" s="38" t="s">
        <v>1642</v>
      </c>
      <c r="B783" s="39">
        <v>45065</v>
      </c>
      <c r="C783" s="38" t="s">
        <v>1643</v>
      </c>
      <c r="D783" s="38" t="s">
        <v>97</v>
      </c>
      <c r="E783" s="40">
        <v>13765</v>
      </c>
      <c r="F783" s="41">
        <v>0.13900000000000001</v>
      </c>
      <c r="G783" s="38">
        <v>36</v>
      </c>
      <c r="H783" s="38" t="s">
        <v>35</v>
      </c>
      <c r="I783" s="38" t="s">
        <v>83</v>
      </c>
      <c r="J783" s="38" t="s">
        <v>76</v>
      </c>
      <c r="K783" s="42">
        <v>147904</v>
      </c>
      <c r="L783" s="38" t="s">
        <v>68</v>
      </c>
      <c r="M783" s="43">
        <v>0.18</v>
      </c>
      <c r="N783" s="43">
        <v>0.62</v>
      </c>
      <c r="O783" s="42">
        <v>15678.34</v>
      </c>
      <c r="P783" s="42">
        <v>0</v>
      </c>
    </row>
    <row r="784" spans="1:16" ht="15" customHeight="1" x14ac:dyDescent="0.3">
      <c r="A784" s="56" t="s">
        <v>1644</v>
      </c>
      <c r="B784" s="57">
        <v>45067</v>
      </c>
      <c r="C784" s="56" t="s">
        <v>1645</v>
      </c>
      <c r="D784" s="56" t="s">
        <v>113</v>
      </c>
      <c r="E784" s="58">
        <v>7737</v>
      </c>
      <c r="F784" s="59">
        <v>0.21199999999999999</v>
      </c>
      <c r="G784" s="56">
        <v>60</v>
      </c>
      <c r="H784" s="56" t="s">
        <v>37</v>
      </c>
      <c r="I784" s="56" t="s">
        <v>83</v>
      </c>
      <c r="J784" s="56" t="s">
        <v>76</v>
      </c>
      <c r="K784" s="60">
        <v>146500</v>
      </c>
      <c r="L784" s="56" t="s">
        <v>68</v>
      </c>
      <c r="M784" s="61">
        <v>0.45</v>
      </c>
      <c r="N784" s="61">
        <v>0.78</v>
      </c>
      <c r="O784" s="60">
        <v>2593.27</v>
      </c>
      <c r="P784" s="60">
        <v>2439.15</v>
      </c>
    </row>
    <row r="785" spans="1:16" ht="15" customHeight="1" x14ac:dyDescent="0.3">
      <c r="A785" s="38" t="s">
        <v>1646</v>
      </c>
      <c r="B785" s="39">
        <v>45068</v>
      </c>
      <c r="C785" s="38" t="s">
        <v>1647</v>
      </c>
      <c r="D785" s="38" t="s">
        <v>108</v>
      </c>
      <c r="E785" s="40">
        <v>1806</v>
      </c>
      <c r="F785" s="41">
        <v>0.17799999999999999</v>
      </c>
      <c r="G785" s="38">
        <v>60</v>
      </c>
      <c r="H785" s="38" t="s">
        <v>35</v>
      </c>
      <c r="I785" s="38" t="s">
        <v>114</v>
      </c>
      <c r="J785" s="38" t="s">
        <v>76</v>
      </c>
      <c r="K785" s="42">
        <v>105542</v>
      </c>
      <c r="L785" s="38" t="s">
        <v>68</v>
      </c>
      <c r="M785" s="43">
        <v>0.32</v>
      </c>
      <c r="N785" s="43">
        <v>0.59</v>
      </c>
      <c r="O785" s="42">
        <v>2127.4699999999998</v>
      </c>
      <c r="P785" s="42">
        <v>0</v>
      </c>
    </row>
    <row r="786" spans="1:16" ht="15" customHeight="1" x14ac:dyDescent="0.3">
      <c r="A786" s="44" t="s">
        <v>1648</v>
      </c>
      <c r="B786" s="45">
        <v>45068</v>
      </c>
      <c r="C786" s="44" t="s">
        <v>1649</v>
      </c>
      <c r="D786" s="44" t="s">
        <v>59</v>
      </c>
      <c r="E786" s="46">
        <v>27116</v>
      </c>
      <c r="F786" s="47">
        <v>0.22900000000000001</v>
      </c>
      <c r="G786" s="44">
        <v>36</v>
      </c>
      <c r="H786" s="44" t="s">
        <v>36</v>
      </c>
      <c r="I786" s="44" t="s">
        <v>71</v>
      </c>
      <c r="J786" s="44" t="s">
        <v>84</v>
      </c>
      <c r="K786" s="48">
        <v>135982</v>
      </c>
      <c r="L786" s="44" t="s">
        <v>62</v>
      </c>
      <c r="M786" s="49">
        <v>0.18</v>
      </c>
      <c r="N786" s="49">
        <v>0.81</v>
      </c>
      <c r="O786" s="48">
        <v>9820.9699999999993</v>
      </c>
      <c r="P786" s="48">
        <v>0</v>
      </c>
    </row>
    <row r="787" spans="1:16" ht="15" customHeight="1" x14ac:dyDescent="0.3">
      <c r="A787" s="38" t="s">
        <v>1650</v>
      </c>
      <c r="B787" s="39">
        <v>45068</v>
      </c>
      <c r="C787" s="38" t="s">
        <v>1651</v>
      </c>
      <c r="D787" s="38" t="s">
        <v>79</v>
      </c>
      <c r="E787" s="40">
        <v>18029</v>
      </c>
      <c r="F787" s="41">
        <v>9.5000000000000001E-2</v>
      </c>
      <c r="G787" s="38">
        <v>60</v>
      </c>
      <c r="H787" s="38" t="s">
        <v>35</v>
      </c>
      <c r="I787" s="38" t="s">
        <v>80</v>
      </c>
      <c r="J787" s="38" t="s">
        <v>72</v>
      </c>
      <c r="K787" s="42">
        <v>34994</v>
      </c>
      <c r="L787" s="38" t="s">
        <v>62</v>
      </c>
      <c r="M787" s="43">
        <v>0.4</v>
      </c>
      <c r="N787" s="43">
        <v>0.8</v>
      </c>
      <c r="O787" s="42">
        <v>19741.759999999998</v>
      </c>
      <c r="P787" s="42">
        <v>0</v>
      </c>
    </row>
    <row r="788" spans="1:16" ht="15" customHeight="1" x14ac:dyDescent="0.3">
      <c r="A788" s="38" t="s">
        <v>1652</v>
      </c>
      <c r="B788" s="39">
        <v>45069</v>
      </c>
      <c r="C788" s="38" t="s">
        <v>1653</v>
      </c>
      <c r="D788" s="38" t="s">
        <v>113</v>
      </c>
      <c r="E788" s="40">
        <v>8421</v>
      </c>
      <c r="F788" s="41">
        <v>0.106</v>
      </c>
      <c r="G788" s="38">
        <v>36</v>
      </c>
      <c r="H788" s="38" t="s">
        <v>35</v>
      </c>
      <c r="I788" s="38" t="s">
        <v>83</v>
      </c>
      <c r="J788" s="38" t="s">
        <v>61</v>
      </c>
      <c r="K788" s="42">
        <v>88817</v>
      </c>
      <c r="L788" s="38" t="s">
        <v>85</v>
      </c>
      <c r="M788" s="43">
        <v>0.25</v>
      </c>
      <c r="N788" s="43">
        <v>0.65</v>
      </c>
      <c r="O788" s="42">
        <v>9313.6299999999992</v>
      </c>
      <c r="P788" s="42">
        <v>0</v>
      </c>
    </row>
    <row r="789" spans="1:16" ht="15" customHeight="1" x14ac:dyDescent="0.3">
      <c r="A789" s="38" t="s">
        <v>1654</v>
      </c>
      <c r="B789" s="39">
        <v>45069</v>
      </c>
      <c r="C789" s="38" t="s">
        <v>1655</v>
      </c>
      <c r="D789" s="38" t="s">
        <v>113</v>
      </c>
      <c r="E789" s="40">
        <v>7368</v>
      </c>
      <c r="F789" s="41">
        <v>0.22500000000000001</v>
      </c>
      <c r="G789" s="38">
        <v>36</v>
      </c>
      <c r="H789" s="38" t="s">
        <v>35</v>
      </c>
      <c r="I789" s="38" t="s">
        <v>60</v>
      </c>
      <c r="J789" s="38" t="s">
        <v>84</v>
      </c>
      <c r="K789" s="42">
        <v>76830</v>
      </c>
      <c r="L789" s="38" t="s">
        <v>85</v>
      </c>
      <c r="M789" s="43">
        <v>0.43</v>
      </c>
      <c r="N789" s="43">
        <v>0.86</v>
      </c>
      <c r="O789" s="42">
        <v>9025.7999999999993</v>
      </c>
      <c r="P789" s="42">
        <v>0</v>
      </c>
    </row>
    <row r="790" spans="1:16" ht="15" customHeight="1" x14ac:dyDescent="0.3">
      <c r="A790" s="38" t="s">
        <v>1656</v>
      </c>
      <c r="B790" s="39">
        <v>45072</v>
      </c>
      <c r="C790" s="38" t="s">
        <v>1657</v>
      </c>
      <c r="D790" s="38" t="s">
        <v>138</v>
      </c>
      <c r="E790" s="40">
        <v>5780</v>
      </c>
      <c r="F790" s="41">
        <v>0.13600000000000001</v>
      </c>
      <c r="G790" s="38">
        <v>60</v>
      </c>
      <c r="H790" s="38" t="s">
        <v>35</v>
      </c>
      <c r="I790" s="38" t="s">
        <v>71</v>
      </c>
      <c r="J790" s="38" t="s">
        <v>76</v>
      </c>
      <c r="K790" s="42">
        <v>120221</v>
      </c>
      <c r="L790" s="38" t="s">
        <v>62</v>
      </c>
      <c r="M790" s="43">
        <v>0.15</v>
      </c>
      <c r="N790" s="43">
        <v>0.73</v>
      </c>
      <c r="O790" s="42">
        <v>6566.08</v>
      </c>
      <c r="P790" s="42">
        <v>0</v>
      </c>
    </row>
    <row r="791" spans="1:16" ht="15" customHeight="1" x14ac:dyDescent="0.3">
      <c r="A791" s="38" t="s">
        <v>1658</v>
      </c>
      <c r="B791" s="39">
        <v>45072</v>
      </c>
      <c r="C791" s="38" t="s">
        <v>1659</v>
      </c>
      <c r="D791" s="38" t="s">
        <v>113</v>
      </c>
      <c r="E791" s="40">
        <v>6656</v>
      </c>
      <c r="F791" s="41">
        <v>0.19600000000000001</v>
      </c>
      <c r="G791" s="38">
        <v>60</v>
      </c>
      <c r="H791" s="38" t="s">
        <v>35</v>
      </c>
      <c r="I791" s="38" t="s">
        <v>83</v>
      </c>
      <c r="J791" s="38" t="s">
        <v>67</v>
      </c>
      <c r="K791" s="42">
        <v>43780</v>
      </c>
      <c r="L791" s="38" t="s">
        <v>62</v>
      </c>
      <c r="M791" s="43">
        <v>0.43</v>
      </c>
      <c r="N791" s="43">
        <v>0.59</v>
      </c>
      <c r="O791" s="42">
        <v>7960.58</v>
      </c>
      <c r="P791" s="42">
        <v>0</v>
      </c>
    </row>
    <row r="792" spans="1:16" ht="15" customHeight="1" x14ac:dyDescent="0.3">
      <c r="A792" s="38" t="s">
        <v>1660</v>
      </c>
      <c r="B792" s="39">
        <v>45073</v>
      </c>
      <c r="C792" s="38" t="s">
        <v>1661</v>
      </c>
      <c r="D792" s="38" t="s">
        <v>59</v>
      </c>
      <c r="E792" s="40">
        <v>14760</v>
      </c>
      <c r="F792" s="41">
        <v>0.22600000000000001</v>
      </c>
      <c r="G792" s="38">
        <v>60</v>
      </c>
      <c r="H792" s="38" t="s">
        <v>35</v>
      </c>
      <c r="I792" s="38" t="s">
        <v>71</v>
      </c>
      <c r="J792" s="38" t="s">
        <v>72</v>
      </c>
      <c r="K792" s="42">
        <v>117438</v>
      </c>
      <c r="L792" s="38" t="s">
        <v>62</v>
      </c>
      <c r="M792" s="43">
        <v>0.27</v>
      </c>
      <c r="N792" s="43">
        <v>0.54</v>
      </c>
      <c r="O792" s="42">
        <v>18095.759999999998</v>
      </c>
      <c r="P792" s="42">
        <v>0</v>
      </c>
    </row>
    <row r="793" spans="1:16" ht="15" customHeight="1" x14ac:dyDescent="0.3">
      <c r="A793" s="50" t="s">
        <v>1662</v>
      </c>
      <c r="B793" s="51">
        <v>45073</v>
      </c>
      <c r="C793" s="50" t="s">
        <v>1663</v>
      </c>
      <c r="D793" s="50" t="s">
        <v>79</v>
      </c>
      <c r="E793" s="52">
        <v>29211</v>
      </c>
      <c r="F793" s="53">
        <v>5.7000000000000002E-2</v>
      </c>
      <c r="G793" s="50">
        <v>36</v>
      </c>
      <c r="H793" s="50" t="s">
        <v>38</v>
      </c>
      <c r="I793" s="50" t="s">
        <v>83</v>
      </c>
      <c r="J793" s="50" t="s">
        <v>72</v>
      </c>
      <c r="K793" s="54">
        <v>108388</v>
      </c>
      <c r="L793" s="50" t="s">
        <v>68</v>
      </c>
      <c r="M793" s="55">
        <v>0.2</v>
      </c>
      <c r="N793" s="55">
        <v>0.89</v>
      </c>
      <c r="O793" s="54">
        <v>0</v>
      </c>
      <c r="P793" s="54">
        <v>0</v>
      </c>
    </row>
    <row r="794" spans="1:16" ht="15" customHeight="1" x14ac:dyDescent="0.3">
      <c r="A794" s="56" t="s">
        <v>1664</v>
      </c>
      <c r="B794" s="57">
        <v>45073</v>
      </c>
      <c r="C794" s="56" t="s">
        <v>1665</v>
      </c>
      <c r="D794" s="56" t="s">
        <v>88</v>
      </c>
      <c r="E794" s="58">
        <v>25860</v>
      </c>
      <c r="F794" s="59">
        <v>0.129</v>
      </c>
      <c r="G794" s="56">
        <v>60</v>
      </c>
      <c r="H794" s="56" t="s">
        <v>37</v>
      </c>
      <c r="I794" s="56" t="s">
        <v>60</v>
      </c>
      <c r="J794" s="56" t="s">
        <v>76</v>
      </c>
      <c r="K794" s="60">
        <v>119765</v>
      </c>
      <c r="L794" s="56" t="s">
        <v>85</v>
      </c>
      <c r="M794" s="61">
        <v>0.28000000000000003</v>
      </c>
      <c r="N794" s="61">
        <v>0.74</v>
      </c>
      <c r="O794" s="60">
        <v>6261.43</v>
      </c>
      <c r="P794" s="60">
        <v>5898.18</v>
      </c>
    </row>
    <row r="795" spans="1:16" ht="15" customHeight="1" x14ac:dyDescent="0.3">
      <c r="A795" s="56" t="s">
        <v>1666</v>
      </c>
      <c r="B795" s="57">
        <v>45074</v>
      </c>
      <c r="C795" s="56" t="s">
        <v>1667</v>
      </c>
      <c r="D795" s="56" t="s">
        <v>108</v>
      </c>
      <c r="E795" s="58">
        <v>34660</v>
      </c>
      <c r="F795" s="59">
        <v>0.23200000000000001</v>
      </c>
      <c r="G795" s="56">
        <v>60</v>
      </c>
      <c r="H795" s="56" t="s">
        <v>37</v>
      </c>
      <c r="I795" s="56" t="s">
        <v>71</v>
      </c>
      <c r="J795" s="56" t="s">
        <v>72</v>
      </c>
      <c r="K795" s="60">
        <v>74535</v>
      </c>
      <c r="L795" s="56" t="s">
        <v>85</v>
      </c>
      <c r="M795" s="61">
        <v>0.28000000000000003</v>
      </c>
      <c r="N795" s="61">
        <v>0.57999999999999996</v>
      </c>
      <c r="O795" s="60">
        <v>3659.1</v>
      </c>
      <c r="P795" s="60">
        <v>4720.7299999999996</v>
      </c>
    </row>
    <row r="796" spans="1:16" ht="15" customHeight="1" x14ac:dyDescent="0.3">
      <c r="A796" s="38" t="s">
        <v>1668</v>
      </c>
      <c r="B796" s="39">
        <v>45075</v>
      </c>
      <c r="C796" s="38" t="s">
        <v>1669</v>
      </c>
      <c r="D796" s="38" t="s">
        <v>65</v>
      </c>
      <c r="E796" s="40">
        <v>4020</v>
      </c>
      <c r="F796" s="41">
        <v>0.16200000000000001</v>
      </c>
      <c r="G796" s="38">
        <v>36</v>
      </c>
      <c r="H796" s="38" t="s">
        <v>35</v>
      </c>
      <c r="I796" s="38" t="s">
        <v>66</v>
      </c>
      <c r="J796" s="38" t="s">
        <v>72</v>
      </c>
      <c r="K796" s="42">
        <v>122617</v>
      </c>
      <c r="L796" s="38" t="s">
        <v>68</v>
      </c>
      <c r="M796" s="43">
        <v>0.3</v>
      </c>
      <c r="N796" s="43">
        <v>0.56000000000000005</v>
      </c>
      <c r="O796" s="42">
        <v>4671.24</v>
      </c>
      <c r="P796" s="42">
        <v>0</v>
      </c>
    </row>
    <row r="797" spans="1:16" ht="15" customHeight="1" x14ac:dyDescent="0.3">
      <c r="A797" s="38" t="s">
        <v>1670</v>
      </c>
      <c r="B797" s="39">
        <v>45075</v>
      </c>
      <c r="C797" s="38" t="s">
        <v>1671</v>
      </c>
      <c r="D797" s="38" t="s">
        <v>138</v>
      </c>
      <c r="E797" s="40">
        <v>21581</v>
      </c>
      <c r="F797" s="41">
        <v>0.105</v>
      </c>
      <c r="G797" s="38">
        <v>36</v>
      </c>
      <c r="H797" s="38" t="s">
        <v>35</v>
      </c>
      <c r="I797" s="38" t="s">
        <v>83</v>
      </c>
      <c r="J797" s="38" t="s">
        <v>84</v>
      </c>
      <c r="K797" s="42">
        <v>72239</v>
      </c>
      <c r="L797" s="38" t="s">
        <v>62</v>
      </c>
      <c r="M797" s="43">
        <v>0.23</v>
      </c>
      <c r="N797" s="43">
        <v>0.88</v>
      </c>
      <c r="O797" s="42">
        <v>23847</v>
      </c>
      <c r="P797" s="42">
        <v>0</v>
      </c>
    </row>
    <row r="798" spans="1:16" ht="15" customHeight="1" x14ac:dyDescent="0.3">
      <c r="A798" s="44" t="s">
        <v>1672</v>
      </c>
      <c r="B798" s="45">
        <v>45077</v>
      </c>
      <c r="C798" s="44" t="s">
        <v>1673</v>
      </c>
      <c r="D798" s="44" t="s">
        <v>79</v>
      </c>
      <c r="E798" s="46">
        <v>35157</v>
      </c>
      <c r="F798" s="47">
        <v>0.16300000000000001</v>
      </c>
      <c r="G798" s="44">
        <v>60</v>
      </c>
      <c r="H798" s="44" t="s">
        <v>36</v>
      </c>
      <c r="I798" s="44" t="s">
        <v>66</v>
      </c>
      <c r="J798" s="44" t="s">
        <v>84</v>
      </c>
      <c r="K798" s="48">
        <v>45899</v>
      </c>
      <c r="L798" s="44" t="s">
        <v>68</v>
      </c>
      <c r="M798" s="49">
        <v>0.42</v>
      </c>
      <c r="N798" s="49">
        <v>0.55000000000000004</v>
      </c>
      <c r="O798" s="48">
        <v>12505.08</v>
      </c>
      <c r="P798" s="48">
        <v>0</v>
      </c>
    </row>
    <row r="799" spans="1:16" ht="15" customHeight="1" x14ac:dyDescent="0.3">
      <c r="A799" s="44" t="s">
        <v>1674</v>
      </c>
      <c r="B799" s="45">
        <v>45077</v>
      </c>
      <c r="C799" s="44" t="s">
        <v>1675</v>
      </c>
      <c r="D799" s="44" t="s">
        <v>125</v>
      </c>
      <c r="E799" s="46">
        <v>18658</v>
      </c>
      <c r="F799" s="47">
        <v>0.114</v>
      </c>
      <c r="G799" s="44">
        <v>60</v>
      </c>
      <c r="H799" s="44" t="s">
        <v>36</v>
      </c>
      <c r="I799" s="44" t="s">
        <v>60</v>
      </c>
      <c r="J799" s="44" t="s">
        <v>67</v>
      </c>
      <c r="K799" s="48">
        <v>74739</v>
      </c>
      <c r="L799" s="44" t="s">
        <v>68</v>
      </c>
      <c r="M799" s="49">
        <v>0.41</v>
      </c>
      <c r="N799" s="49">
        <v>0.82</v>
      </c>
      <c r="O799" s="48">
        <v>7535.32</v>
      </c>
      <c r="P799" s="48">
        <v>0</v>
      </c>
    </row>
    <row r="800" spans="1:16" ht="15" customHeight="1" x14ac:dyDescent="0.3">
      <c r="A800" s="38" t="s">
        <v>1676</v>
      </c>
      <c r="B800" s="39">
        <v>45077</v>
      </c>
      <c r="C800" s="38" t="s">
        <v>1677</v>
      </c>
      <c r="D800" s="38" t="s">
        <v>88</v>
      </c>
      <c r="E800" s="40">
        <v>22675</v>
      </c>
      <c r="F800" s="41">
        <v>0.14499999999999999</v>
      </c>
      <c r="G800" s="38">
        <v>60</v>
      </c>
      <c r="H800" s="38" t="s">
        <v>35</v>
      </c>
      <c r="I800" s="38" t="s">
        <v>83</v>
      </c>
      <c r="J800" s="38" t="s">
        <v>72</v>
      </c>
      <c r="K800" s="42">
        <v>84200</v>
      </c>
      <c r="L800" s="38" t="s">
        <v>62</v>
      </c>
      <c r="M800" s="43">
        <v>0.22</v>
      </c>
      <c r="N800" s="43">
        <v>0.9</v>
      </c>
      <c r="O800" s="42">
        <v>25962.880000000001</v>
      </c>
      <c r="P800" s="42">
        <v>0</v>
      </c>
    </row>
    <row r="801" spans="1:16" ht="15" customHeight="1" x14ac:dyDescent="0.3">
      <c r="A801" s="38" t="s">
        <v>1678</v>
      </c>
      <c r="B801" s="39">
        <v>45079</v>
      </c>
      <c r="C801" s="38" t="s">
        <v>1679</v>
      </c>
      <c r="D801" s="38" t="s">
        <v>113</v>
      </c>
      <c r="E801" s="40">
        <v>5599</v>
      </c>
      <c r="F801" s="41">
        <v>0.129</v>
      </c>
      <c r="G801" s="38">
        <v>60</v>
      </c>
      <c r="H801" s="38" t="s">
        <v>35</v>
      </c>
      <c r="I801" s="38" t="s">
        <v>71</v>
      </c>
      <c r="J801" s="38" t="s">
        <v>76</v>
      </c>
      <c r="K801" s="42">
        <v>100744</v>
      </c>
      <c r="L801" s="38" t="s">
        <v>85</v>
      </c>
      <c r="M801" s="43">
        <v>0.47</v>
      </c>
      <c r="N801" s="43">
        <v>0.81</v>
      </c>
      <c r="O801" s="42">
        <v>6321.27</v>
      </c>
      <c r="P801" s="42">
        <v>0</v>
      </c>
    </row>
    <row r="802" spans="1:16" ht="15" customHeight="1" x14ac:dyDescent="0.3">
      <c r="A802" s="56" t="s">
        <v>1680</v>
      </c>
      <c r="B802" s="57">
        <v>45079</v>
      </c>
      <c r="C802" s="56" t="s">
        <v>1681</v>
      </c>
      <c r="D802" s="56" t="s">
        <v>97</v>
      </c>
      <c r="E802" s="58">
        <v>36757</v>
      </c>
      <c r="F802" s="59">
        <v>0.151</v>
      </c>
      <c r="G802" s="56">
        <v>36</v>
      </c>
      <c r="H802" s="56" t="s">
        <v>37</v>
      </c>
      <c r="I802" s="56" t="s">
        <v>80</v>
      </c>
      <c r="J802" s="56" t="s">
        <v>72</v>
      </c>
      <c r="K802" s="60">
        <v>82495</v>
      </c>
      <c r="L802" s="56" t="s">
        <v>68</v>
      </c>
      <c r="M802" s="61">
        <v>0.31</v>
      </c>
      <c r="N802" s="61">
        <v>0.62</v>
      </c>
      <c r="O802" s="60">
        <v>8800.92</v>
      </c>
      <c r="P802" s="60">
        <v>6346.33</v>
      </c>
    </row>
    <row r="803" spans="1:16" ht="15" customHeight="1" x14ac:dyDescent="0.3">
      <c r="A803" s="38" t="s">
        <v>1682</v>
      </c>
      <c r="B803" s="39">
        <v>45080</v>
      </c>
      <c r="C803" s="38" t="s">
        <v>1683</v>
      </c>
      <c r="D803" s="38" t="s">
        <v>125</v>
      </c>
      <c r="E803" s="40">
        <v>12939</v>
      </c>
      <c r="F803" s="41">
        <v>0.13800000000000001</v>
      </c>
      <c r="G803" s="38">
        <v>60</v>
      </c>
      <c r="H803" s="38" t="s">
        <v>35</v>
      </c>
      <c r="I803" s="38" t="s">
        <v>83</v>
      </c>
      <c r="J803" s="38" t="s">
        <v>67</v>
      </c>
      <c r="K803" s="42">
        <v>55613</v>
      </c>
      <c r="L803" s="38" t="s">
        <v>85</v>
      </c>
      <c r="M803" s="43">
        <v>0.37</v>
      </c>
      <c r="N803" s="43">
        <v>0.81</v>
      </c>
      <c r="O803" s="42">
        <v>14724.58</v>
      </c>
      <c r="P803" s="42">
        <v>0</v>
      </c>
    </row>
    <row r="804" spans="1:16" ht="15" customHeight="1" x14ac:dyDescent="0.3">
      <c r="A804" s="44" t="s">
        <v>1684</v>
      </c>
      <c r="B804" s="45">
        <v>45080</v>
      </c>
      <c r="C804" s="44" t="s">
        <v>1685</v>
      </c>
      <c r="D804" s="44" t="s">
        <v>125</v>
      </c>
      <c r="E804" s="46">
        <v>21144</v>
      </c>
      <c r="F804" s="47">
        <v>0.08</v>
      </c>
      <c r="G804" s="44">
        <v>60</v>
      </c>
      <c r="H804" s="44" t="s">
        <v>36</v>
      </c>
      <c r="I804" s="44" t="s">
        <v>114</v>
      </c>
      <c r="J804" s="44" t="s">
        <v>76</v>
      </c>
      <c r="K804" s="48">
        <v>52588</v>
      </c>
      <c r="L804" s="44" t="s">
        <v>85</v>
      </c>
      <c r="M804" s="49">
        <v>0.14000000000000001</v>
      </c>
      <c r="N804" s="49">
        <v>0.89</v>
      </c>
      <c r="O804" s="48">
        <v>5994.33</v>
      </c>
      <c r="P804" s="48">
        <v>0</v>
      </c>
    </row>
    <row r="805" spans="1:16" ht="15" customHeight="1" x14ac:dyDescent="0.3">
      <c r="A805" s="38" t="s">
        <v>1686</v>
      </c>
      <c r="B805" s="39">
        <v>45081</v>
      </c>
      <c r="C805" s="38" t="s">
        <v>1687</v>
      </c>
      <c r="D805" s="38" t="s">
        <v>59</v>
      </c>
      <c r="E805" s="40">
        <v>27015</v>
      </c>
      <c r="F805" s="41">
        <v>0.245</v>
      </c>
      <c r="G805" s="38">
        <v>36</v>
      </c>
      <c r="H805" s="38" t="s">
        <v>35</v>
      </c>
      <c r="I805" s="38" t="s">
        <v>114</v>
      </c>
      <c r="J805" s="38" t="s">
        <v>61</v>
      </c>
      <c r="K805" s="42">
        <v>102489</v>
      </c>
      <c r="L805" s="38" t="s">
        <v>68</v>
      </c>
      <c r="M805" s="43">
        <v>0.12</v>
      </c>
      <c r="N805" s="43">
        <v>0.95</v>
      </c>
      <c r="O805" s="42">
        <v>33633.68</v>
      </c>
      <c r="P805" s="42">
        <v>0</v>
      </c>
    </row>
    <row r="806" spans="1:16" ht="15" customHeight="1" x14ac:dyDescent="0.3">
      <c r="A806" s="38" t="s">
        <v>1688</v>
      </c>
      <c r="B806" s="39">
        <v>45082</v>
      </c>
      <c r="C806" s="38" t="s">
        <v>1689</v>
      </c>
      <c r="D806" s="38" t="s">
        <v>125</v>
      </c>
      <c r="E806" s="40">
        <v>16282</v>
      </c>
      <c r="F806" s="41">
        <v>7.5999999999999998E-2</v>
      </c>
      <c r="G806" s="38">
        <v>36</v>
      </c>
      <c r="H806" s="38" t="s">
        <v>35</v>
      </c>
      <c r="I806" s="38" t="s">
        <v>114</v>
      </c>
      <c r="J806" s="38" t="s">
        <v>72</v>
      </c>
      <c r="K806" s="42">
        <v>77893</v>
      </c>
      <c r="L806" s="38" t="s">
        <v>68</v>
      </c>
      <c r="M806" s="43">
        <v>0.26</v>
      </c>
      <c r="N806" s="43">
        <v>0.75</v>
      </c>
      <c r="O806" s="42">
        <v>17519.43</v>
      </c>
      <c r="P806" s="42">
        <v>0</v>
      </c>
    </row>
    <row r="807" spans="1:16" ht="15" customHeight="1" x14ac:dyDescent="0.3">
      <c r="A807" s="44" t="s">
        <v>1690</v>
      </c>
      <c r="B807" s="45">
        <v>45084</v>
      </c>
      <c r="C807" s="44" t="s">
        <v>1691</v>
      </c>
      <c r="D807" s="44" t="s">
        <v>108</v>
      </c>
      <c r="E807" s="46">
        <v>19880</v>
      </c>
      <c r="F807" s="47">
        <v>5.8000000000000003E-2</v>
      </c>
      <c r="G807" s="44">
        <v>60</v>
      </c>
      <c r="H807" s="44" t="s">
        <v>36</v>
      </c>
      <c r="I807" s="44" t="s">
        <v>80</v>
      </c>
      <c r="J807" s="44" t="s">
        <v>72</v>
      </c>
      <c r="K807" s="48">
        <v>40703</v>
      </c>
      <c r="L807" s="44" t="s">
        <v>85</v>
      </c>
      <c r="M807" s="49">
        <v>0.34</v>
      </c>
      <c r="N807" s="49">
        <v>0.69</v>
      </c>
      <c r="O807" s="48">
        <v>5252.13</v>
      </c>
      <c r="P807" s="48">
        <v>0</v>
      </c>
    </row>
    <row r="808" spans="1:16" ht="15" customHeight="1" x14ac:dyDescent="0.3">
      <c r="A808" s="44" t="s">
        <v>1692</v>
      </c>
      <c r="B808" s="45">
        <v>45087</v>
      </c>
      <c r="C808" s="44" t="s">
        <v>1693</v>
      </c>
      <c r="D808" s="44" t="s">
        <v>88</v>
      </c>
      <c r="E808" s="46">
        <v>4389</v>
      </c>
      <c r="F808" s="47">
        <v>0.17399999999999999</v>
      </c>
      <c r="G808" s="44">
        <v>60</v>
      </c>
      <c r="H808" s="44" t="s">
        <v>36</v>
      </c>
      <c r="I808" s="44" t="s">
        <v>71</v>
      </c>
      <c r="J808" s="44" t="s">
        <v>67</v>
      </c>
      <c r="K808" s="48">
        <v>64314</v>
      </c>
      <c r="L808" s="44" t="s">
        <v>68</v>
      </c>
      <c r="M808" s="49">
        <v>0.45</v>
      </c>
      <c r="N808" s="49">
        <v>0.89</v>
      </c>
      <c r="O808" s="48">
        <v>1442.19</v>
      </c>
      <c r="P808" s="48">
        <v>0</v>
      </c>
    </row>
    <row r="809" spans="1:16" ht="15" customHeight="1" x14ac:dyDescent="0.3">
      <c r="A809" s="44" t="s">
        <v>1694</v>
      </c>
      <c r="B809" s="45">
        <v>45088</v>
      </c>
      <c r="C809" s="44" t="s">
        <v>1695</v>
      </c>
      <c r="D809" s="44" t="s">
        <v>108</v>
      </c>
      <c r="E809" s="46">
        <v>18850</v>
      </c>
      <c r="F809" s="47">
        <v>0.22600000000000001</v>
      </c>
      <c r="G809" s="44">
        <v>36</v>
      </c>
      <c r="H809" s="44" t="s">
        <v>36</v>
      </c>
      <c r="I809" s="44" t="s">
        <v>60</v>
      </c>
      <c r="J809" s="44" t="s">
        <v>72</v>
      </c>
      <c r="K809" s="48">
        <v>117796</v>
      </c>
      <c r="L809" s="44" t="s">
        <v>62</v>
      </c>
      <c r="M809" s="49">
        <v>0.15</v>
      </c>
      <c r="N809" s="49">
        <v>0.63</v>
      </c>
      <c r="O809" s="48">
        <v>8480.84</v>
      </c>
      <c r="P809" s="48">
        <v>0</v>
      </c>
    </row>
    <row r="810" spans="1:16" ht="15" customHeight="1" x14ac:dyDescent="0.3">
      <c r="A810" s="38" t="s">
        <v>1696</v>
      </c>
      <c r="B810" s="39">
        <v>45091</v>
      </c>
      <c r="C810" s="38" t="s">
        <v>1697</v>
      </c>
      <c r="D810" s="38" t="s">
        <v>138</v>
      </c>
      <c r="E810" s="40">
        <v>3920</v>
      </c>
      <c r="F810" s="41">
        <v>6.3E-2</v>
      </c>
      <c r="G810" s="38">
        <v>60</v>
      </c>
      <c r="H810" s="38" t="s">
        <v>35</v>
      </c>
      <c r="I810" s="38" t="s">
        <v>66</v>
      </c>
      <c r="J810" s="38" t="s">
        <v>67</v>
      </c>
      <c r="K810" s="42">
        <v>112956</v>
      </c>
      <c r="L810" s="38" t="s">
        <v>68</v>
      </c>
      <c r="M810" s="43">
        <v>0.35</v>
      </c>
      <c r="N810" s="43">
        <v>0.63</v>
      </c>
      <c r="O810" s="42">
        <v>4166.96</v>
      </c>
      <c r="P810" s="42">
        <v>0</v>
      </c>
    </row>
    <row r="811" spans="1:16" ht="15" customHeight="1" x14ac:dyDescent="0.3">
      <c r="A811" s="38" t="s">
        <v>1698</v>
      </c>
      <c r="B811" s="39">
        <v>45092</v>
      </c>
      <c r="C811" s="38" t="s">
        <v>1699</v>
      </c>
      <c r="D811" s="38" t="s">
        <v>75</v>
      </c>
      <c r="E811" s="40">
        <v>18434</v>
      </c>
      <c r="F811" s="41">
        <v>0.22600000000000001</v>
      </c>
      <c r="G811" s="38">
        <v>36</v>
      </c>
      <c r="H811" s="38" t="s">
        <v>35</v>
      </c>
      <c r="I811" s="38" t="s">
        <v>83</v>
      </c>
      <c r="J811" s="38" t="s">
        <v>72</v>
      </c>
      <c r="K811" s="42">
        <v>146545</v>
      </c>
      <c r="L811" s="38" t="s">
        <v>68</v>
      </c>
      <c r="M811" s="43">
        <v>0.37</v>
      </c>
      <c r="N811" s="43">
        <v>0.61</v>
      </c>
      <c r="O811" s="42">
        <v>22600.080000000002</v>
      </c>
      <c r="P811" s="42">
        <v>0</v>
      </c>
    </row>
    <row r="812" spans="1:16" ht="15" customHeight="1" x14ac:dyDescent="0.3">
      <c r="A812" s="38" t="s">
        <v>1700</v>
      </c>
      <c r="B812" s="39">
        <v>45093</v>
      </c>
      <c r="C812" s="38" t="s">
        <v>1701</v>
      </c>
      <c r="D812" s="38" t="s">
        <v>59</v>
      </c>
      <c r="E812" s="40">
        <v>18320</v>
      </c>
      <c r="F812" s="41">
        <v>8.3000000000000004E-2</v>
      </c>
      <c r="G812" s="38">
        <v>36</v>
      </c>
      <c r="H812" s="38" t="s">
        <v>35</v>
      </c>
      <c r="I812" s="38" t="s">
        <v>80</v>
      </c>
      <c r="J812" s="38" t="s">
        <v>67</v>
      </c>
      <c r="K812" s="42">
        <v>120880</v>
      </c>
      <c r="L812" s="38" t="s">
        <v>68</v>
      </c>
      <c r="M812" s="43">
        <v>0.49</v>
      </c>
      <c r="N812" s="43">
        <v>0.63</v>
      </c>
      <c r="O812" s="42">
        <v>19840.560000000001</v>
      </c>
      <c r="P812" s="42">
        <v>0</v>
      </c>
    </row>
    <row r="813" spans="1:16" ht="15" customHeight="1" x14ac:dyDescent="0.3">
      <c r="A813" s="44" t="s">
        <v>1702</v>
      </c>
      <c r="B813" s="45">
        <v>45093</v>
      </c>
      <c r="C813" s="44" t="s">
        <v>1703</v>
      </c>
      <c r="D813" s="44" t="s">
        <v>97</v>
      </c>
      <c r="E813" s="46">
        <v>36612</v>
      </c>
      <c r="F813" s="47">
        <v>0.19700000000000001</v>
      </c>
      <c r="G813" s="44">
        <v>36</v>
      </c>
      <c r="H813" s="44" t="s">
        <v>36</v>
      </c>
      <c r="I813" s="44" t="s">
        <v>66</v>
      </c>
      <c r="J813" s="44" t="s">
        <v>72</v>
      </c>
      <c r="K813" s="48">
        <v>105602</v>
      </c>
      <c r="L813" s="44" t="s">
        <v>62</v>
      </c>
      <c r="M813" s="49">
        <v>0.46</v>
      </c>
      <c r="N813" s="49">
        <v>0.81</v>
      </c>
      <c r="O813" s="48">
        <v>7072.66</v>
      </c>
      <c r="P813" s="48">
        <v>0</v>
      </c>
    </row>
    <row r="814" spans="1:16" ht="15" customHeight="1" x14ac:dyDescent="0.3">
      <c r="A814" s="56" t="s">
        <v>1704</v>
      </c>
      <c r="B814" s="57">
        <v>45094</v>
      </c>
      <c r="C814" s="56" t="s">
        <v>1705</v>
      </c>
      <c r="D814" s="56" t="s">
        <v>138</v>
      </c>
      <c r="E814" s="58">
        <v>27160</v>
      </c>
      <c r="F814" s="59">
        <v>0.05</v>
      </c>
      <c r="G814" s="56">
        <v>36</v>
      </c>
      <c r="H814" s="56" t="s">
        <v>37</v>
      </c>
      <c r="I814" s="56" t="s">
        <v>257</v>
      </c>
      <c r="J814" s="56" t="s">
        <v>61</v>
      </c>
      <c r="K814" s="60">
        <v>55068</v>
      </c>
      <c r="L814" s="56" t="s">
        <v>62</v>
      </c>
      <c r="M814" s="61">
        <v>0.42</v>
      </c>
      <c r="N814" s="61">
        <v>0.84</v>
      </c>
      <c r="O814" s="60">
        <v>9183.2099999999991</v>
      </c>
      <c r="P814" s="60">
        <v>3538.73</v>
      </c>
    </row>
    <row r="815" spans="1:16" ht="15" customHeight="1" x14ac:dyDescent="0.3">
      <c r="A815" s="38" t="s">
        <v>1706</v>
      </c>
      <c r="B815" s="39">
        <v>45094</v>
      </c>
      <c r="C815" s="38" t="s">
        <v>1707</v>
      </c>
      <c r="D815" s="38" t="s">
        <v>97</v>
      </c>
      <c r="E815" s="40">
        <v>32987</v>
      </c>
      <c r="F815" s="41">
        <v>0.10100000000000001</v>
      </c>
      <c r="G815" s="38">
        <v>36</v>
      </c>
      <c r="H815" s="38" t="s">
        <v>35</v>
      </c>
      <c r="I815" s="38" t="s">
        <v>60</v>
      </c>
      <c r="J815" s="38" t="s">
        <v>72</v>
      </c>
      <c r="K815" s="42">
        <v>63402</v>
      </c>
      <c r="L815" s="38" t="s">
        <v>68</v>
      </c>
      <c r="M815" s="43">
        <v>0.32</v>
      </c>
      <c r="N815" s="43">
        <v>0.87</v>
      </c>
      <c r="O815" s="42">
        <v>36318.69</v>
      </c>
      <c r="P815" s="42">
        <v>0</v>
      </c>
    </row>
    <row r="816" spans="1:16" ht="15" customHeight="1" x14ac:dyDescent="0.3">
      <c r="A816" s="44" t="s">
        <v>1708</v>
      </c>
      <c r="B816" s="45">
        <v>45095</v>
      </c>
      <c r="C816" s="44" t="s">
        <v>1709</v>
      </c>
      <c r="D816" s="44" t="s">
        <v>59</v>
      </c>
      <c r="E816" s="46">
        <v>21829</v>
      </c>
      <c r="F816" s="47">
        <v>0.154</v>
      </c>
      <c r="G816" s="44">
        <v>60</v>
      </c>
      <c r="H816" s="44" t="s">
        <v>36</v>
      </c>
      <c r="I816" s="44" t="s">
        <v>60</v>
      </c>
      <c r="J816" s="44" t="s">
        <v>76</v>
      </c>
      <c r="K816" s="48">
        <v>104795</v>
      </c>
      <c r="L816" s="44" t="s">
        <v>62</v>
      </c>
      <c r="M816" s="49">
        <v>0.13</v>
      </c>
      <c r="N816" s="49">
        <v>0.72</v>
      </c>
      <c r="O816" s="48">
        <v>7441.09</v>
      </c>
      <c r="P816" s="48">
        <v>0</v>
      </c>
    </row>
    <row r="817" spans="1:16" ht="15" customHeight="1" x14ac:dyDescent="0.3">
      <c r="A817" s="56" t="s">
        <v>1710</v>
      </c>
      <c r="B817" s="57">
        <v>45096</v>
      </c>
      <c r="C817" s="56" t="s">
        <v>1711</v>
      </c>
      <c r="D817" s="56" t="s">
        <v>75</v>
      </c>
      <c r="E817" s="58">
        <v>20508</v>
      </c>
      <c r="F817" s="59">
        <v>5.0999999999999997E-2</v>
      </c>
      <c r="G817" s="56">
        <v>60</v>
      </c>
      <c r="H817" s="56" t="s">
        <v>37</v>
      </c>
      <c r="I817" s="56" t="s">
        <v>60</v>
      </c>
      <c r="J817" s="56" t="s">
        <v>76</v>
      </c>
      <c r="K817" s="60">
        <v>144995</v>
      </c>
      <c r="L817" s="56" t="s">
        <v>62</v>
      </c>
      <c r="M817" s="61">
        <v>0.34</v>
      </c>
      <c r="N817" s="61">
        <v>0.72</v>
      </c>
      <c r="O817" s="60">
        <v>2495.92</v>
      </c>
      <c r="P817" s="60">
        <v>3057.79</v>
      </c>
    </row>
    <row r="818" spans="1:16" ht="15" customHeight="1" x14ac:dyDescent="0.3">
      <c r="A818" s="38" t="s">
        <v>1712</v>
      </c>
      <c r="B818" s="39">
        <v>45096</v>
      </c>
      <c r="C818" s="38" t="s">
        <v>1713</v>
      </c>
      <c r="D818" s="38" t="s">
        <v>108</v>
      </c>
      <c r="E818" s="40">
        <v>27984</v>
      </c>
      <c r="F818" s="41">
        <v>0.20799999999999999</v>
      </c>
      <c r="G818" s="38">
        <v>36</v>
      </c>
      <c r="H818" s="38" t="s">
        <v>35</v>
      </c>
      <c r="I818" s="38" t="s">
        <v>83</v>
      </c>
      <c r="J818" s="38" t="s">
        <v>72</v>
      </c>
      <c r="K818" s="42">
        <v>93400</v>
      </c>
      <c r="L818" s="38" t="s">
        <v>85</v>
      </c>
      <c r="M818" s="43">
        <v>0.18</v>
      </c>
      <c r="N818" s="43">
        <v>0.61</v>
      </c>
      <c r="O818" s="42">
        <v>33804.67</v>
      </c>
      <c r="P818" s="42">
        <v>0</v>
      </c>
    </row>
    <row r="819" spans="1:16" ht="15" customHeight="1" x14ac:dyDescent="0.3">
      <c r="A819" s="38" t="s">
        <v>1714</v>
      </c>
      <c r="B819" s="39">
        <v>45096</v>
      </c>
      <c r="C819" s="38" t="s">
        <v>1715</v>
      </c>
      <c r="D819" s="38" t="s">
        <v>97</v>
      </c>
      <c r="E819" s="40">
        <v>39006</v>
      </c>
      <c r="F819" s="41">
        <v>0.22800000000000001</v>
      </c>
      <c r="G819" s="38">
        <v>60</v>
      </c>
      <c r="H819" s="38" t="s">
        <v>35</v>
      </c>
      <c r="I819" s="38" t="s">
        <v>80</v>
      </c>
      <c r="J819" s="38" t="s">
        <v>61</v>
      </c>
      <c r="K819" s="42">
        <v>93293</v>
      </c>
      <c r="L819" s="38" t="s">
        <v>62</v>
      </c>
      <c r="M819" s="43">
        <v>0.34</v>
      </c>
      <c r="N819" s="43">
        <v>0.67</v>
      </c>
      <c r="O819" s="42">
        <v>47899.37</v>
      </c>
      <c r="P819" s="42">
        <v>0</v>
      </c>
    </row>
    <row r="820" spans="1:16" ht="15" customHeight="1" x14ac:dyDescent="0.3">
      <c r="A820" s="44" t="s">
        <v>1716</v>
      </c>
      <c r="B820" s="45">
        <v>45098</v>
      </c>
      <c r="C820" s="44" t="s">
        <v>1717</v>
      </c>
      <c r="D820" s="44" t="s">
        <v>138</v>
      </c>
      <c r="E820" s="46">
        <v>24384</v>
      </c>
      <c r="F820" s="47">
        <v>0.20899999999999999</v>
      </c>
      <c r="G820" s="44">
        <v>60</v>
      </c>
      <c r="H820" s="44" t="s">
        <v>36</v>
      </c>
      <c r="I820" s="44" t="s">
        <v>83</v>
      </c>
      <c r="J820" s="44" t="s">
        <v>76</v>
      </c>
      <c r="K820" s="48">
        <v>132789</v>
      </c>
      <c r="L820" s="44" t="s">
        <v>62</v>
      </c>
      <c r="M820" s="49">
        <v>0.12</v>
      </c>
      <c r="N820" s="49">
        <v>0.9</v>
      </c>
      <c r="O820" s="48">
        <v>7914.57</v>
      </c>
      <c r="P820" s="48">
        <v>0</v>
      </c>
    </row>
    <row r="821" spans="1:16" ht="15" customHeight="1" x14ac:dyDescent="0.3">
      <c r="A821" s="38" t="s">
        <v>1718</v>
      </c>
      <c r="B821" s="39">
        <v>45099</v>
      </c>
      <c r="C821" s="38" t="s">
        <v>1719</v>
      </c>
      <c r="D821" s="38" t="s">
        <v>97</v>
      </c>
      <c r="E821" s="40">
        <v>35832</v>
      </c>
      <c r="F821" s="41">
        <v>0.14199999999999999</v>
      </c>
      <c r="G821" s="38">
        <v>60</v>
      </c>
      <c r="H821" s="38" t="s">
        <v>35</v>
      </c>
      <c r="I821" s="38" t="s">
        <v>83</v>
      </c>
      <c r="J821" s="38" t="s">
        <v>72</v>
      </c>
      <c r="K821" s="42">
        <v>105324</v>
      </c>
      <c r="L821" s="38" t="s">
        <v>62</v>
      </c>
      <c r="M821" s="43">
        <v>0.3</v>
      </c>
      <c r="N821" s="43">
        <v>0.66</v>
      </c>
      <c r="O821" s="42">
        <v>40920.14</v>
      </c>
      <c r="P821" s="42">
        <v>0</v>
      </c>
    </row>
    <row r="822" spans="1:16" ht="15" customHeight="1" x14ac:dyDescent="0.3">
      <c r="A822" s="38" t="s">
        <v>1720</v>
      </c>
      <c r="B822" s="39">
        <v>45101</v>
      </c>
      <c r="C822" s="38" t="s">
        <v>1721</v>
      </c>
      <c r="D822" s="38" t="s">
        <v>108</v>
      </c>
      <c r="E822" s="40">
        <v>5795</v>
      </c>
      <c r="F822" s="41">
        <v>0.17899999999999999</v>
      </c>
      <c r="G822" s="38">
        <v>36</v>
      </c>
      <c r="H822" s="38" t="s">
        <v>35</v>
      </c>
      <c r="I822" s="38" t="s">
        <v>60</v>
      </c>
      <c r="J822" s="38" t="s">
        <v>72</v>
      </c>
      <c r="K822" s="42">
        <v>138107</v>
      </c>
      <c r="L822" s="38" t="s">
        <v>68</v>
      </c>
      <c r="M822" s="43">
        <v>0.47</v>
      </c>
      <c r="N822" s="43">
        <v>0.65</v>
      </c>
      <c r="O822" s="42">
        <v>6832.3</v>
      </c>
      <c r="P822" s="42">
        <v>0</v>
      </c>
    </row>
    <row r="823" spans="1:16" ht="15" customHeight="1" x14ac:dyDescent="0.3">
      <c r="A823" s="38" t="s">
        <v>1722</v>
      </c>
      <c r="B823" s="39">
        <v>45105</v>
      </c>
      <c r="C823" s="38" t="s">
        <v>1723</v>
      </c>
      <c r="D823" s="38" t="s">
        <v>88</v>
      </c>
      <c r="E823" s="40">
        <v>35414</v>
      </c>
      <c r="F823" s="41">
        <v>0.13800000000000001</v>
      </c>
      <c r="G823" s="38">
        <v>60</v>
      </c>
      <c r="H823" s="38" t="s">
        <v>35</v>
      </c>
      <c r="I823" s="38" t="s">
        <v>60</v>
      </c>
      <c r="J823" s="38" t="s">
        <v>72</v>
      </c>
      <c r="K823" s="42">
        <v>145464</v>
      </c>
      <c r="L823" s="38" t="s">
        <v>68</v>
      </c>
      <c r="M823" s="43">
        <v>0.13</v>
      </c>
      <c r="N823" s="43">
        <v>0.51</v>
      </c>
      <c r="O823" s="42">
        <v>40301.129999999997</v>
      </c>
      <c r="P823" s="42">
        <v>0</v>
      </c>
    </row>
    <row r="824" spans="1:16" ht="15" customHeight="1" x14ac:dyDescent="0.3">
      <c r="A824" s="38" t="s">
        <v>1724</v>
      </c>
      <c r="B824" s="39">
        <v>45106</v>
      </c>
      <c r="C824" s="38" t="s">
        <v>1725</v>
      </c>
      <c r="D824" s="38" t="s">
        <v>75</v>
      </c>
      <c r="E824" s="40">
        <v>28605</v>
      </c>
      <c r="F824" s="41">
        <v>0.17100000000000001</v>
      </c>
      <c r="G824" s="38">
        <v>36</v>
      </c>
      <c r="H824" s="38" t="s">
        <v>35</v>
      </c>
      <c r="I824" s="38" t="s">
        <v>80</v>
      </c>
      <c r="J824" s="38" t="s">
        <v>67</v>
      </c>
      <c r="K824" s="42">
        <v>34006</v>
      </c>
      <c r="L824" s="38" t="s">
        <v>68</v>
      </c>
      <c r="M824" s="43">
        <v>0.46</v>
      </c>
      <c r="N824" s="43">
        <v>0.81</v>
      </c>
      <c r="O824" s="42">
        <v>33496.46</v>
      </c>
      <c r="P824" s="42">
        <v>0</v>
      </c>
    </row>
    <row r="825" spans="1:16" ht="15" customHeight="1" x14ac:dyDescent="0.3">
      <c r="A825" s="38" t="s">
        <v>1726</v>
      </c>
      <c r="B825" s="39">
        <v>45107</v>
      </c>
      <c r="C825" s="38" t="s">
        <v>1727</v>
      </c>
      <c r="D825" s="38" t="s">
        <v>97</v>
      </c>
      <c r="E825" s="40">
        <v>3852</v>
      </c>
      <c r="F825" s="41">
        <v>0.23699999999999999</v>
      </c>
      <c r="G825" s="38">
        <v>60</v>
      </c>
      <c r="H825" s="38" t="s">
        <v>35</v>
      </c>
      <c r="I825" s="38" t="s">
        <v>71</v>
      </c>
      <c r="J825" s="38" t="s">
        <v>61</v>
      </c>
      <c r="K825" s="42">
        <v>138464</v>
      </c>
      <c r="L825" s="38" t="s">
        <v>68</v>
      </c>
      <c r="M825" s="43">
        <v>0.16</v>
      </c>
      <c r="N825" s="43">
        <v>0.87</v>
      </c>
      <c r="O825" s="42">
        <v>4764.92</v>
      </c>
      <c r="P825" s="42">
        <v>0</v>
      </c>
    </row>
    <row r="826" spans="1:16" ht="15" customHeight="1" x14ac:dyDescent="0.3">
      <c r="A826" s="56" t="s">
        <v>1728</v>
      </c>
      <c r="B826" s="57">
        <v>45108</v>
      </c>
      <c r="C826" s="56" t="s">
        <v>1729</v>
      </c>
      <c r="D826" s="56" t="s">
        <v>59</v>
      </c>
      <c r="E826" s="58">
        <v>8424</v>
      </c>
      <c r="F826" s="59">
        <v>0.18099999999999999</v>
      </c>
      <c r="G826" s="56">
        <v>36</v>
      </c>
      <c r="H826" s="56" t="s">
        <v>37</v>
      </c>
      <c r="I826" s="56" t="s">
        <v>114</v>
      </c>
      <c r="J826" s="56" t="s">
        <v>72</v>
      </c>
      <c r="K826" s="60">
        <v>34529</v>
      </c>
      <c r="L826" s="56" t="s">
        <v>68</v>
      </c>
      <c r="M826" s="61">
        <v>0.46</v>
      </c>
      <c r="N826" s="61">
        <v>0.64</v>
      </c>
      <c r="O826" s="60">
        <v>892.7</v>
      </c>
      <c r="P826" s="60">
        <v>1919.6</v>
      </c>
    </row>
    <row r="827" spans="1:16" ht="15" customHeight="1" x14ac:dyDescent="0.3">
      <c r="A827" s="44" t="s">
        <v>1730</v>
      </c>
      <c r="B827" s="45">
        <v>45109</v>
      </c>
      <c r="C827" s="44" t="s">
        <v>1731</v>
      </c>
      <c r="D827" s="44" t="s">
        <v>65</v>
      </c>
      <c r="E827" s="46">
        <v>30545</v>
      </c>
      <c r="F827" s="47">
        <v>0.19600000000000001</v>
      </c>
      <c r="G827" s="44">
        <v>60</v>
      </c>
      <c r="H827" s="44" t="s">
        <v>36</v>
      </c>
      <c r="I827" s="44" t="s">
        <v>114</v>
      </c>
      <c r="J827" s="44" t="s">
        <v>76</v>
      </c>
      <c r="K827" s="48">
        <v>49539</v>
      </c>
      <c r="L827" s="44" t="s">
        <v>68</v>
      </c>
      <c r="M827" s="49">
        <v>0.14000000000000001</v>
      </c>
      <c r="N827" s="49">
        <v>0.5</v>
      </c>
      <c r="O827" s="48">
        <v>5878.95</v>
      </c>
      <c r="P827" s="48">
        <v>0</v>
      </c>
    </row>
    <row r="828" spans="1:16" ht="15" customHeight="1" x14ac:dyDescent="0.3">
      <c r="A828" s="44" t="s">
        <v>1732</v>
      </c>
      <c r="B828" s="45">
        <v>45110</v>
      </c>
      <c r="C828" s="44" t="s">
        <v>1733</v>
      </c>
      <c r="D828" s="44" t="s">
        <v>88</v>
      </c>
      <c r="E828" s="46">
        <v>8287</v>
      </c>
      <c r="F828" s="47">
        <v>0.23100000000000001</v>
      </c>
      <c r="G828" s="44">
        <v>36</v>
      </c>
      <c r="H828" s="44" t="s">
        <v>36</v>
      </c>
      <c r="I828" s="44" t="s">
        <v>114</v>
      </c>
      <c r="J828" s="44" t="s">
        <v>67</v>
      </c>
      <c r="K828" s="48">
        <v>142314</v>
      </c>
      <c r="L828" s="44" t="s">
        <v>62</v>
      </c>
      <c r="M828" s="49">
        <v>0.11</v>
      </c>
      <c r="N828" s="49">
        <v>0.53</v>
      </c>
      <c r="O828" s="48">
        <v>1537.67</v>
      </c>
      <c r="P828" s="48">
        <v>0</v>
      </c>
    </row>
    <row r="829" spans="1:16" ht="15" customHeight="1" x14ac:dyDescent="0.3">
      <c r="A829" s="44" t="s">
        <v>1734</v>
      </c>
      <c r="B829" s="45">
        <v>45111</v>
      </c>
      <c r="C829" s="44" t="s">
        <v>1735</v>
      </c>
      <c r="D829" s="44" t="s">
        <v>97</v>
      </c>
      <c r="E829" s="46">
        <v>7548</v>
      </c>
      <c r="F829" s="47">
        <v>0.17899999999999999</v>
      </c>
      <c r="G829" s="44">
        <v>36</v>
      </c>
      <c r="H829" s="44" t="s">
        <v>36</v>
      </c>
      <c r="I829" s="44" t="s">
        <v>60</v>
      </c>
      <c r="J829" s="44" t="s">
        <v>84</v>
      </c>
      <c r="K829" s="48">
        <v>137227</v>
      </c>
      <c r="L829" s="44" t="s">
        <v>85</v>
      </c>
      <c r="M829" s="49">
        <v>0.19</v>
      </c>
      <c r="N829" s="49">
        <v>0.52</v>
      </c>
      <c r="O829" s="48">
        <v>2381.79</v>
      </c>
      <c r="P829" s="48">
        <v>0</v>
      </c>
    </row>
    <row r="830" spans="1:16" ht="15" customHeight="1" x14ac:dyDescent="0.3">
      <c r="A830" s="44" t="s">
        <v>1736</v>
      </c>
      <c r="B830" s="45">
        <v>45114</v>
      </c>
      <c r="C830" s="44" t="s">
        <v>1737</v>
      </c>
      <c r="D830" s="44" t="s">
        <v>108</v>
      </c>
      <c r="E830" s="46">
        <v>28213</v>
      </c>
      <c r="F830" s="47">
        <v>0.19500000000000001</v>
      </c>
      <c r="G830" s="44">
        <v>60</v>
      </c>
      <c r="H830" s="44" t="s">
        <v>36</v>
      </c>
      <c r="I830" s="44" t="s">
        <v>83</v>
      </c>
      <c r="J830" s="44" t="s">
        <v>76</v>
      </c>
      <c r="K830" s="48">
        <v>53666</v>
      </c>
      <c r="L830" s="44" t="s">
        <v>85</v>
      </c>
      <c r="M830" s="49">
        <v>0.39</v>
      </c>
      <c r="N830" s="49">
        <v>0.92</v>
      </c>
      <c r="O830" s="48">
        <v>5075.51</v>
      </c>
      <c r="P830" s="48">
        <v>0</v>
      </c>
    </row>
    <row r="831" spans="1:16" ht="15" customHeight="1" x14ac:dyDescent="0.3">
      <c r="A831" s="56" t="s">
        <v>1738</v>
      </c>
      <c r="B831" s="57">
        <v>45115</v>
      </c>
      <c r="C831" s="56" t="s">
        <v>1739</v>
      </c>
      <c r="D831" s="56" t="s">
        <v>88</v>
      </c>
      <c r="E831" s="58">
        <v>29441</v>
      </c>
      <c r="F831" s="59">
        <v>0.216</v>
      </c>
      <c r="G831" s="56">
        <v>60</v>
      </c>
      <c r="H831" s="56" t="s">
        <v>37</v>
      </c>
      <c r="I831" s="56" t="s">
        <v>60</v>
      </c>
      <c r="J831" s="56" t="s">
        <v>72</v>
      </c>
      <c r="K831" s="60">
        <v>106533</v>
      </c>
      <c r="L831" s="56" t="s">
        <v>68</v>
      </c>
      <c r="M831" s="61">
        <v>0.23</v>
      </c>
      <c r="N831" s="61">
        <v>0.57999999999999996</v>
      </c>
      <c r="O831" s="60">
        <v>7302.84</v>
      </c>
      <c r="P831" s="60">
        <v>11730.22</v>
      </c>
    </row>
    <row r="832" spans="1:16" ht="15" customHeight="1" x14ac:dyDescent="0.3">
      <c r="A832" s="38" t="s">
        <v>1740</v>
      </c>
      <c r="B832" s="39">
        <v>45115</v>
      </c>
      <c r="C832" s="38" t="s">
        <v>1741</v>
      </c>
      <c r="D832" s="38" t="s">
        <v>65</v>
      </c>
      <c r="E832" s="40">
        <v>36057</v>
      </c>
      <c r="F832" s="41">
        <v>0.156</v>
      </c>
      <c r="G832" s="38">
        <v>60</v>
      </c>
      <c r="H832" s="38" t="s">
        <v>35</v>
      </c>
      <c r="I832" s="38" t="s">
        <v>80</v>
      </c>
      <c r="J832" s="38" t="s">
        <v>72</v>
      </c>
      <c r="K832" s="42">
        <v>113494</v>
      </c>
      <c r="L832" s="38" t="s">
        <v>62</v>
      </c>
      <c r="M832" s="43">
        <v>0.47</v>
      </c>
      <c r="N832" s="43">
        <v>0.9</v>
      </c>
      <c r="O832" s="42">
        <v>41681.89</v>
      </c>
      <c r="P832" s="42">
        <v>0</v>
      </c>
    </row>
    <row r="833" spans="1:16" ht="15" customHeight="1" x14ac:dyDescent="0.3">
      <c r="A833" s="38" t="s">
        <v>1742</v>
      </c>
      <c r="B833" s="39">
        <v>45116</v>
      </c>
      <c r="C833" s="38" t="s">
        <v>1743</v>
      </c>
      <c r="D833" s="38" t="s">
        <v>75</v>
      </c>
      <c r="E833" s="40">
        <v>33981</v>
      </c>
      <c r="F833" s="41">
        <v>0.122</v>
      </c>
      <c r="G833" s="38">
        <v>36</v>
      </c>
      <c r="H833" s="38" t="s">
        <v>35</v>
      </c>
      <c r="I833" s="38" t="s">
        <v>83</v>
      </c>
      <c r="J833" s="38" t="s">
        <v>67</v>
      </c>
      <c r="K833" s="42">
        <v>89546</v>
      </c>
      <c r="L833" s="38" t="s">
        <v>68</v>
      </c>
      <c r="M833" s="43">
        <v>0.13</v>
      </c>
      <c r="N833" s="43">
        <v>0.76</v>
      </c>
      <c r="O833" s="42">
        <v>38126.68</v>
      </c>
      <c r="P833" s="42">
        <v>0</v>
      </c>
    </row>
    <row r="834" spans="1:16" ht="15" customHeight="1" x14ac:dyDescent="0.3">
      <c r="A834" s="44" t="s">
        <v>1744</v>
      </c>
      <c r="B834" s="45">
        <v>45116</v>
      </c>
      <c r="C834" s="44" t="s">
        <v>1745</v>
      </c>
      <c r="D834" s="44" t="s">
        <v>97</v>
      </c>
      <c r="E834" s="46">
        <v>19743</v>
      </c>
      <c r="F834" s="47">
        <v>0.19500000000000001</v>
      </c>
      <c r="G834" s="44">
        <v>60</v>
      </c>
      <c r="H834" s="44" t="s">
        <v>36</v>
      </c>
      <c r="I834" s="44" t="s">
        <v>60</v>
      </c>
      <c r="J834" s="44" t="s">
        <v>76</v>
      </c>
      <c r="K834" s="48">
        <v>66639</v>
      </c>
      <c r="L834" s="44" t="s">
        <v>68</v>
      </c>
      <c r="M834" s="49">
        <v>0.33</v>
      </c>
      <c r="N834" s="49">
        <v>0.56000000000000005</v>
      </c>
      <c r="O834" s="48">
        <v>5476.7</v>
      </c>
      <c r="P834" s="48">
        <v>0</v>
      </c>
    </row>
    <row r="835" spans="1:16" ht="15" customHeight="1" x14ac:dyDescent="0.3">
      <c r="A835" s="44" t="s">
        <v>1746</v>
      </c>
      <c r="B835" s="45">
        <v>45117</v>
      </c>
      <c r="C835" s="44" t="s">
        <v>1747</v>
      </c>
      <c r="D835" s="44" t="s">
        <v>113</v>
      </c>
      <c r="E835" s="46">
        <v>22727</v>
      </c>
      <c r="F835" s="47">
        <v>0.183</v>
      </c>
      <c r="G835" s="44">
        <v>36</v>
      </c>
      <c r="H835" s="44" t="s">
        <v>36</v>
      </c>
      <c r="I835" s="44" t="s">
        <v>114</v>
      </c>
      <c r="J835" s="44" t="s">
        <v>67</v>
      </c>
      <c r="K835" s="48">
        <v>123308</v>
      </c>
      <c r="L835" s="44" t="s">
        <v>85</v>
      </c>
      <c r="M835" s="49">
        <v>0.28999999999999998</v>
      </c>
      <c r="N835" s="49">
        <v>0.78</v>
      </c>
      <c r="O835" s="48">
        <v>9155.07</v>
      </c>
      <c r="P835" s="48">
        <v>0</v>
      </c>
    </row>
    <row r="836" spans="1:16" ht="15" customHeight="1" x14ac:dyDescent="0.3">
      <c r="A836" s="44" t="s">
        <v>1748</v>
      </c>
      <c r="B836" s="45">
        <v>45119</v>
      </c>
      <c r="C836" s="44" t="s">
        <v>1749</v>
      </c>
      <c r="D836" s="44" t="s">
        <v>125</v>
      </c>
      <c r="E836" s="46">
        <v>9258</v>
      </c>
      <c r="F836" s="47">
        <v>8.7999999999999995E-2</v>
      </c>
      <c r="G836" s="44">
        <v>60</v>
      </c>
      <c r="H836" s="44" t="s">
        <v>36</v>
      </c>
      <c r="I836" s="44" t="s">
        <v>114</v>
      </c>
      <c r="J836" s="44" t="s">
        <v>61</v>
      </c>
      <c r="K836" s="48">
        <v>126507</v>
      </c>
      <c r="L836" s="44" t="s">
        <v>85</v>
      </c>
      <c r="M836" s="49">
        <v>0.12</v>
      </c>
      <c r="N836" s="49">
        <v>0.78</v>
      </c>
      <c r="O836" s="48">
        <v>3956.83</v>
      </c>
      <c r="P836" s="48">
        <v>0</v>
      </c>
    </row>
    <row r="837" spans="1:16" ht="15" customHeight="1" x14ac:dyDescent="0.3">
      <c r="A837" s="44" t="s">
        <v>1750</v>
      </c>
      <c r="B837" s="45">
        <v>45121</v>
      </c>
      <c r="C837" s="44" t="s">
        <v>1751</v>
      </c>
      <c r="D837" s="44" t="s">
        <v>65</v>
      </c>
      <c r="E837" s="46">
        <v>30794</v>
      </c>
      <c r="F837" s="47">
        <v>6.5000000000000002E-2</v>
      </c>
      <c r="G837" s="44">
        <v>36</v>
      </c>
      <c r="H837" s="44" t="s">
        <v>36</v>
      </c>
      <c r="I837" s="44" t="s">
        <v>114</v>
      </c>
      <c r="J837" s="44" t="s">
        <v>84</v>
      </c>
      <c r="K837" s="48">
        <v>34298</v>
      </c>
      <c r="L837" s="44" t="s">
        <v>68</v>
      </c>
      <c r="M837" s="49">
        <v>0.28000000000000003</v>
      </c>
      <c r="N837" s="49">
        <v>0.56000000000000005</v>
      </c>
      <c r="O837" s="48">
        <v>12202.69</v>
      </c>
      <c r="P837" s="48">
        <v>0</v>
      </c>
    </row>
    <row r="838" spans="1:16" ht="15" customHeight="1" x14ac:dyDescent="0.3">
      <c r="A838" s="44" t="s">
        <v>1752</v>
      </c>
      <c r="B838" s="45">
        <v>45121</v>
      </c>
      <c r="C838" s="44" t="s">
        <v>1753</v>
      </c>
      <c r="D838" s="44" t="s">
        <v>108</v>
      </c>
      <c r="E838" s="46">
        <v>30052</v>
      </c>
      <c r="F838" s="47">
        <v>0.14299999999999999</v>
      </c>
      <c r="G838" s="44">
        <v>36</v>
      </c>
      <c r="H838" s="44" t="s">
        <v>36</v>
      </c>
      <c r="I838" s="44" t="s">
        <v>66</v>
      </c>
      <c r="J838" s="44" t="s">
        <v>84</v>
      </c>
      <c r="K838" s="48">
        <v>71185</v>
      </c>
      <c r="L838" s="44" t="s">
        <v>85</v>
      </c>
      <c r="M838" s="49">
        <v>0.3</v>
      </c>
      <c r="N838" s="49">
        <v>0.85</v>
      </c>
      <c r="O838" s="48">
        <v>11094.37</v>
      </c>
      <c r="P838" s="48">
        <v>0</v>
      </c>
    </row>
    <row r="839" spans="1:16" ht="15" customHeight="1" x14ac:dyDescent="0.3">
      <c r="A839" s="44" t="s">
        <v>1754</v>
      </c>
      <c r="B839" s="45">
        <v>45124</v>
      </c>
      <c r="C839" s="44" t="s">
        <v>1755</v>
      </c>
      <c r="D839" s="44" t="s">
        <v>125</v>
      </c>
      <c r="E839" s="46">
        <v>3469</v>
      </c>
      <c r="F839" s="47">
        <v>0.19400000000000001</v>
      </c>
      <c r="G839" s="44">
        <v>36</v>
      </c>
      <c r="H839" s="44" t="s">
        <v>36</v>
      </c>
      <c r="I839" s="44" t="s">
        <v>80</v>
      </c>
      <c r="J839" s="44" t="s">
        <v>76</v>
      </c>
      <c r="K839" s="48">
        <v>62933</v>
      </c>
      <c r="L839" s="44" t="s">
        <v>68</v>
      </c>
      <c r="M839" s="49">
        <v>0.36</v>
      </c>
      <c r="N839" s="49">
        <v>0.55000000000000004</v>
      </c>
      <c r="O839" s="48">
        <v>690.49</v>
      </c>
      <c r="P839" s="48">
        <v>0</v>
      </c>
    </row>
    <row r="840" spans="1:16" ht="15" customHeight="1" x14ac:dyDescent="0.3">
      <c r="A840" s="44" t="s">
        <v>1756</v>
      </c>
      <c r="B840" s="45">
        <v>45125</v>
      </c>
      <c r="C840" s="44" t="s">
        <v>1757</v>
      </c>
      <c r="D840" s="44" t="s">
        <v>138</v>
      </c>
      <c r="E840" s="46">
        <v>2828</v>
      </c>
      <c r="F840" s="47">
        <v>0.19700000000000001</v>
      </c>
      <c r="G840" s="44">
        <v>36</v>
      </c>
      <c r="H840" s="44" t="s">
        <v>36</v>
      </c>
      <c r="I840" s="44" t="s">
        <v>80</v>
      </c>
      <c r="J840" s="44" t="s">
        <v>84</v>
      </c>
      <c r="K840" s="48">
        <v>129534</v>
      </c>
      <c r="L840" s="44" t="s">
        <v>85</v>
      </c>
      <c r="M840" s="49">
        <v>0.18</v>
      </c>
      <c r="N840" s="49">
        <v>0.59</v>
      </c>
      <c r="O840" s="48">
        <v>938.87</v>
      </c>
      <c r="P840" s="48">
        <v>0</v>
      </c>
    </row>
    <row r="841" spans="1:16" ht="15" customHeight="1" x14ac:dyDescent="0.3">
      <c r="A841" s="38" t="s">
        <v>1758</v>
      </c>
      <c r="B841" s="39">
        <v>45125</v>
      </c>
      <c r="C841" s="38" t="s">
        <v>1759</v>
      </c>
      <c r="D841" s="38" t="s">
        <v>88</v>
      </c>
      <c r="E841" s="40">
        <v>31027</v>
      </c>
      <c r="F841" s="41">
        <v>7.8E-2</v>
      </c>
      <c r="G841" s="38">
        <v>60</v>
      </c>
      <c r="H841" s="38" t="s">
        <v>35</v>
      </c>
      <c r="I841" s="38" t="s">
        <v>83</v>
      </c>
      <c r="J841" s="38" t="s">
        <v>76</v>
      </c>
      <c r="K841" s="42">
        <v>74254</v>
      </c>
      <c r="L841" s="38" t="s">
        <v>62</v>
      </c>
      <c r="M841" s="43">
        <v>0.42</v>
      </c>
      <c r="N841" s="43">
        <v>0.61</v>
      </c>
      <c r="O841" s="42">
        <v>33447.11</v>
      </c>
      <c r="P841" s="42">
        <v>0</v>
      </c>
    </row>
    <row r="842" spans="1:16" ht="15" customHeight="1" x14ac:dyDescent="0.3">
      <c r="A842" s="44" t="s">
        <v>1760</v>
      </c>
      <c r="B842" s="45">
        <v>45125</v>
      </c>
      <c r="C842" s="44" t="s">
        <v>1761</v>
      </c>
      <c r="D842" s="44" t="s">
        <v>138</v>
      </c>
      <c r="E842" s="46">
        <v>27916</v>
      </c>
      <c r="F842" s="47">
        <v>0.06</v>
      </c>
      <c r="G842" s="44">
        <v>60</v>
      </c>
      <c r="H842" s="44" t="s">
        <v>36</v>
      </c>
      <c r="I842" s="44" t="s">
        <v>71</v>
      </c>
      <c r="J842" s="44" t="s">
        <v>67</v>
      </c>
      <c r="K842" s="48">
        <v>103193</v>
      </c>
      <c r="L842" s="44" t="s">
        <v>62</v>
      </c>
      <c r="M842" s="49">
        <v>0.18</v>
      </c>
      <c r="N842" s="49">
        <v>0.81</v>
      </c>
      <c r="O842" s="48">
        <v>4929.04</v>
      </c>
      <c r="P842" s="48">
        <v>0</v>
      </c>
    </row>
    <row r="843" spans="1:16" ht="15" customHeight="1" x14ac:dyDescent="0.3">
      <c r="A843" s="56" t="s">
        <v>1762</v>
      </c>
      <c r="B843" s="57">
        <v>45126</v>
      </c>
      <c r="C843" s="56" t="s">
        <v>1763</v>
      </c>
      <c r="D843" s="56" t="s">
        <v>88</v>
      </c>
      <c r="E843" s="58">
        <v>5806</v>
      </c>
      <c r="F843" s="59">
        <v>0.24299999999999999</v>
      </c>
      <c r="G843" s="56">
        <v>36</v>
      </c>
      <c r="H843" s="56" t="s">
        <v>37</v>
      </c>
      <c r="I843" s="56" t="s">
        <v>66</v>
      </c>
      <c r="J843" s="56" t="s">
        <v>76</v>
      </c>
      <c r="K843" s="60">
        <v>93972</v>
      </c>
      <c r="L843" s="56" t="s">
        <v>68</v>
      </c>
      <c r="M843" s="61">
        <v>0.18</v>
      </c>
      <c r="N843" s="61">
        <v>0.59</v>
      </c>
      <c r="O843" s="60">
        <v>2191.11</v>
      </c>
      <c r="P843" s="60">
        <v>417.13</v>
      </c>
    </row>
    <row r="844" spans="1:16" ht="15" customHeight="1" x14ac:dyDescent="0.3">
      <c r="A844" s="38" t="s">
        <v>1764</v>
      </c>
      <c r="B844" s="39">
        <v>45130</v>
      </c>
      <c r="C844" s="38" t="s">
        <v>1765</v>
      </c>
      <c r="D844" s="38" t="s">
        <v>88</v>
      </c>
      <c r="E844" s="40">
        <v>8005</v>
      </c>
      <c r="F844" s="41">
        <v>0.11799999999999999</v>
      </c>
      <c r="G844" s="38">
        <v>60</v>
      </c>
      <c r="H844" s="38" t="s">
        <v>35</v>
      </c>
      <c r="I844" s="38" t="s">
        <v>114</v>
      </c>
      <c r="J844" s="38" t="s">
        <v>72</v>
      </c>
      <c r="K844" s="42">
        <v>68225</v>
      </c>
      <c r="L844" s="38" t="s">
        <v>68</v>
      </c>
      <c r="M844" s="43">
        <v>0.47</v>
      </c>
      <c r="N844" s="43">
        <v>0.73</v>
      </c>
      <c r="O844" s="42">
        <v>8949.59</v>
      </c>
      <c r="P844" s="42">
        <v>0</v>
      </c>
    </row>
    <row r="845" spans="1:16" ht="15" customHeight="1" x14ac:dyDescent="0.3">
      <c r="A845" s="38" t="s">
        <v>1766</v>
      </c>
      <c r="B845" s="39">
        <v>45130</v>
      </c>
      <c r="C845" s="38" t="s">
        <v>1767</v>
      </c>
      <c r="D845" s="38" t="s">
        <v>79</v>
      </c>
      <c r="E845" s="40">
        <v>1163</v>
      </c>
      <c r="F845" s="41">
        <v>8.3000000000000004E-2</v>
      </c>
      <c r="G845" s="38">
        <v>36</v>
      </c>
      <c r="H845" s="38" t="s">
        <v>35</v>
      </c>
      <c r="I845" s="38" t="s">
        <v>66</v>
      </c>
      <c r="J845" s="38" t="s">
        <v>72</v>
      </c>
      <c r="K845" s="42">
        <v>31587</v>
      </c>
      <c r="L845" s="38" t="s">
        <v>68</v>
      </c>
      <c r="M845" s="43">
        <v>0.44</v>
      </c>
      <c r="N845" s="43">
        <v>0.94</v>
      </c>
      <c r="O845" s="42">
        <v>1259.53</v>
      </c>
      <c r="P845" s="42">
        <v>0</v>
      </c>
    </row>
    <row r="846" spans="1:16" ht="15" customHeight="1" x14ac:dyDescent="0.3">
      <c r="A846" s="44" t="s">
        <v>1768</v>
      </c>
      <c r="B846" s="45">
        <v>45130</v>
      </c>
      <c r="C846" s="44" t="s">
        <v>1769</v>
      </c>
      <c r="D846" s="44" t="s">
        <v>65</v>
      </c>
      <c r="E846" s="46">
        <v>25817</v>
      </c>
      <c r="F846" s="47">
        <v>0.14599999999999999</v>
      </c>
      <c r="G846" s="44">
        <v>36</v>
      </c>
      <c r="H846" s="44" t="s">
        <v>36</v>
      </c>
      <c r="I846" s="44" t="s">
        <v>71</v>
      </c>
      <c r="J846" s="44" t="s">
        <v>61</v>
      </c>
      <c r="K846" s="48">
        <v>144853</v>
      </c>
      <c r="L846" s="44" t="s">
        <v>85</v>
      </c>
      <c r="M846" s="49">
        <v>0.28000000000000003</v>
      </c>
      <c r="N846" s="49">
        <v>0.66</v>
      </c>
      <c r="O846" s="48">
        <v>9178.11</v>
      </c>
      <c r="P846" s="48">
        <v>0</v>
      </c>
    </row>
    <row r="847" spans="1:16" ht="15" customHeight="1" x14ac:dyDescent="0.3">
      <c r="A847" s="38" t="s">
        <v>1770</v>
      </c>
      <c r="B847" s="39">
        <v>45131</v>
      </c>
      <c r="C847" s="38" t="s">
        <v>1771</v>
      </c>
      <c r="D847" s="38" t="s">
        <v>108</v>
      </c>
      <c r="E847" s="40">
        <v>27630</v>
      </c>
      <c r="F847" s="41">
        <v>0.14000000000000001</v>
      </c>
      <c r="G847" s="38">
        <v>60</v>
      </c>
      <c r="H847" s="38" t="s">
        <v>35</v>
      </c>
      <c r="I847" s="38" t="s">
        <v>114</v>
      </c>
      <c r="J847" s="38" t="s">
        <v>76</v>
      </c>
      <c r="K847" s="42">
        <v>147305</v>
      </c>
      <c r="L847" s="38" t="s">
        <v>85</v>
      </c>
      <c r="M847" s="43">
        <v>0.35</v>
      </c>
      <c r="N847" s="43">
        <v>0.64</v>
      </c>
      <c r="O847" s="42">
        <v>31498.2</v>
      </c>
      <c r="P847" s="42">
        <v>0</v>
      </c>
    </row>
    <row r="848" spans="1:16" ht="15" customHeight="1" x14ac:dyDescent="0.3">
      <c r="A848" s="44" t="s">
        <v>1772</v>
      </c>
      <c r="B848" s="45">
        <v>45132</v>
      </c>
      <c r="C848" s="44" t="s">
        <v>1773</v>
      </c>
      <c r="D848" s="44" t="s">
        <v>65</v>
      </c>
      <c r="E848" s="46">
        <v>36196</v>
      </c>
      <c r="F848" s="47">
        <v>0.121</v>
      </c>
      <c r="G848" s="44">
        <v>36</v>
      </c>
      <c r="H848" s="44" t="s">
        <v>36</v>
      </c>
      <c r="I848" s="44" t="s">
        <v>60</v>
      </c>
      <c r="J848" s="44" t="s">
        <v>67</v>
      </c>
      <c r="K848" s="48">
        <v>60908</v>
      </c>
      <c r="L848" s="44" t="s">
        <v>85</v>
      </c>
      <c r="M848" s="49">
        <v>0.15</v>
      </c>
      <c r="N848" s="49">
        <v>0.66</v>
      </c>
      <c r="O848" s="48">
        <v>14402.05</v>
      </c>
      <c r="P848" s="48">
        <v>0</v>
      </c>
    </row>
    <row r="849" spans="1:16" ht="15" customHeight="1" x14ac:dyDescent="0.3">
      <c r="A849" s="38" t="s">
        <v>1774</v>
      </c>
      <c r="B849" s="39">
        <v>45132</v>
      </c>
      <c r="C849" s="38" t="s">
        <v>1775</v>
      </c>
      <c r="D849" s="38" t="s">
        <v>59</v>
      </c>
      <c r="E849" s="40">
        <v>13329</v>
      </c>
      <c r="F849" s="41">
        <v>0.17699999999999999</v>
      </c>
      <c r="G849" s="38">
        <v>36</v>
      </c>
      <c r="H849" s="38" t="s">
        <v>35</v>
      </c>
      <c r="I849" s="38" t="s">
        <v>71</v>
      </c>
      <c r="J849" s="38" t="s">
        <v>76</v>
      </c>
      <c r="K849" s="42">
        <v>107963</v>
      </c>
      <c r="L849" s="38" t="s">
        <v>85</v>
      </c>
      <c r="M849" s="43">
        <v>0.19</v>
      </c>
      <c r="N849" s="43">
        <v>0.84</v>
      </c>
      <c r="O849" s="42">
        <v>15688.23</v>
      </c>
      <c r="P849" s="42">
        <v>0</v>
      </c>
    </row>
    <row r="850" spans="1:16" ht="15" customHeight="1" x14ac:dyDescent="0.3">
      <c r="A850" s="38" t="s">
        <v>1776</v>
      </c>
      <c r="B850" s="39">
        <v>45133</v>
      </c>
      <c r="C850" s="38" t="s">
        <v>1777</v>
      </c>
      <c r="D850" s="38" t="s">
        <v>125</v>
      </c>
      <c r="E850" s="40">
        <v>9325</v>
      </c>
      <c r="F850" s="41">
        <v>0.14499999999999999</v>
      </c>
      <c r="G850" s="38">
        <v>60</v>
      </c>
      <c r="H850" s="38" t="s">
        <v>35</v>
      </c>
      <c r="I850" s="38" t="s">
        <v>83</v>
      </c>
      <c r="J850" s="38" t="s">
        <v>61</v>
      </c>
      <c r="K850" s="42">
        <v>137765</v>
      </c>
      <c r="L850" s="38" t="s">
        <v>62</v>
      </c>
      <c r="M850" s="43">
        <v>0.28999999999999998</v>
      </c>
      <c r="N850" s="43">
        <v>0.72</v>
      </c>
      <c r="O850" s="42">
        <v>10677.12</v>
      </c>
      <c r="P850" s="42">
        <v>0</v>
      </c>
    </row>
    <row r="851" spans="1:16" ht="15" customHeight="1" x14ac:dyDescent="0.3">
      <c r="A851" s="38" t="s">
        <v>1778</v>
      </c>
      <c r="B851" s="39">
        <v>45135</v>
      </c>
      <c r="C851" s="38" t="s">
        <v>1779</v>
      </c>
      <c r="D851" s="38" t="s">
        <v>113</v>
      </c>
      <c r="E851" s="40">
        <v>39675</v>
      </c>
      <c r="F851" s="41">
        <v>0.124</v>
      </c>
      <c r="G851" s="38">
        <v>60</v>
      </c>
      <c r="H851" s="38" t="s">
        <v>35</v>
      </c>
      <c r="I851" s="38" t="s">
        <v>114</v>
      </c>
      <c r="J851" s="38" t="s">
        <v>67</v>
      </c>
      <c r="K851" s="42">
        <v>96163</v>
      </c>
      <c r="L851" s="38" t="s">
        <v>85</v>
      </c>
      <c r="M851" s="43">
        <v>0.28999999999999998</v>
      </c>
      <c r="N851" s="43">
        <v>0.62</v>
      </c>
      <c r="O851" s="42">
        <v>44594.7</v>
      </c>
      <c r="P851" s="42">
        <v>0</v>
      </c>
    </row>
    <row r="852" spans="1:16" ht="15" customHeight="1" x14ac:dyDescent="0.3">
      <c r="A852" s="44" t="s">
        <v>1780</v>
      </c>
      <c r="B852" s="45">
        <v>45136</v>
      </c>
      <c r="C852" s="44" t="s">
        <v>1781</v>
      </c>
      <c r="D852" s="44" t="s">
        <v>59</v>
      </c>
      <c r="E852" s="46">
        <v>5798</v>
      </c>
      <c r="F852" s="47">
        <v>0.23899999999999999</v>
      </c>
      <c r="G852" s="44">
        <v>36</v>
      </c>
      <c r="H852" s="44" t="s">
        <v>36</v>
      </c>
      <c r="I852" s="44" t="s">
        <v>66</v>
      </c>
      <c r="J852" s="44" t="s">
        <v>72</v>
      </c>
      <c r="K852" s="48">
        <v>84710</v>
      </c>
      <c r="L852" s="44" t="s">
        <v>68</v>
      </c>
      <c r="M852" s="49">
        <v>0.21</v>
      </c>
      <c r="N852" s="49">
        <v>0.83</v>
      </c>
      <c r="O852" s="48">
        <v>1416.33</v>
      </c>
      <c r="P852" s="48">
        <v>0</v>
      </c>
    </row>
    <row r="853" spans="1:16" ht="15" customHeight="1" x14ac:dyDescent="0.3">
      <c r="A853" s="38" t="s">
        <v>1782</v>
      </c>
      <c r="B853" s="39">
        <v>45140</v>
      </c>
      <c r="C853" s="38" t="s">
        <v>1783</v>
      </c>
      <c r="D853" s="38" t="s">
        <v>75</v>
      </c>
      <c r="E853" s="40">
        <v>10956</v>
      </c>
      <c r="F853" s="41">
        <v>0.184</v>
      </c>
      <c r="G853" s="38">
        <v>60</v>
      </c>
      <c r="H853" s="38" t="s">
        <v>35</v>
      </c>
      <c r="I853" s="38" t="s">
        <v>60</v>
      </c>
      <c r="J853" s="38" t="s">
        <v>61</v>
      </c>
      <c r="K853" s="42">
        <v>80042</v>
      </c>
      <c r="L853" s="38" t="s">
        <v>68</v>
      </c>
      <c r="M853" s="43">
        <v>0.48</v>
      </c>
      <c r="N853" s="43">
        <v>0.54</v>
      </c>
      <c r="O853" s="42">
        <v>12971.9</v>
      </c>
      <c r="P853" s="42">
        <v>0</v>
      </c>
    </row>
    <row r="854" spans="1:16" ht="15" customHeight="1" x14ac:dyDescent="0.3">
      <c r="A854" s="38" t="s">
        <v>1784</v>
      </c>
      <c r="B854" s="39">
        <v>45142</v>
      </c>
      <c r="C854" s="38" t="s">
        <v>1785</v>
      </c>
      <c r="D854" s="38" t="s">
        <v>138</v>
      </c>
      <c r="E854" s="40">
        <v>16313</v>
      </c>
      <c r="F854" s="41">
        <v>6.3E-2</v>
      </c>
      <c r="G854" s="38">
        <v>36</v>
      </c>
      <c r="H854" s="38" t="s">
        <v>35</v>
      </c>
      <c r="I854" s="38" t="s">
        <v>60</v>
      </c>
      <c r="J854" s="38" t="s">
        <v>76</v>
      </c>
      <c r="K854" s="42">
        <v>87124</v>
      </c>
      <c r="L854" s="38" t="s">
        <v>85</v>
      </c>
      <c r="M854" s="43">
        <v>0.22</v>
      </c>
      <c r="N854" s="43">
        <v>0.67</v>
      </c>
      <c r="O854" s="42">
        <v>17340.72</v>
      </c>
      <c r="P854" s="42">
        <v>0</v>
      </c>
    </row>
    <row r="855" spans="1:16" ht="15" customHeight="1" x14ac:dyDescent="0.3">
      <c r="A855" s="38" t="s">
        <v>1786</v>
      </c>
      <c r="B855" s="39">
        <v>45143</v>
      </c>
      <c r="C855" s="38" t="s">
        <v>1787</v>
      </c>
      <c r="D855" s="38" t="s">
        <v>125</v>
      </c>
      <c r="E855" s="40">
        <v>26032</v>
      </c>
      <c r="F855" s="41">
        <v>0.221</v>
      </c>
      <c r="G855" s="38">
        <v>60</v>
      </c>
      <c r="H855" s="38" t="s">
        <v>35</v>
      </c>
      <c r="I855" s="38" t="s">
        <v>60</v>
      </c>
      <c r="J855" s="38" t="s">
        <v>84</v>
      </c>
      <c r="K855" s="42">
        <v>33783</v>
      </c>
      <c r="L855" s="38" t="s">
        <v>68</v>
      </c>
      <c r="M855" s="43">
        <v>0.35</v>
      </c>
      <c r="N855" s="43">
        <v>0.81</v>
      </c>
      <c r="O855" s="42">
        <v>31785.07</v>
      </c>
      <c r="P855" s="42">
        <v>0</v>
      </c>
    </row>
    <row r="856" spans="1:16" ht="15" customHeight="1" x14ac:dyDescent="0.3">
      <c r="A856" s="38" t="s">
        <v>1788</v>
      </c>
      <c r="B856" s="39">
        <v>45143</v>
      </c>
      <c r="C856" s="38" t="s">
        <v>1789</v>
      </c>
      <c r="D856" s="38" t="s">
        <v>65</v>
      </c>
      <c r="E856" s="40">
        <v>14673</v>
      </c>
      <c r="F856" s="41">
        <v>6.2E-2</v>
      </c>
      <c r="G856" s="38">
        <v>36</v>
      </c>
      <c r="H856" s="38" t="s">
        <v>35</v>
      </c>
      <c r="I856" s="38" t="s">
        <v>71</v>
      </c>
      <c r="J856" s="38" t="s">
        <v>84</v>
      </c>
      <c r="K856" s="42">
        <v>87415</v>
      </c>
      <c r="L856" s="38" t="s">
        <v>62</v>
      </c>
      <c r="M856" s="43">
        <v>0.23</v>
      </c>
      <c r="N856" s="43">
        <v>0.67</v>
      </c>
      <c r="O856" s="42">
        <v>15582.73</v>
      </c>
      <c r="P856" s="42">
        <v>0</v>
      </c>
    </row>
    <row r="857" spans="1:16" ht="15" customHeight="1" x14ac:dyDescent="0.3">
      <c r="A857" s="44" t="s">
        <v>1790</v>
      </c>
      <c r="B857" s="45">
        <v>45144</v>
      </c>
      <c r="C857" s="44" t="s">
        <v>1791</v>
      </c>
      <c r="D857" s="44" t="s">
        <v>125</v>
      </c>
      <c r="E857" s="46">
        <v>27289</v>
      </c>
      <c r="F857" s="47">
        <v>0.246</v>
      </c>
      <c r="G857" s="44">
        <v>36</v>
      </c>
      <c r="H857" s="44" t="s">
        <v>36</v>
      </c>
      <c r="I857" s="44" t="s">
        <v>83</v>
      </c>
      <c r="J857" s="44" t="s">
        <v>72</v>
      </c>
      <c r="K857" s="48">
        <v>149277</v>
      </c>
      <c r="L857" s="44" t="s">
        <v>62</v>
      </c>
      <c r="M857" s="49">
        <v>0.48</v>
      </c>
      <c r="N857" s="49">
        <v>0.83</v>
      </c>
      <c r="O857" s="48">
        <v>2575.9699999999998</v>
      </c>
      <c r="P857" s="48">
        <v>0</v>
      </c>
    </row>
    <row r="858" spans="1:16" ht="15" customHeight="1" x14ac:dyDescent="0.3">
      <c r="A858" s="38" t="s">
        <v>1792</v>
      </c>
      <c r="B858" s="39">
        <v>45144</v>
      </c>
      <c r="C858" s="38" t="s">
        <v>1793</v>
      </c>
      <c r="D858" s="38" t="s">
        <v>113</v>
      </c>
      <c r="E858" s="40">
        <v>24197</v>
      </c>
      <c r="F858" s="41">
        <v>0.13</v>
      </c>
      <c r="G858" s="38">
        <v>60</v>
      </c>
      <c r="H858" s="38" t="s">
        <v>35</v>
      </c>
      <c r="I858" s="38" t="s">
        <v>80</v>
      </c>
      <c r="J858" s="38" t="s">
        <v>72</v>
      </c>
      <c r="K858" s="42">
        <v>78847</v>
      </c>
      <c r="L858" s="38" t="s">
        <v>62</v>
      </c>
      <c r="M858" s="43">
        <v>0.42</v>
      </c>
      <c r="N858" s="43">
        <v>0.74</v>
      </c>
      <c r="O858" s="42">
        <v>27342.61</v>
      </c>
      <c r="P858" s="42">
        <v>0</v>
      </c>
    </row>
    <row r="859" spans="1:16" ht="15" customHeight="1" x14ac:dyDescent="0.3">
      <c r="A859" s="38" t="s">
        <v>1794</v>
      </c>
      <c r="B859" s="39">
        <v>45147</v>
      </c>
      <c r="C859" s="38" t="s">
        <v>1795</v>
      </c>
      <c r="D859" s="38" t="s">
        <v>125</v>
      </c>
      <c r="E859" s="40">
        <v>10686</v>
      </c>
      <c r="F859" s="41">
        <v>0.17699999999999999</v>
      </c>
      <c r="G859" s="38">
        <v>36</v>
      </c>
      <c r="H859" s="38" t="s">
        <v>35</v>
      </c>
      <c r="I859" s="38" t="s">
        <v>71</v>
      </c>
      <c r="J859" s="38" t="s">
        <v>67</v>
      </c>
      <c r="K859" s="42">
        <v>100427</v>
      </c>
      <c r="L859" s="38" t="s">
        <v>68</v>
      </c>
      <c r="M859" s="43">
        <v>0.17</v>
      </c>
      <c r="N859" s="43">
        <v>0.89</v>
      </c>
      <c r="O859" s="42">
        <v>12577.42</v>
      </c>
      <c r="P859" s="42">
        <v>0</v>
      </c>
    </row>
    <row r="860" spans="1:16" ht="15" customHeight="1" x14ac:dyDescent="0.3">
      <c r="A860" s="38" t="s">
        <v>1796</v>
      </c>
      <c r="B860" s="39">
        <v>45148</v>
      </c>
      <c r="C860" s="38" t="s">
        <v>1797</v>
      </c>
      <c r="D860" s="38" t="s">
        <v>88</v>
      </c>
      <c r="E860" s="40">
        <v>34613</v>
      </c>
      <c r="F860" s="41">
        <v>0.192</v>
      </c>
      <c r="G860" s="38">
        <v>36</v>
      </c>
      <c r="H860" s="38" t="s">
        <v>35</v>
      </c>
      <c r="I860" s="38" t="s">
        <v>60</v>
      </c>
      <c r="J860" s="38" t="s">
        <v>84</v>
      </c>
      <c r="K860" s="42">
        <v>31987</v>
      </c>
      <c r="L860" s="38" t="s">
        <v>68</v>
      </c>
      <c r="M860" s="43">
        <v>0.45</v>
      </c>
      <c r="N860" s="43">
        <v>0.56000000000000005</v>
      </c>
      <c r="O860" s="42">
        <v>41258.699999999997</v>
      </c>
      <c r="P860" s="42">
        <v>0</v>
      </c>
    </row>
    <row r="861" spans="1:16" ht="15" customHeight="1" x14ac:dyDescent="0.3">
      <c r="A861" s="38" t="s">
        <v>1798</v>
      </c>
      <c r="B861" s="39">
        <v>45148</v>
      </c>
      <c r="C861" s="38" t="s">
        <v>1799</v>
      </c>
      <c r="D861" s="38" t="s">
        <v>125</v>
      </c>
      <c r="E861" s="40">
        <v>30969</v>
      </c>
      <c r="F861" s="41">
        <v>5.6000000000000001E-2</v>
      </c>
      <c r="G861" s="38">
        <v>60</v>
      </c>
      <c r="H861" s="38" t="s">
        <v>35</v>
      </c>
      <c r="I861" s="38" t="s">
        <v>80</v>
      </c>
      <c r="J861" s="38" t="s">
        <v>67</v>
      </c>
      <c r="K861" s="42">
        <v>90593</v>
      </c>
      <c r="L861" s="38" t="s">
        <v>68</v>
      </c>
      <c r="M861" s="43">
        <v>0.38</v>
      </c>
      <c r="N861" s="43">
        <v>0.68</v>
      </c>
      <c r="O861" s="42">
        <v>32703.26</v>
      </c>
      <c r="P861" s="42">
        <v>0</v>
      </c>
    </row>
    <row r="862" spans="1:16" ht="15" customHeight="1" x14ac:dyDescent="0.3">
      <c r="A862" s="38" t="s">
        <v>1800</v>
      </c>
      <c r="B862" s="39">
        <v>45150</v>
      </c>
      <c r="C862" s="38" t="s">
        <v>1801</v>
      </c>
      <c r="D862" s="38" t="s">
        <v>59</v>
      </c>
      <c r="E862" s="40">
        <v>34282</v>
      </c>
      <c r="F862" s="41">
        <v>6.5000000000000002E-2</v>
      </c>
      <c r="G862" s="38">
        <v>36</v>
      </c>
      <c r="H862" s="38" t="s">
        <v>35</v>
      </c>
      <c r="I862" s="38" t="s">
        <v>83</v>
      </c>
      <c r="J862" s="38" t="s">
        <v>61</v>
      </c>
      <c r="K862" s="42">
        <v>75619</v>
      </c>
      <c r="L862" s="38" t="s">
        <v>68</v>
      </c>
      <c r="M862" s="43">
        <v>0.2</v>
      </c>
      <c r="N862" s="43">
        <v>0.94</v>
      </c>
      <c r="O862" s="42">
        <v>36510.33</v>
      </c>
      <c r="P862" s="42">
        <v>0</v>
      </c>
    </row>
    <row r="863" spans="1:16" ht="15" customHeight="1" x14ac:dyDescent="0.3">
      <c r="A863" s="38" t="s">
        <v>1802</v>
      </c>
      <c r="B863" s="39">
        <v>45151</v>
      </c>
      <c r="C863" s="38" t="s">
        <v>1803</v>
      </c>
      <c r="D863" s="38" t="s">
        <v>65</v>
      </c>
      <c r="E863" s="40">
        <v>29937</v>
      </c>
      <c r="F863" s="41">
        <v>0.224</v>
      </c>
      <c r="G863" s="38">
        <v>60</v>
      </c>
      <c r="H863" s="38" t="s">
        <v>35</v>
      </c>
      <c r="I863" s="38" t="s">
        <v>66</v>
      </c>
      <c r="J863" s="38" t="s">
        <v>67</v>
      </c>
      <c r="K863" s="42">
        <v>107525</v>
      </c>
      <c r="L863" s="38" t="s">
        <v>62</v>
      </c>
      <c r="M863" s="43">
        <v>0.26</v>
      </c>
      <c r="N863" s="43">
        <v>0.9</v>
      </c>
      <c r="O863" s="42">
        <v>36642.89</v>
      </c>
      <c r="P863" s="42">
        <v>0</v>
      </c>
    </row>
    <row r="864" spans="1:16" ht="15" customHeight="1" x14ac:dyDescent="0.3">
      <c r="A864" s="38" t="s">
        <v>1804</v>
      </c>
      <c r="B864" s="39">
        <v>45151</v>
      </c>
      <c r="C864" s="38" t="s">
        <v>1805</v>
      </c>
      <c r="D864" s="38" t="s">
        <v>59</v>
      </c>
      <c r="E864" s="40">
        <v>5494</v>
      </c>
      <c r="F864" s="41">
        <v>9.7000000000000003E-2</v>
      </c>
      <c r="G864" s="38">
        <v>36</v>
      </c>
      <c r="H864" s="38" t="s">
        <v>35</v>
      </c>
      <c r="I864" s="38" t="s">
        <v>83</v>
      </c>
      <c r="J864" s="38" t="s">
        <v>61</v>
      </c>
      <c r="K864" s="42">
        <v>147603</v>
      </c>
      <c r="L864" s="38" t="s">
        <v>68</v>
      </c>
      <c r="M864" s="43">
        <v>0.39</v>
      </c>
      <c r="N864" s="43">
        <v>0.57999999999999996</v>
      </c>
      <c r="O864" s="42">
        <v>6026.92</v>
      </c>
      <c r="P864" s="42">
        <v>0</v>
      </c>
    </row>
    <row r="865" spans="1:16" ht="15" customHeight="1" x14ac:dyDescent="0.3">
      <c r="A865" s="38" t="s">
        <v>1806</v>
      </c>
      <c r="B865" s="39">
        <v>45151</v>
      </c>
      <c r="C865" s="38" t="s">
        <v>1807</v>
      </c>
      <c r="D865" s="38" t="s">
        <v>75</v>
      </c>
      <c r="E865" s="40">
        <v>29841</v>
      </c>
      <c r="F865" s="41">
        <v>0.105</v>
      </c>
      <c r="G865" s="38">
        <v>60</v>
      </c>
      <c r="H865" s="38" t="s">
        <v>35</v>
      </c>
      <c r="I865" s="38" t="s">
        <v>80</v>
      </c>
      <c r="J865" s="38" t="s">
        <v>84</v>
      </c>
      <c r="K865" s="42">
        <v>140335</v>
      </c>
      <c r="L865" s="38" t="s">
        <v>85</v>
      </c>
      <c r="M865" s="43">
        <v>0.37</v>
      </c>
      <c r="N865" s="43">
        <v>0.68</v>
      </c>
      <c r="O865" s="42">
        <v>32974.300000000003</v>
      </c>
      <c r="P865" s="42">
        <v>0</v>
      </c>
    </row>
    <row r="866" spans="1:16" ht="15" customHeight="1" x14ac:dyDescent="0.3">
      <c r="A866" s="38" t="s">
        <v>1808</v>
      </c>
      <c r="B866" s="39">
        <v>45152</v>
      </c>
      <c r="C866" s="38" t="s">
        <v>1809</v>
      </c>
      <c r="D866" s="38" t="s">
        <v>59</v>
      </c>
      <c r="E866" s="40">
        <v>13112</v>
      </c>
      <c r="F866" s="41">
        <v>6.4000000000000001E-2</v>
      </c>
      <c r="G866" s="38">
        <v>60</v>
      </c>
      <c r="H866" s="38" t="s">
        <v>35</v>
      </c>
      <c r="I866" s="38" t="s">
        <v>80</v>
      </c>
      <c r="J866" s="38" t="s">
        <v>67</v>
      </c>
      <c r="K866" s="42">
        <v>140300</v>
      </c>
      <c r="L866" s="38" t="s">
        <v>62</v>
      </c>
      <c r="M866" s="43">
        <v>0.19</v>
      </c>
      <c r="N866" s="43">
        <v>0.75</v>
      </c>
      <c r="O866" s="42">
        <v>13951.17</v>
      </c>
      <c r="P866" s="42">
        <v>0</v>
      </c>
    </row>
    <row r="867" spans="1:16" ht="15" customHeight="1" x14ac:dyDescent="0.3">
      <c r="A867" s="38" t="s">
        <v>1810</v>
      </c>
      <c r="B867" s="39">
        <v>45152</v>
      </c>
      <c r="C867" s="38" t="s">
        <v>1811</v>
      </c>
      <c r="D867" s="38" t="s">
        <v>65</v>
      </c>
      <c r="E867" s="40">
        <v>12664</v>
      </c>
      <c r="F867" s="41">
        <v>0.13900000000000001</v>
      </c>
      <c r="G867" s="38">
        <v>36</v>
      </c>
      <c r="H867" s="38" t="s">
        <v>35</v>
      </c>
      <c r="I867" s="38" t="s">
        <v>60</v>
      </c>
      <c r="J867" s="38" t="s">
        <v>61</v>
      </c>
      <c r="K867" s="42">
        <v>72215</v>
      </c>
      <c r="L867" s="38" t="s">
        <v>85</v>
      </c>
      <c r="M867" s="43">
        <v>0.13</v>
      </c>
      <c r="N867" s="43">
        <v>0.93</v>
      </c>
      <c r="O867" s="42">
        <v>14424.3</v>
      </c>
      <c r="P867" s="42">
        <v>0</v>
      </c>
    </row>
    <row r="868" spans="1:16" ht="15" customHeight="1" x14ac:dyDescent="0.3">
      <c r="A868" s="38" t="s">
        <v>1812</v>
      </c>
      <c r="B868" s="39">
        <v>45153</v>
      </c>
      <c r="C868" s="38" t="s">
        <v>1813</v>
      </c>
      <c r="D868" s="38" t="s">
        <v>108</v>
      </c>
      <c r="E868" s="40">
        <v>35701</v>
      </c>
      <c r="F868" s="41">
        <v>6.0999999999999999E-2</v>
      </c>
      <c r="G868" s="38">
        <v>36</v>
      </c>
      <c r="H868" s="38" t="s">
        <v>35</v>
      </c>
      <c r="I868" s="38" t="s">
        <v>66</v>
      </c>
      <c r="J868" s="38" t="s">
        <v>61</v>
      </c>
      <c r="K868" s="42">
        <v>120012</v>
      </c>
      <c r="L868" s="38" t="s">
        <v>62</v>
      </c>
      <c r="M868" s="43">
        <v>0.17</v>
      </c>
      <c r="N868" s="43">
        <v>0.9</v>
      </c>
      <c r="O868" s="42">
        <v>37878.76</v>
      </c>
      <c r="P868" s="42">
        <v>0</v>
      </c>
    </row>
    <row r="869" spans="1:16" ht="15" customHeight="1" x14ac:dyDescent="0.3">
      <c r="A869" s="38" t="s">
        <v>1814</v>
      </c>
      <c r="B869" s="39">
        <v>45153</v>
      </c>
      <c r="C869" s="38" t="s">
        <v>1815</v>
      </c>
      <c r="D869" s="38" t="s">
        <v>75</v>
      </c>
      <c r="E869" s="40">
        <v>6655</v>
      </c>
      <c r="F869" s="41">
        <v>0.19400000000000001</v>
      </c>
      <c r="G869" s="38">
        <v>36</v>
      </c>
      <c r="H869" s="38" t="s">
        <v>35</v>
      </c>
      <c r="I869" s="38" t="s">
        <v>80</v>
      </c>
      <c r="J869" s="38" t="s">
        <v>61</v>
      </c>
      <c r="K869" s="42">
        <v>53989</v>
      </c>
      <c r="L869" s="38" t="s">
        <v>68</v>
      </c>
      <c r="M869" s="43">
        <v>0.19</v>
      </c>
      <c r="N869" s="43">
        <v>0.93</v>
      </c>
      <c r="O869" s="42">
        <v>7946.07</v>
      </c>
      <c r="P869" s="42">
        <v>0</v>
      </c>
    </row>
    <row r="870" spans="1:16" ht="15" customHeight="1" x14ac:dyDescent="0.3">
      <c r="A870" s="44" t="s">
        <v>1816</v>
      </c>
      <c r="B870" s="45">
        <v>45154</v>
      </c>
      <c r="C870" s="44" t="s">
        <v>1817</v>
      </c>
      <c r="D870" s="44" t="s">
        <v>138</v>
      </c>
      <c r="E870" s="46">
        <v>14081</v>
      </c>
      <c r="F870" s="47">
        <v>0.23799999999999999</v>
      </c>
      <c r="G870" s="44">
        <v>36</v>
      </c>
      <c r="H870" s="44" t="s">
        <v>36</v>
      </c>
      <c r="I870" s="44" t="s">
        <v>114</v>
      </c>
      <c r="J870" s="44" t="s">
        <v>67</v>
      </c>
      <c r="K870" s="48">
        <v>106067</v>
      </c>
      <c r="L870" s="44" t="s">
        <v>68</v>
      </c>
      <c r="M870" s="49">
        <v>0.3</v>
      </c>
      <c r="N870" s="49">
        <v>0.71</v>
      </c>
      <c r="O870" s="48">
        <v>4585.71</v>
      </c>
      <c r="P870" s="48">
        <v>0</v>
      </c>
    </row>
    <row r="871" spans="1:16" ht="15" customHeight="1" x14ac:dyDescent="0.3">
      <c r="A871" s="38" t="s">
        <v>1818</v>
      </c>
      <c r="B871" s="39">
        <v>45154</v>
      </c>
      <c r="C871" s="38" t="s">
        <v>1819</v>
      </c>
      <c r="D871" s="38" t="s">
        <v>65</v>
      </c>
      <c r="E871" s="40">
        <v>10715</v>
      </c>
      <c r="F871" s="41">
        <v>0.16400000000000001</v>
      </c>
      <c r="G871" s="38">
        <v>36</v>
      </c>
      <c r="H871" s="38" t="s">
        <v>35</v>
      </c>
      <c r="I871" s="38" t="s">
        <v>114</v>
      </c>
      <c r="J871" s="38" t="s">
        <v>72</v>
      </c>
      <c r="K871" s="42">
        <v>128239</v>
      </c>
      <c r="L871" s="38" t="s">
        <v>62</v>
      </c>
      <c r="M871" s="43">
        <v>0.47</v>
      </c>
      <c r="N871" s="43">
        <v>0.53</v>
      </c>
      <c r="O871" s="42">
        <v>12472.26</v>
      </c>
      <c r="P871" s="42">
        <v>0</v>
      </c>
    </row>
    <row r="872" spans="1:16" ht="15" customHeight="1" x14ac:dyDescent="0.3">
      <c r="A872" s="38" t="s">
        <v>1820</v>
      </c>
      <c r="B872" s="39">
        <v>45154</v>
      </c>
      <c r="C872" s="38" t="s">
        <v>1821</v>
      </c>
      <c r="D872" s="38" t="s">
        <v>108</v>
      </c>
      <c r="E872" s="40">
        <v>35450</v>
      </c>
      <c r="F872" s="41">
        <v>0.115</v>
      </c>
      <c r="G872" s="38">
        <v>60</v>
      </c>
      <c r="H872" s="38" t="s">
        <v>35</v>
      </c>
      <c r="I872" s="38" t="s">
        <v>71</v>
      </c>
      <c r="J872" s="38" t="s">
        <v>72</v>
      </c>
      <c r="K872" s="42">
        <v>116669</v>
      </c>
      <c r="L872" s="38" t="s">
        <v>68</v>
      </c>
      <c r="M872" s="43">
        <v>0.26</v>
      </c>
      <c r="N872" s="43">
        <v>0.64</v>
      </c>
      <c r="O872" s="42">
        <v>39526.75</v>
      </c>
      <c r="P872" s="42">
        <v>0</v>
      </c>
    </row>
    <row r="873" spans="1:16" ht="15" customHeight="1" x14ac:dyDescent="0.3">
      <c r="A873" s="44" t="s">
        <v>1822</v>
      </c>
      <c r="B873" s="45">
        <v>45154</v>
      </c>
      <c r="C873" s="44" t="s">
        <v>1823</v>
      </c>
      <c r="D873" s="44" t="s">
        <v>125</v>
      </c>
      <c r="E873" s="46">
        <v>7819</v>
      </c>
      <c r="F873" s="47">
        <v>0.121</v>
      </c>
      <c r="G873" s="44">
        <v>36</v>
      </c>
      <c r="H873" s="44" t="s">
        <v>36</v>
      </c>
      <c r="I873" s="44" t="s">
        <v>60</v>
      </c>
      <c r="J873" s="44" t="s">
        <v>61</v>
      </c>
      <c r="K873" s="48">
        <v>55307</v>
      </c>
      <c r="L873" s="44" t="s">
        <v>62</v>
      </c>
      <c r="M873" s="49">
        <v>0.12</v>
      </c>
      <c r="N873" s="49">
        <v>0.85</v>
      </c>
      <c r="O873" s="48">
        <v>722.43</v>
      </c>
      <c r="P873" s="48">
        <v>0</v>
      </c>
    </row>
    <row r="874" spans="1:16" ht="15" customHeight="1" x14ac:dyDescent="0.3">
      <c r="A874" s="38" t="s">
        <v>1824</v>
      </c>
      <c r="B874" s="39">
        <v>45155</v>
      </c>
      <c r="C874" s="38" t="s">
        <v>1825</v>
      </c>
      <c r="D874" s="38" t="s">
        <v>125</v>
      </c>
      <c r="E874" s="40">
        <v>34142</v>
      </c>
      <c r="F874" s="41">
        <v>0.221</v>
      </c>
      <c r="G874" s="38">
        <v>60</v>
      </c>
      <c r="H874" s="38" t="s">
        <v>35</v>
      </c>
      <c r="I874" s="38" t="s">
        <v>60</v>
      </c>
      <c r="J874" s="38" t="s">
        <v>72</v>
      </c>
      <c r="K874" s="42">
        <v>55566</v>
      </c>
      <c r="L874" s="38" t="s">
        <v>62</v>
      </c>
      <c r="M874" s="43">
        <v>0.43</v>
      </c>
      <c r="N874" s="43">
        <v>0.92</v>
      </c>
      <c r="O874" s="42">
        <v>41687.379999999997</v>
      </c>
      <c r="P874" s="42">
        <v>0</v>
      </c>
    </row>
    <row r="875" spans="1:16" ht="15" customHeight="1" x14ac:dyDescent="0.3">
      <c r="A875" s="38" t="s">
        <v>1826</v>
      </c>
      <c r="B875" s="39">
        <v>45156</v>
      </c>
      <c r="C875" s="38" t="s">
        <v>1827</v>
      </c>
      <c r="D875" s="38" t="s">
        <v>65</v>
      </c>
      <c r="E875" s="40">
        <v>21420</v>
      </c>
      <c r="F875" s="41">
        <v>0.11899999999999999</v>
      </c>
      <c r="G875" s="38">
        <v>60</v>
      </c>
      <c r="H875" s="38" t="s">
        <v>35</v>
      </c>
      <c r="I875" s="38" t="s">
        <v>60</v>
      </c>
      <c r="J875" s="38" t="s">
        <v>84</v>
      </c>
      <c r="K875" s="42">
        <v>80626</v>
      </c>
      <c r="L875" s="38" t="s">
        <v>85</v>
      </c>
      <c r="M875" s="43">
        <v>0.18</v>
      </c>
      <c r="N875" s="43">
        <v>0.53</v>
      </c>
      <c r="O875" s="42">
        <v>23968.98</v>
      </c>
      <c r="P875" s="42">
        <v>0</v>
      </c>
    </row>
    <row r="876" spans="1:16" ht="15" customHeight="1" x14ac:dyDescent="0.3">
      <c r="A876" s="38" t="s">
        <v>1828</v>
      </c>
      <c r="B876" s="39">
        <v>45157</v>
      </c>
      <c r="C876" s="38" t="s">
        <v>1829</v>
      </c>
      <c r="D876" s="38" t="s">
        <v>138</v>
      </c>
      <c r="E876" s="40">
        <v>5232</v>
      </c>
      <c r="F876" s="41">
        <v>0.08</v>
      </c>
      <c r="G876" s="38">
        <v>36</v>
      </c>
      <c r="H876" s="38" t="s">
        <v>35</v>
      </c>
      <c r="I876" s="38" t="s">
        <v>71</v>
      </c>
      <c r="J876" s="38" t="s">
        <v>76</v>
      </c>
      <c r="K876" s="42">
        <v>65740</v>
      </c>
      <c r="L876" s="38" t="s">
        <v>68</v>
      </c>
      <c r="M876" s="43">
        <v>0.5</v>
      </c>
      <c r="N876" s="43">
        <v>0.72</v>
      </c>
      <c r="O876" s="42">
        <v>5650.56</v>
      </c>
      <c r="P876" s="42">
        <v>0</v>
      </c>
    </row>
    <row r="877" spans="1:16" ht="15" customHeight="1" x14ac:dyDescent="0.3">
      <c r="A877" s="38" t="s">
        <v>1830</v>
      </c>
      <c r="B877" s="39">
        <v>45158</v>
      </c>
      <c r="C877" s="38" t="s">
        <v>1831</v>
      </c>
      <c r="D877" s="38" t="s">
        <v>108</v>
      </c>
      <c r="E877" s="40">
        <v>37509</v>
      </c>
      <c r="F877" s="41">
        <v>0.159</v>
      </c>
      <c r="G877" s="38">
        <v>60</v>
      </c>
      <c r="H877" s="38" t="s">
        <v>35</v>
      </c>
      <c r="I877" s="38" t="s">
        <v>83</v>
      </c>
      <c r="J877" s="38" t="s">
        <v>67</v>
      </c>
      <c r="K877" s="42">
        <v>126462</v>
      </c>
      <c r="L877" s="38" t="s">
        <v>68</v>
      </c>
      <c r="M877" s="43">
        <v>0.17</v>
      </c>
      <c r="N877" s="43">
        <v>0.69</v>
      </c>
      <c r="O877" s="42">
        <v>43472.93</v>
      </c>
      <c r="P877" s="42">
        <v>0</v>
      </c>
    </row>
    <row r="878" spans="1:16" ht="15" customHeight="1" x14ac:dyDescent="0.3">
      <c r="A878" s="56" t="s">
        <v>1832</v>
      </c>
      <c r="B878" s="57">
        <v>45163</v>
      </c>
      <c r="C878" s="56" t="s">
        <v>1833</v>
      </c>
      <c r="D878" s="56" t="s">
        <v>88</v>
      </c>
      <c r="E878" s="58">
        <v>24429</v>
      </c>
      <c r="F878" s="59">
        <v>0.16600000000000001</v>
      </c>
      <c r="G878" s="56">
        <v>60</v>
      </c>
      <c r="H878" s="56" t="s">
        <v>37</v>
      </c>
      <c r="I878" s="56" t="s">
        <v>83</v>
      </c>
      <c r="J878" s="56" t="s">
        <v>61</v>
      </c>
      <c r="K878" s="60">
        <v>55901</v>
      </c>
      <c r="L878" s="56" t="s">
        <v>85</v>
      </c>
      <c r="M878" s="61">
        <v>0.1</v>
      </c>
      <c r="N878" s="61">
        <v>0.76</v>
      </c>
      <c r="O878" s="60">
        <v>6635.65</v>
      </c>
      <c r="P878" s="60">
        <v>6328.17</v>
      </c>
    </row>
    <row r="879" spans="1:16" ht="15" customHeight="1" x14ac:dyDescent="0.3">
      <c r="A879" s="38" t="s">
        <v>1834</v>
      </c>
      <c r="B879" s="39">
        <v>45164</v>
      </c>
      <c r="C879" s="38" t="s">
        <v>1835</v>
      </c>
      <c r="D879" s="38" t="s">
        <v>113</v>
      </c>
      <c r="E879" s="40">
        <v>12171</v>
      </c>
      <c r="F879" s="41">
        <v>0.22800000000000001</v>
      </c>
      <c r="G879" s="38">
        <v>60</v>
      </c>
      <c r="H879" s="38" t="s">
        <v>35</v>
      </c>
      <c r="I879" s="38" t="s">
        <v>71</v>
      </c>
      <c r="J879" s="38" t="s">
        <v>76</v>
      </c>
      <c r="K879" s="42">
        <v>75541</v>
      </c>
      <c r="L879" s="38" t="s">
        <v>85</v>
      </c>
      <c r="M879" s="43">
        <v>0.35</v>
      </c>
      <c r="N879" s="43">
        <v>0.68</v>
      </c>
      <c r="O879" s="42">
        <v>14945.99</v>
      </c>
      <c r="P879" s="42">
        <v>0</v>
      </c>
    </row>
    <row r="880" spans="1:16" ht="15" customHeight="1" x14ac:dyDescent="0.3">
      <c r="A880" s="38" t="s">
        <v>1836</v>
      </c>
      <c r="B880" s="39">
        <v>45165</v>
      </c>
      <c r="C880" s="38" t="s">
        <v>1837</v>
      </c>
      <c r="D880" s="38" t="s">
        <v>113</v>
      </c>
      <c r="E880" s="40">
        <v>22932</v>
      </c>
      <c r="F880" s="41">
        <v>7.0999999999999994E-2</v>
      </c>
      <c r="G880" s="38">
        <v>60</v>
      </c>
      <c r="H880" s="38" t="s">
        <v>35</v>
      </c>
      <c r="I880" s="38" t="s">
        <v>60</v>
      </c>
      <c r="J880" s="38" t="s">
        <v>61</v>
      </c>
      <c r="K880" s="42">
        <v>50566</v>
      </c>
      <c r="L880" s="38" t="s">
        <v>85</v>
      </c>
      <c r="M880" s="43">
        <v>0.2</v>
      </c>
      <c r="N880" s="43">
        <v>0.9</v>
      </c>
      <c r="O880" s="42">
        <v>24560.17</v>
      </c>
      <c r="P880" s="42">
        <v>0</v>
      </c>
    </row>
    <row r="881" spans="1:16" ht="15" customHeight="1" x14ac:dyDescent="0.3">
      <c r="A881" s="38" t="s">
        <v>1838</v>
      </c>
      <c r="B881" s="39">
        <v>45166</v>
      </c>
      <c r="C881" s="38" t="s">
        <v>1839</v>
      </c>
      <c r="D881" s="38" t="s">
        <v>59</v>
      </c>
      <c r="E881" s="40">
        <v>30759</v>
      </c>
      <c r="F881" s="41">
        <v>7.0999999999999994E-2</v>
      </c>
      <c r="G881" s="38">
        <v>36</v>
      </c>
      <c r="H881" s="38" t="s">
        <v>35</v>
      </c>
      <c r="I881" s="38" t="s">
        <v>257</v>
      </c>
      <c r="J881" s="38" t="s">
        <v>84</v>
      </c>
      <c r="K881" s="42">
        <v>124835</v>
      </c>
      <c r="L881" s="38" t="s">
        <v>68</v>
      </c>
      <c r="M881" s="43">
        <v>0.22</v>
      </c>
      <c r="N881" s="43">
        <v>0.72</v>
      </c>
      <c r="O881" s="42">
        <v>32942.89</v>
      </c>
      <c r="P881" s="42">
        <v>0</v>
      </c>
    </row>
    <row r="882" spans="1:16" ht="15" customHeight="1" x14ac:dyDescent="0.3">
      <c r="A882" s="44" t="s">
        <v>1840</v>
      </c>
      <c r="B882" s="45">
        <v>45167</v>
      </c>
      <c r="C882" s="44" t="s">
        <v>1841</v>
      </c>
      <c r="D882" s="44" t="s">
        <v>113</v>
      </c>
      <c r="E882" s="46">
        <v>23015</v>
      </c>
      <c r="F882" s="47">
        <v>0.14499999999999999</v>
      </c>
      <c r="G882" s="44">
        <v>60</v>
      </c>
      <c r="H882" s="44" t="s">
        <v>36</v>
      </c>
      <c r="I882" s="44" t="s">
        <v>80</v>
      </c>
      <c r="J882" s="44" t="s">
        <v>84</v>
      </c>
      <c r="K882" s="48">
        <v>40335</v>
      </c>
      <c r="L882" s="44" t="s">
        <v>62</v>
      </c>
      <c r="M882" s="49">
        <v>0.1</v>
      </c>
      <c r="N882" s="49">
        <v>0.87</v>
      </c>
      <c r="O882" s="48">
        <v>11485.91</v>
      </c>
      <c r="P882" s="48">
        <v>0</v>
      </c>
    </row>
    <row r="883" spans="1:16" ht="15" customHeight="1" x14ac:dyDescent="0.3">
      <c r="A883" s="38" t="s">
        <v>1842</v>
      </c>
      <c r="B883" s="39">
        <v>45168</v>
      </c>
      <c r="C883" s="38" t="s">
        <v>1843</v>
      </c>
      <c r="D883" s="38" t="s">
        <v>88</v>
      </c>
      <c r="E883" s="40">
        <v>11706</v>
      </c>
      <c r="F883" s="41">
        <v>0.14899999999999999</v>
      </c>
      <c r="G883" s="38">
        <v>60</v>
      </c>
      <c r="H883" s="38" t="s">
        <v>35</v>
      </c>
      <c r="I883" s="38" t="s">
        <v>83</v>
      </c>
      <c r="J883" s="38" t="s">
        <v>84</v>
      </c>
      <c r="K883" s="42">
        <v>86984</v>
      </c>
      <c r="L883" s="38" t="s">
        <v>68</v>
      </c>
      <c r="M883" s="43">
        <v>0.25</v>
      </c>
      <c r="N883" s="43">
        <v>0.73</v>
      </c>
      <c r="O883" s="42">
        <v>13450.19</v>
      </c>
      <c r="P883" s="42">
        <v>0</v>
      </c>
    </row>
    <row r="884" spans="1:16" ht="15" customHeight="1" x14ac:dyDescent="0.3">
      <c r="A884" s="38" t="s">
        <v>1844</v>
      </c>
      <c r="B884" s="39">
        <v>45168</v>
      </c>
      <c r="C884" s="38" t="s">
        <v>1845</v>
      </c>
      <c r="D884" s="38" t="s">
        <v>65</v>
      </c>
      <c r="E884" s="40">
        <v>30426</v>
      </c>
      <c r="F884" s="41">
        <v>5.8000000000000003E-2</v>
      </c>
      <c r="G884" s="38">
        <v>36</v>
      </c>
      <c r="H884" s="38" t="s">
        <v>35</v>
      </c>
      <c r="I884" s="38" t="s">
        <v>80</v>
      </c>
      <c r="J884" s="38" t="s">
        <v>76</v>
      </c>
      <c r="K884" s="42">
        <v>96983</v>
      </c>
      <c r="L884" s="38" t="s">
        <v>85</v>
      </c>
      <c r="M884" s="43">
        <v>0.45</v>
      </c>
      <c r="N884" s="43">
        <v>0.83</v>
      </c>
      <c r="O884" s="42">
        <v>32190.71</v>
      </c>
      <c r="P884" s="42">
        <v>0</v>
      </c>
    </row>
    <row r="885" spans="1:16" ht="15" customHeight="1" x14ac:dyDescent="0.3">
      <c r="A885" s="44" t="s">
        <v>1846</v>
      </c>
      <c r="B885" s="45">
        <v>45169</v>
      </c>
      <c r="C885" s="44" t="s">
        <v>1847</v>
      </c>
      <c r="D885" s="44" t="s">
        <v>113</v>
      </c>
      <c r="E885" s="46">
        <v>10323</v>
      </c>
      <c r="F885" s="47">
        <v>0.127</v>
      </c>
      <c r="G885" s="44">
        <v>60</v>
      </c>
      <c r="H885" s="44" t="s">
        <v>36</v>
      </c>
      <c r="I885" s="44" t="s">
        <v>60</v>
      </c>
      <c r="J885" s="44" t="s">
        <v>84</v>
      </c>
      <c r="K885" s="48">
        <v>71609</v>
      </c>
      <c r="L885" s="44" t="s">
        <v>68</v>
      </c>
      <c r="M885" s="49">
        <v>0.27</v>
      </c>
      <c r="N885" s="49">
        <v>0.6</v>
      </c>
      <c r="O885" s="48">
        <v>3378.2</v>
      </c>
      <c r="P885" s="48">
        <v>0</v>
      </c>
    </row>
    <row r="886" spans="1:16" ht="15" customHeight="1" x14ac:dyDescent="0.3">
      <c r="A886" s="38" t="s">
        <v>1848</v>
      </c>
      <c r="B886" s="39">
        <v>45172</v>
      </c>
      <c r="C886" s="38" t="s">
        <v>1849</v>
      </c>
      <c r="D886" s="38" t="s">
        <v>97</v>
      </c>
      <c r="E886" s="40">
        <v>12555</v>
      </c>
      <c r="F886" s="41">
        <v>0.248</v>
      </c>
      <c r="G886" s="38">
        <v>36</v>
      </c>
      <c r="H886" s="38" t="s">
        <v>35</v>
      </c>
      <c r="I886" s="38" t="s">
        <v>60</v>
      </c>
      <c r="J886" s="38" t="s">
        <v>67</v>
      </c>
      <c r="K886" s="42">
        <v>85480</v>
      </c>
      <c r="L886" s="38" t="s">
        <v>62</v>
      </c>
      <c r="M886" s="43">
        <v>0.19</v>
      </c>
      <c r="N886" s="43">
        <v>0.73</v>
      </c>
      <c r="O886" s="42">
        <v>15668.64</v>
      </c>
      <c r="P886" s="42">
        <v>0</v>
      </c>
    </row>
    <row r="887" spans="1:16" ht="15" customHeight="1" x14ac:dyDescent="0.3">
      <c r="A887" s="38" t="s">
        <v>1850</v>
      </c>
      <c r="B887" s="39">
        <v>45174</v>
      </c>
      <c r="C887" s="38" t="s">
        <v>1851</v>
      </c>
      <c r="D887" s="38" t="s">
        <v>125</v>
      </c>
      <c r="E887" s="40">
        <v>39559</v>
      </c>
      <c r="F887" s="41">
        <v>0.13200000000000001</v>
      </c>
      <c r="G887" s="38">
        <v>36</v>
      </c>
      <c r="H887" s="38" t="s">
        <v>35</v>
      </c>
      <c r="I887" s="38" t="s">
        <v>83</v>
      </c>
      <c r="J887" s="38" t="s">
        <v>84</v>
      </c>
      <c r="K887" s="42">
        <v>33327</v>
      </c>
      <c r="L887" s="38" t="s">
        <v>68</v>
      </c>
      <c r="M887" s="43">
        <v>0.38</v>
      </c>
      <c r="N887" s="43">
        <v>0.65</v>
      </c>
      <c r="O887" s="42">
        <v>44780.79</v>
      </c>
      <c r="P887" s="42">
        <v>0</v>
      </c>
    </row>
    <row r="888" spans="1:16" ht="15" customHeight="1" x14ac:dyDescent="0.3">
      <c r="A888" s="38" t="s">
        <v>1852</v>
      </c>
      <c r="B888" s="39">
        <v>45177</v>
      </c>
      <c r="C888" s="38" t="s">
        <v>1853</v>
      </c>
      <c r="D888" s="38" t="s">
        <v>97</v>
      </c>
      <c r="E888" s="40">
        <v>4738</v>
      </c>
      <c r="F888" s="41">
        <v>5.3999999999999999E-2</v>
      </c>
      <c r="G888" s="38">
        <v>36</v>
      </c>
      <c r="H888" s="38" t="s">
        <v>35</v>
      </c>
      <c r="I888" s="38" t="s">
        <v>80</v>
      </c>
      <c r="J888" s="38" t="s">
        <v>72</v>
      </c>
      <c r="K888" s="42">
        <v>143237</v>
      </c>
      <c r="L888" s="38" t="s">
        <v>68</v>
      </c>
      <c r="M888" s="43">
        <v>0.36</v>
      </c>
      <c r="N888" s="43">
        <v>0.88</v>
      </c>
      <c r="O888" s="42">
        <v>4993.8500000000004</v>
      </c>
      <c r="P888" s="42">
        <v>0</v>
      </c>
    </row>
    <row r="889" spans="1:16" ht="15" customHeight="1" x14ac:dyDescent="0.3">
      <c r="A889" s="38" t="s">
        <v>1854</v>
      </c>
      <c r="B889" s="39">
        <v>45178</v>
      </c>
      <c r="C889" s="38" t="s">
        <v>1855</v>
      </c>
      <c r="D889" s="38" t="s">
        <v>59</v>
      </c>
      <c r="E889" s="40">
        <v>34933</v>
      </c>
      <c r="F889" s="41">
        <v>0.19900000000000001</v>
      </c>
      <c r="G889" s="38">
        <v>36</v>
      </c>
      <c r="H889" s="38" t="s">
        <v>35</v>
      </c>
      <c r="I889" s="38" t="s">
        <v>80</v>
      </c>
      <c r="J889" s="38" t="s">
        <v>67</v>
      </c>
      <c r="K889" s="42">
        <v>61709</v>
      </c>
      <c r="L889" s="38" t="s">
        <v>85</v>
      </c>
      <c r="M889" s="43">
        <v>0.12</v>
      </c>
      <c r="N889" s="43">
        <v>0.72</v>
      </c>
      <c r="O889" s="42">
        <v>41884.67</v>
      </c>
      <c r="P889" s="42">
        <v>0</v>
      </c>
    </row>
    <row r="890" spans="1:16" ht="15" customHeight="1" x14ac:dyDescent="0.3">
      <c r="A890" s="38" t="s">
        <v>1856</v>
      </c>
      <c r="B890" s="39">
        <v>45179</v>
      </c>
      <c r="C890" s="38" t="s">
        <v>1857</v>
      </c>
      <c r="D890" s="38" t="s">
        <v>59</v>
      </c>
      <c r="E890" s="40">
        <v>6435</v>
      </c>
      <c r="F890" s="41">
        <v>7.5999999999999998E-2</v>
      </c>
      <c r="G890" s="38">
        <v>60</v>
      </c>
      <c r="H890" s="38" t="s">
        <v>35</v>
      </c>
      <c r="I890" s="38" t="s">
        <v>60</v>
      </c>
      <c r="J890" s="38" t="s">
        <v>61</v>
      </c>
      <c r="K890" s="42">
        <v>36305</v>
      </c>
      <c r="L890" s="38" t="s">
        <v>68</v>
      </c>
      <c r="M890" s="43">
        <v>0.15</v>
      </c>
      <c r="N890" s="43">
        <v>0.51</v>
      </c>
      <c r="O890" s="42">
        <v>6924.06</v>
      </c>
      <c r="P890" s="42">
        <v>0</v>
      </c>
    </row>
    <row r="891" spans="1:16" ht="15" customHeight="1" x14ac:dyDescent="0.3">
      <c r="A891" s="56" t="s">
        <v>1858</v>
      </c>
      <c r="B891" s="57">
        <v>45180</v>
      </c>
      <c r="C891" s="56" t="s">
        <v>1859</v>
      </c>
      <c r="D891" s="56" t="s">
        <v>113</v>
      </c>
      <c r="E891" s="58">
        <v>2969</v>
      </c>
      <c r="F891" s="59">
        <v>0.16800000000000001</v>
      </c>
      <c r="G891" s="56">
        <v>36</v>
      </c>
      <c r="H891" s="56" t="s">
        <v>37</v>
      </c>
      <c r="I891" s="56" t="s">
        <v>114</v>
      </c>
      <c r="J891" s="56" t="s">
        <v>67</v>
      </c>
      <c r="K891" s="60">
        <v>147473</v>
      </c>
      <c r="L891" s="56" t="s">
        <v>68</v>
      </c>
      <c r="M891" s="61">
        <v>0.49</v>
      </c>
      <c r="N891" s="61">
        <v>0.85</v>
      </c>
      <c r="O891" s="60">
        <v>760.95</v>
      </c>
      <c r="P891" s="60">
        <v>303.63</v>
      </c>
    </row>
    <row r="892" spans="1:16" ht="15" customHeight="1" x14ac:dyDescent="0.3">
      <c r="A892" s="38" t="s">
        <v>1860</v>
      </c>
      <c r="B892" s="39">
        <v>45180</v>
      </c>
      <c r="C892" s="38" t="s">
        <v>1861</v>
      </c>
      <c r="D892" s="38" t="s">
        <v>88</v>
      </c>
      <c r="E892" s="40">
        <v>16504</v>
      </c>
      <c r="F892" s="41">
        <v>0.129</v>
      </c>
      <c r="G892" s="38">
        <v>60</v>
      </c>
      <c r="H892" s="38" t="s">
        <v>35</v>
      </c>
      <c r="I892" s="38" t="s">
        <v>60</v>
      </c>
      <c r="J892" s="38" t="s">
        <v>76</v>
      </c>
      <c r="K892" s="42">
        <v>41874</v>
      </c>
      <c r="L892" s="38" t="s">
        <v>68</v>
      </c>
      <c r="M892" s="43">
        <v>0.27</v>
      </c>
      <c r="N892" s="43">
        <v>0.94</v>
      </c>
      <c r="O892" s="42">
        <v>18633.02</v>
      </c>
      <c r="P892" s="42">
        <v>0</v>
      </c>
    </row>
    <row r="893" spans="1:16" ht="15" customHeight="1" x14ac:dyDescent="0.3">
      <c r="A893" s="38" t="s">
        <v>1862</v>
      </c>
      <c r="B893" s="39">
        <v>45181</v>
      </c>
      <c r="C893" s="38" t="s">
        <v>1863</v>
      </c>
      <c r="D893" s="38" t="s">
        <v>65</v>
      </c>
      <c r="E893" s="40">
        <v>20169</v>
      </c>
      <c r="F893" s="41">
        <v>0.23100000000000001</v>
      </c>
      <c r="G893" s="38">
        <v>36</v>
      </c>
      <c r="H893" s="38" t="s">
        <v>35</v>
      </c>
      <c r="I893" s="38" t="s">
        <v>114</v>
      </c>
      <c r="J893" s="38" t="s">
        <v>67</v>
      </c>
      <c r="K893" s="42">
        <v>74041</v>
      </c>
      <c r="L893" s="38" t="s">
        <v>62</v>
      </c>
      <c r="M893" s="43">
        <v>0.26</v>
      </c>
      <c r="N893" s="43">
        <v>0.8</v>
      </c>
      <c r="O893" s="42">
        <v>24828.04</v>
      </c>
      <c r="P893" s="42">
        <v>0</v>
      </c>
    </row>
    <row r="894" spans="1:16" ht="15" customHeight="1" x14ac:dyDescent="0.3">
      <c r="A894" s="38" t="s">
        <v>1864</v>
      </c>
      <c r="B894" s="39">
        <v>45184</v>
      </c>
      <c r="C894" s="38" t="s">
        <v>1865</v>
      </c>
      <c r="D894" s="38" t="s">
        <v>75</v>
      </c>
      <c r="E894" s="40">
        <v>27526</v>
      </c>
      <c r="F894" s="41">
        <v>9.4E-2</v>
      </c>
      <c r="G894" s="38">
        <v>36</v>
      </c>
      <c r="H894" s="38" t="s">
        <v>35</v>
      </c>
      <c r="I894" s="38" t="s">
        <v>71</v>
      </c>
      <c r="J894" s="38" t="s">
        <v>61</v>
      </c>
      <c r="K894" s="42">
        <v>37347</v>
      </c>
      <c r="L894" s="38" t="s">
        <v>62</v>
      </c>
      <c r="M894" s="43">
        <v>0.4</v>
      </c>
      <c r="N894" s="43">
        <v>0.5</v>
      </c>
      <c r="O894" s="42">
        <v>30113.439999999999</v>
      </c>
      <c r="P894" s="42">
        <v>0</v>
      </c>
    </row>
    <row r="895" spans="1:16" ht="15" customHeight="1" x14ac:dyDescent="0.3">
      <c r="A895" s="38" t="s">
        <v>1866</v>
      </c>
      <c r="B895" s="39">
        <v>45186</v>
      </c>
      <c r="C895" s="38" t="s">
        <v>1867</v>
      </c>
      <c r="D895" s="38" t="s">
        <v>138</v>
      </c>
      <c r="E895" s="40">
        <v>38946</v>
      </c>
      <c r="F895" s="41">
        <v>0.156</v>
      </c>
      <c r="G895" s="38">
        <v>36</v>
      </c>
      <c r="H895" s="38" t="s">
        <v>35</v>
      </c>
      <c r="I895" s="38" t="s">
        <v>60</v>
      </c>
      <c r="J895" s="38" t="s">
        <v>76</v>
      </c>
      <c r="K895" s="42">
        <v>31881</v>
      </c>
      <c r="L895" s="38" t="s">
        <v>68</v>
      </c>
      <c r="M895" s="43">
        <v>0.17</v>
      </c>
      <c r="N895" s="43">
        <v>0.75</v>
      </c>
      <c r="O895" s="42">
        <v>45021.58</v>
      </c>
      <c r="P895" s="42">
        <v>0</v>
      </c>
    </row>
    <row r="896" spans="1:16" ht="15" customHeight="1" x14ac:dyDescent="0.3">
      <c r="A896" s="38" t="s">
        <v>1868</v>
      </c>
      <c r="B896" s="39">
        <v>45186</v>
      </c>
      <c r="C896" s="38" t="s">
        <v>1869</v>
      </c>
      <c r="D896" s="38" t="s">
        <v>65</v>
      </c>
      <c r="E896" s="40">
        <v>29763</v>
      </c>
      <c r="F896" s="41">
        <v>9.8000000000000004E-2</v>
      </c>
      <c r="G896" s="38">
        <v>36</v>
      </c>
      <c r="H896" s="38" t="s">
        <v>35</v>
      </c>
      <c r="I896" s="38" t="s">
        <v>71</v>
      </c>
      <c r="J896" s="38" t="s">
        <v>84</v>
      </c>
      <c r="K896" s="42">
        <v>135583</v>
      </c>
      <c r="L896" s="38" t="s">
        <v>62</v>
      </c>
      <c r="M896" s="43">
        <v>0.43</v>
      </c>
      <c r="N896" s="43">
        <v>0.54</v>
      </c>
      <c r="O896" s="42">
        <v>32679.77</v>
      </c>
      <c r="P896" s="42">
        <v>0</v>
      </c>
    </row>
    <row r="897" spans="1:16" ht="15" customHeight="1" x14ac:dyDescent="0.3">
      <c r="A897" s="56" t="s">
        <v>1870</v>
      </c>
      <c r="B897" s="57">
        <v>45188</v>
      </c>
      <c r="C897" s="56" t="s">
        <v>1871</v>
      </c>
      <c r="D897" s="56" t="s">
        <v>97</v>
      </c>
      <c r="E897" s="58">
        <v>22195</v>
      </c>
      <c r="F897" s="59">
        <v>6.9000000000000006E-2</v>
      </c>
      <c r="G897" s="56">
        <v>36</v>
      </c>
      <c r="H897" s="56" t="s">
        <v>37</v>
      </c>
      <c r="I897" s="56" t="s">
        <v>83</v>
      </c>
      <c r="J897" s="56" t="s">
        <v>61</v>
      </c>
      <c r="K897" s="60">
        <v>109768</v>
      </c>
      <c r="L897" s="56" t="s">
        <v>62</v>
      </c>
      <c r="M897" s="61">
        <v>0.12</v>
      </c>
      <c r="N897" s="61">
        <v>0.89</v>
      </c>
      <c r="O897" s="60">
        <v>7543.49</v>
      </c>
      <c r="P897" s="60">
        <v>5682.73</v>
      </c>
    </row>
    <row r="898" spans="1:16" ht="15" customHeight="1" x14ac:dyDescent="0.3">
      <c r="A898" s="44" t="s">
        <v>1872</v>
      </c>
      <c r="B898" s="45">
        <v>45189</v>
      </c>
      <c r="C898" s="44" t="s">
        <v>1873</v>
      </c>
      <c r="D898" s="44" t="s">
        <v>113</v>
      </c>
      <c r="E898" s="46">
        <v>10077</v>
      </c>
      <c r="F898" s="47">
        <v>0.11899999999999999</v>
      </c>
      <c r="G898" s="44">
        <v>60</v>
      </c>
      <c r="H898" s="44" t="s">
        <v>36</v>
      </c>
      <c r="I898" s="44" t="s">
        <v>83</v>
      </c>
      <c r="J898" s="44" t="s">
        <v>61</v>
      </c>
      <c r="K898" s="48">
        <v>60257</v>
      </c>
      <c r="L898" s="44" t="s">
        <v>85</v>
      </c>
      <c r="M898" s="49">
        <v>0.2</v>
      </c>
      <c r="N898" s="49">
        <v>0.6</v>
      </c>
      <c r="O898" s="48">
        <v>2828.27</v>
      </c>
      <c r="P898" s="48">
        <v>0</v>
      </c>
    </row>
    <row r="899" spans="1:16" ht="15" customHeight="1" x14ac:dyDescent="0.3">
      <c r="A899" s="38" t="s">
        <v>1874</v>
      </c>
      <c r="B899" s="39">
        <v>45189</v>
      </c>
      <c r="C899" s="38" t="s">
        <v>1875</v>
      </c>
      <c r="D899" s="38" t="s">
        <v>75</v>
      </c>
      <c r="E899" s="40">
        <v>17163</v>
      </c>
      <c r="F899" s="41">
        <v>0.23899999999999999</v>
      </c>
      <c r="G899" s="38">
        <v>36</v>
      </c>
      <c r="H899" s="38" t="s">
        <v>35</v>
      </c>
      <c r="I899" s="38" t="s">
        <v>80</v>
      </c>
      <c r="J899" s="38" t="s">
        <v>61</v>
      </c>
      <c r="K899" s="42">
        <v>61954</v>
      </c>
      <c r="L899" s="38" t="s">
        <v>85</v>
      </c>
      <c r="M899" s="43">
        <v>0.28999999999999998</v>
      </c>
      <c r="N899" s="43">
        <v>0.86</v>
      </c>
      <c r="O899" s="42">
        <v>21264.959999999999</v>
      </c>
      <c r="P899" s="42">
        <v>0</v>
      </c>
    </row>
    <row r="900" spans="1:16" ht="15" customHeight="1" x14ac:dyDescent="0.3">
      <c r="A900" s="44" t="s">
        <v>1876</v>
      </c>
      <c r="B900" s="45">
        <v>45189</v>
      </c>
      <c r="C900" s="44" t="s">
        <v>1877</v>
      </c>
      <c r="D900" s="44" t="s">
        <v>125</v>
      </c>
      <c r="E900" s="46">
        <v>17456</v>
      </c>
      <c r="F900" s="47">
        <v>0.223</v>
      </c>
      <c r="G900" s="44">
        <v>36</v>
      </c>
      <c r="H900" s="44" t="s">
        <v>36</v>
      </c>
      <c r="I900" s="44" t="s">
        <v>83</v>
      </c>
      <c r="J900" s="44" t="s">
        <v>67</v>
      </c>
      <c r="K900" s="48">
        <v>107475</v>
      </c>
      <c r="L900" s="44" t="s">
        <v>62</v>
      </c>
      <c r="M900" s="49">
        <v>0.21</v>
      </c>
      <c r="N900" s="49">
        <v>0.73</v>
      </c>
      <c r="O900" s="48">
        <v>7474.7</v>
      </c>
      <c r="P900" s="48">
        <v>0</v>
      </c>
    </row>
    <row r="901" spans="1:16" ht="15" customHeight="1" x14ac:dyDescent="0.3">
      <c r="A901" s="38" t="s">
        <v>1878</v>
      </c>
      <c r="B901" s="39">
        <v>45189</v>
      </c>
      <c r="C901" s="38" t="s">
        <v>1879</v>
      </c>
      <c r="D901" s="38" t="s">
        <v>138</v>
      </c>
      <c r="E901" s="40">
        <v>33088</v>
      </c>
      <c r="F901" s="41">
        <v>0.23899999999999999</v>
      </c>
      <c r="G901" s="38">
        <v>36</v>
      </c>
      <c r="H901" s="38" t="s">
        <v>35</v>
      </c>
      <c r="I901" s="38" t="s">
        <v>257</v>
      </c>
      <c r="J901" s="38" t="s">
        <v>61</v>
      </c>
      <c r="K901" s="42">
        <v>92767</v>
      </c>
      <c r="L901" s="38" t="s">
        <v>62</v>
      </c>
      <c r="M901" s="43">
        <v>0.28999999999999998</v>
      </c>
      <c r="N901" s="43">
        <v>0.85</v>
      </c>
      <c r="O901" s="42">
        <v>40996.03</v>
      </c>
      <c r="P901" s="42">
        <v>0</v>
      </c>
    </row>
    <row r="902" spans="1:16" ht="15" customHeight="1" x14ac:dyDescent="0.3">
      <c r="A902" s="44" t="s">
        <v>1880</v>
      </c>
      <c r="B902" s="45">
        <v>45192</v>
      </c>
      <c r="C902" s="44" t="s">
        <v>1881</v>
      </c>
      <c r="D902" s="44" t="s">
        <v>97</v>
      </c>
      <c r="E902" s="46">
        <v>19023</v>
      </c>
      <c r="F902" s="47">
        <v>5.8999999999999997E-2</v>
      </c>
      <c r="G902" s="44">
        <v>60</v>
      </c>
      <c r="H902" s="44" t="s">
        <v>36</v>
      </c>
      <c r="I902" s="44" t="s">
        <v>60</v>
      </c>
      <c r="J902" s="44" t="s">
        <v>84</v>
      </c>
      <c r="K902" s="48">
        <v>32890</v>
      </c>
      <c r="L902" s="44" t="s">
        <v>68</v>
      </c>
      <c r="M902" s="49">
        <v>0.23</v>
      </c>
      <c r="N902" s="49">
        <v>0.71</v>
      </c>
      <c r="O902" s="48">
        <v>6787.88</v>
      </c>
      <c r="P902" s="48">
        <v>0</v>
      </c>
    </row>
    <row r="903" spans="1:16" ht="15" customHeight="1" x14ac:dyDescent="0.3">
      <c r="A903" s="38" t="s">
        <v>1882</v>
      </c>
      <c r="B903" s="39">
        <v>45193</v>
      </c>
      <c r="C903" s="38" t="s">
        <v>1883</v>
      </c>
      <c r="D903" s="38" t="s">
        <v>59</v>
      </c>
      <c r="E903" s="40">
        <v>27788</v>
      </c>
      <c r="F903" s="41">
        <v>0.224</v>
      </c>
      <c r="G903" s="38">
        <v>36</v>
      </c>
      <c r="H903" s="38" t="s">
        <v>35</v>
      </c>
      <c r="I903" s="38" t="s">
        <v>66</v>
      </c>
      <c r="J903" s="38" t="s">
        <v>72</v>
      </c>
      <c r="K903" s="42">
        <v>47618</v>
      </c>
      <c r="L903" s="38" t="s">
        <v>62</v>
      </c>
      <c r="M903" s="43">
        <v>0.28999999999999998</v>
      </c>
      <c r="N903" s="43">
        <v>0.82</v>
      </c>
      <c r="O903" s="42">
        <v>34012.51</v>
      </c>
      <c r="P903" s="42">
        <v>0</v>
      </c>
    </row>
    <row r="904" spans="1:16" ht="15" customHeight="1" x14ac:dyDescent="0.3">
      <c r="A904" s="44" t="s">
        <v>1884</v>
      </c>
      <c r="B904" s="45">
        <v>45193</v>
      </c>
      <c r="C904" s="44" t="s">
        <v>1885</v>
      </c>
      <c r="D904" s="44" t="s">
        <v>75</v>
      </c>
      <c r="E904" s="46">
        <v>20201</v>
      </c>
      <c r="F904" s="47">
        <v>0.161</v>
      </c>
      <c r="G904" s="44">
        <v>60</v>
      </c>
      <c r="H904" s="44" t="s">
        <v>36</v>
      </c>
      <c r="I904" s="44" t="s">
        <v>83</v>
      </c>
      <c r="J904" s="44" t="s">
        <v>84</v>
      </c>
      <c r="K904" s="48">
        <v>109866</v>
      </c>
      <c r="L904" s="44" t="s">
        <v>85</v>
      </c>
      <c r="M904" s="49">
        <v>0.13</v>
      </c>
      <c r="N904" s="49">
        <v>0.83</v>
      </c>
      <c r="O904" s="48">
        <v>8625.3799999999992</v>
      </c>
      <c r="P904" s="48">
        <v>0</v>
      </c>
    </row>
    <row r="905" spans="1:16" ht="15" customHeight="1" x14ac:dyDescent="0.3">
      <c r="A905" s="56" t="s">
        <v>1886</v>
      </c>
      <c r="B905" s="57">
        <v>45193</v>
      </c>
      <c r="C905" s="56" t="s">
        <v>1887</v>
      </c>
      <c r="D905" s="56" t="s">
        <v>108</v>
      </c>
      <c r="E905" s="58">
        <v>23042</v>
      </c>
      <c r="F905" s="59">
        <v>0.19800000000000001</v>
      </c>
      <c r="G905" s="56">
        <v>60</v>
      </c>
      <c r="H905" s="56" t="s">
        <v>37</v>
      </c>
      <c r="I905" s="56" t="s">
        <v>66</v>
      </c>
      <c r="J905" s="56" t="s">
        <v>84</v>
      </c>
      <c r="K905" s="60">
        <v>91845</v>
      </c>
      <c r="L905" s="56" t="s">
        <v>68</v>
      </c>
      <c r="M905" s="61">
        <v>0.26</v>
      </c>
      <c r="N905" s="61">
        <v>0.59</v>
      </c>
      <c r="O905" s="60">
        <v>3410.73</v>
      </c>
      <c r="P905" s="60">
        <v>2992.03</v>
      </c>
    </row>
    <row r="906" spans="1:16" ht="15" customHeight="1" x14ac:dyDescent="0.3">
      <c r="A906" s="44" t="s">
        <v>1888</v>
      </c>
      <c r="B906" s="45">
        <v>45199</v>
      </c>
      <c r="C906" s="44" t="s">
        <v>1889</v>
      </c>
      <c r="D906" s="44" t="s">
        <v>79</v>
      </c>
      <c r="E906" s="46">
        <v>8491</v>
      </c>
      <c r="F906" s="47">
        <v>0.16200000000000001</v>
      </c>
      <c r="G906" s="44">
        <v>36</v>
      </c>
      <c r="H906" s="44" t="s">
        <v>36</v>
      </c>
      <c r="I906" s="44" t="s">
        <v>80</v>
      </c>
      <c r="J906" s="44" t="s">
        <v>72</v>
      </c>
      <c r="K906" s="48">
        <v>140130</v>
      </c>
      <c r="L906" s="44" t="s">
        <v>85</v>
      </c>
      <c r="M906" s="49">
        <v>0.44</v>
      </c>
      <c r="N906" s="49">
        <v>0.56999999999999995</v>
      </c>
      <c r="O906" s="48">
        <v>1164.82</v>
      </c>
      <c r="P906" s="48">
        <v>0</v>
      </c>
    </row>
    <row r="907" spans="1:16" ht="15" customHeight="1" x14ac:dyDescent="0.3">
      <c r="A907" s="38" t="s">
        <v>1890</v>
      </c>
      <c r="B907" s="39">
        <v>45199</v>
      </c>
      <c r="C907" s="38" t="s">
        <v>1891</v>
      </c>
      <c r="D907" s="38" t="s">
        <v>97</v>
      </c>
      <c r="E907" s="40">
        <v>38685</v>
      </c>
      <c r="F907" s="41">
        <v>0.19700000000000001</v>
      </c>
      <c r="G907" s="38">
        <v>60</v>
      </c>
      <c r="H907" s="38" t="s">
        <v>35</v>
      </c>
      <c r="I907" s="38" t="s">
        <v>114</v>
      </c>
      <c r="J907" s="38" t="s">
        <v>72</v>
      </c>
      <c r="K907" s="42">
        <v>70953</v>
      </c>
      <c r="L907" s="38" t="s">
        <v>85</v>
      </c>
      <c r="M907" s="43">
        <v>0.36</v>
      </c>
      <c r="N907" s="43">
        <v>0.73</v>
      </c>
      <c r="O907" s="42">
        <v>46305.94</v>
      </c>
      <c r="P907" s="42">
        <v>0</v>
      </c>
    </row>
    <row r="908" spans="1:16" ht="15" customHeight="1" x14ac:dyDescent="0.3">
      <c r="A908" s="44" t="s">
        <v>1892</v>
      </c>
      <c r="B908" s="45">
        <v>45200</v>
      </c>
      <c r="C908" s="44" t="s">
        <v>1893</v>
      </c>
      <c r="D908" s="44" t="s">
        <v>125</v>
      </c>
      <c r="E908" s="46">
        <v>3353</v>
      </c>
      <c r="F908" s="47">
        <v>0.21</v>
      </c>
      <c r="G908" s="44">
        <v>36</v>
      </c>
      <c r="H908" s="44" t="s">
        <v>36</v>
      </c>
      <c r="I908" s="44" t="s">
        <v>60</v>
      </c>
      <c r="J908" s="44" t="s">
        <v>61</v>
      </c>
      <c r="K908" s="48">
        <v>35232</v>
      </c>
      <c r="L908" s="44" t="s">
        <v>62</v>
      </c>
      <c r="M908" s="49">
        <v>0.47</v>
      </c>
      <c r="N908" s="49">
        <v>0.84</v>
      </c>
      <c r="O908" s="48">
        <v>666.48</v>
      </c>
      <c r="P908" s="48">
        <v>0</v>
      </c>
    </row>
    <row r="909" spans="1:16" ht="15" customHeight="1" x14ac:dyDescent="0.3">
      <c r="A909" s="38" t="s">
        <v>1894</v>
      </c>
      <c r="B909" s="39">
        <v>45200</v>
      </c>
      <c r="C909" s="38" t="s">
        <v>1895</v>
      </c>
      <c r="D909" s="38" t="s">
        <v>75</v>
      </c>
      <c r="E909" s="40">
        <v>19792</v>
      </c>
      <c r="F909" s="41">
        <v>0.23699999999999999</v>
      </c>
      <c r="G909" s="38">
        <v>36</v>
      </c>
      <c r="H909" s="38" t="s">
        <v>35</v>
      </c>
      <c r="I909" s="38" t="s">
        <v>60</v>
      </c>
      <c r="J909" s="38" t="s">
        <v>84</v>
      </c>
      <c r="K909" s="42">
        <v>137524</v>
      </c>
      <c r="L909" s="38" t="s">
        <v>62</v>
      </c>
      <c r="M909" s="43">
        <v>0.16</v>
      </c>
      <c r="N909" s="43">
        <v>0.93</v>
      </c>
      <c r="O909" s="42">
        <v>24482.7</v>
      </c>
      <c r="P909" s="42">
        <v>0</v>
      </c>
    </row>
    <row r="910" spans="1:16" ht="15" customHeight="1" x14ac:dyDescent="0.3">
      <c r="A910" s="38" t="s">
        <v>1896</v>
      </c>
      <c r="B910" s="39">
        <v>45203</v>
      </c>
      <c r="C910" s="38" t="s">
        <v>1897</v>
      </c>
      <c r="D910" s="38" t="s">
        <v>113</v>
      </c>
      <c r="E910" s="40">
        <v>16422</v>
      </c>
      <c r="F910" s="41">
        <v>0.216</v>
      </c>
      <c r="G910" s="38">
        <v>36</v>
      </c>
      <c r="H910" s="38" t="s">
        <v>35</v>
      </c>
      <c r="I910" s="38" t="s">
        <v>257</v>
      </c>
      <c r="J910" s="38" t="s">
        <v>72</v>
      </c>
      <c r="K910" s="42">
        <v>54000</v>
      </c>
      <c r="L910" s="38" t="s">
        <v>68</v>
      </c>
      <c r="M910" s="43">
        <v>0.45</v>
      </c>
      <c r="N910" s="43">
        <v>0.71</v>
      </c>
      <c r="O910" s="42">
        <v>19969.150000000001</v>
      </c>
      <c r="P910" s="42">
        <v>0</v>
      </c>
    </row>
    <row r="911" spans="1:16" ht="15" customHeight="1" x14ac:dyDescent="0.3">
      <c r="A911" s="38" t="s">
        <v>1898</v>
      </c>
      <c r="B911" s="39">
        <v>45203</v>
      </c>
      <c r="C911" s="38" t="s">
        <v>1899</v>
      </c>
      <c r="D911" s="38" t="s">
        <v>79</v>
      </c>
      <c r="E911" s="40">
        <v>38957</v>
      </c>
      <c r="F911" s="41">
        <v>0.08</v>
      </c>
      <c r="G911" s="38">
        <v>60</v>
      </c>
      <c r="H911" s="38" t="s">
        <v>35</v>
      </c>
      <c r="I911" s="38" t="s">
        <v>83</v>
      </c>
      <c r="J911" s="38" t="s">
        <v>76</v>
      </c>
      <c r="K911" s="42">
        <v>30307</v>
      </c>
      <c r="L911" s="38" t="s">
        <v>68</v>
      </c>
      <c r="M911" s="43">
        <v>0.34</v>
      </c>
      <c r="N911" s="43">
        <v>0.92</v>
      </c>
      <c r="O911" s="42">
        <v>42073.56</v>
      </c>
      <c r="P911" s="42">
        <v>0</v>
      </c>
    </row>
    <row r="912" spans="1:16" ht="15" customHeight="1" x14ac:dyDescent="0.3">
      <c r="A912" s="44" t="s">
        <v>1900</v>
      </c>
      <c r="B912" s="45">
        <v>45204</v>
      </c>
      <c r="C912" s="44" t="s">
        <v>1901</v>
      </c>
      <c r="D912" s="44" t="s">
        <v>88</v>
      </c>
      <c r="E912" s="46">
        <v>31682</v>
      </c>
      <c r="F912" s="47">
        <v>7.2999999999999995E-2</v>
      </c>
      <c r="G912" s="44">
        <v>36</v>
      </c>
      <c r="H912" s="44" t="s">
        <v>36</v>
      </c>
      <c r="I912" s="44" t="s">
        <v>80</v>
      </c>
      <c r="J912" s="44" t="s">
        <v>76</v>
      </c>
      <c r="K912" s="48">
        <v>49738</v>
      </c>
      <c r="L912" s="44" t="s">
        <v>85</v>
      </c>
      <c r="M912" s="49">
        <v>0.16</v>
      </c>
      <c r="N912" s="49">
        <v>0.51</v>
      </c>
      <c r="O912" s="48">
        <v>11237.19</v>
      </c>
      <c r="P912" s="48">
        <v>0</v>
      </c>
    </row>
    <row r="913" spans="1:16" ht="15" customHeight="1" x14ac:dyDescent="0.3">
      <c r="A913" s="56" t="s">
        <v>1902</v>
      </c>
      <c r="B913" s="57">
        <v>45205</v>
      </c>
      <c r="C913" s="56" t="s">
        <v>1903</v>
      </c>
      <c r="D913" s="56" t="s">
        <v>79</v>
      </c>
      <c r="E913" s="58">
        <v>19073</v>
      </c>
      <c r="F913" s="59">
        <v>0.23599999999999999</v>
      </c>
      <c r="G913" s="56">
        <v>36</v>
      </c>
      <c r="H913" s="56" t="s">
        <v>37</v>
      </c>
      <c r="I913" s="56" t="s">
        <v>80</v>
      </c>
      <c r="J913" s="56" t="s">
        <v>76</v>
      </c>
      <c r="K913" s="60">
        <v>79422</v>
      </c>
      <c r="L913" s="56" t="s">
        <v>85</v>
      </c>
      <c r="M913" s="61">
        <v>0.23</v>
      </c>
      <c r="N913" s="61">
        <v>0.93</v>
      </c>
      <c r="O913" s="60">
        <v>7593.57</v>
      </c>
      <c r="P913" s="60">
        <v>6148.31</v>
      </c>
    </row>
    <row r="914" spans="1:16" ht="15" customHeight="1" x14ac:dyDescent="0.3">
      <c r="A914" s="38" t="s">
        <v>1904</v>
      </c>
      <c r="B914" s="39">
        <v>45205</v>
      </c>
      <c r="C914" s="38" t="s">
        <v>1905</v>
      </c>
      <c r="D914" s="38" t="s">
        <v>108</v>
      </c>
      <c r="E914" s="40">
        <v>17335</v>
      </c>
      <c r="F914" s="41">
        <v>7.3999999999999996E-2</v>
      </c>
      <c r="G914" s="38">
        <v>36</v>
      </c>
      <c r="H914" s="38" t="s">
        <v>35</v>
      </c>
      <c r="I914" s="38" t="s">
        <v>60</v>
      </c>
      <c r="J914" s="38" t="s">
        <v>72</v>
      </c>
      <c r="K914" s="42">
        <v>140684</v>
      </c>
      <c r="L914" s="38" t="s">
        <v>85</v>
      </c>
      <c r="M914" s="43">
        <v>0.43</v>
      </c>
      <c r="N914" s="43">
        <v>0.88</v>
      </c>
      <c r="O914" s="42">
        <v>18617.79</v>
      </c>
      <c r="P914" s="42">
        <v>0</v>
      </c>
    </row>
    <row r="915" spans="1:16" ht="15" customHeight="1" x14ac:dyDescent="0.3">
      <c r="A915" s="56" t="s">
        <v>1906</v>
      </c>
      <c r="B915" s="57">
        <v>45205</v>
      </c>
      <c r="C915" s="56" t="s">
        <v>1907</v>
      </c>
      <c r="D915" s="56" t="s">
        <v>138</v>
      </c>
      <c r="E915" s="58">
        <v>9783</v>
      </c>
      <c r="F915" s="59">
        <v>0.20200000000000001</v>
      </c>
      <c r="G915" s="56">
        <v>36</v>
      </c>
      <c r="H915" s="56" t="s">
        <v>37</v>
      </c>
      <c r="I915" s="56" t="s">
        <v>80</v>
      </c>
      <c r="J915" s="56" t="s">
        <v>76</v>
      </c>
      <c r="K915" s="60">
        <v>59768</v>
      </c>
      <c r="L915" s="56" t="s">
        <v>85</v>
      </c>
      <c r="M915" s="61">
        <v>0.41</v>
      </c>
      <c r="N915" s="61">
        <v>0.86</v>
      </c>
      <c r="O915" s="60">
        <v>1238.43</v>
      </c>
      <c r="P915" s="60">
        <v>3866.9</v>
      </c>
    </row>
    <row r="916" spans="1:16" ht="15" customHeight="1" x14ac:dyDescent="0.3">
      <c r="A916" s="38" t="s">
        <v>1908</v>
      </c>
      <c r="B916" s="39">
        <v>45206</v>
      </c>
      <c r="C916" s="38" t="s">
        <v>1909</v>
      </c>
      <c r="D916" s="38" t="s">
        <v>113</v>
      </c>
      <c r="E916" s="40">
        <v>14828</v>
      </c>
      <c r="F916" s="41">
        <v>0.20200000000000001</v>
      </c>
      <c r="G916" s="38">
        <v>36</v>
      </c>
      <c r="H916" s="38" t="s">
        <v>35</v>
      </c>
      <c r="I916" s="38" t="s">
        <v>60</v>
      </c>
      <c r="J916" s="38" t="s">
        <v>67</v>
      </c>
      <c r="K916" s="42">
        <v>86561</v>
      </c>
      <c r="L916" s="38" t="s">
        <v>85</v>
      </c>
      <c r="M916" s="43">
        <v>0.47</v>
      </c>
      <c r="N916" s="43">
        <v>0.69</v>
      </c>
      <c r="O916" s="42">
        <v>17823.259999999998</v>
      </c>
      <c r="P916" s="42">
        <v>0</v>
      </c>
    </row>
    <row r="917" spans="1:16" ht="15" customHeight="1" x14ac:dyDescent="0.3">
      <c r="A917" s="50" t="s">
        <v>1910</v>
      </c>
      <c r="B917" s="51">
        <v>45208</v>
      </c>
      <c r="C917" s="50" t="s">
        <v>1911</v>
      </c>
      <c r="D917" s="50" t="s">
        <v>113</v>
      </c>
      <c r="E917" s="52">
        <v>33196</v>
      </c>
      <c r="F917" s="53">
        <v>0.249</v>
      </c>
      <c r="G917" s="50">
        <v>36</v>
      </c>
      <c r="H917" s="50" t="s">
        <v>38</v>
      </c>
      <c r="I917" s="50" t="s">
        <v>83</v>
      </c>
      <c r="J917" s="50" t="s">
        <v>67</v>
      </c>
      <c r="K917" s="54">
        <v>148193</v>
      </c>
      <c r="L917" s="50" t="s">
        <v>62</v>
      </c>
      <c r="M917" s="55">
        <v>0.14000000000000001</v>
      </c>
      <c r="N917" s="55">
        <v>0.5</v>
      </c>
      <c r="O917" s="54">
        <v>0</v>
      </c>
      <c r="P917" s="54">
        <v>0</v>
      </c>
    </row>
    <row r="918" spans="1:16" ht="15" customHeight="1" x14ac:dyDescent="0.3">
      <c r="A918" s="44" t="s">
        <v>1912</v>
      </c>
      <c r="B918" s="45">
        <v>45209</v>
      </c>
      <c r="C918" s="44" t="s">
        <v>1913</v>
      </c>
      <c r="D918" s="44" t="s">
        <v>65</v>
      </c>
      <c r="E918" s="46">
        <v>29535</v>
      </c>
      <c r="F918" s="47">
        <v>0.20200000000000001</v>
      </c>
      <c r="G918" s="44">
        <v>36</v>
      </c>
      <c r="H918" s="44" t="s">
        <v>36</v>
      </c>
      <c r="I918" s="44" t="s">
        <v>80</v>
      </c>
      <c r="J918" s="44" t="s">
        <v>67</v>
      </c>
      <c r="K918" s="48">
        <v>94551</v>
      </c>
      <c r="L918" s="44" t="s">
        <v>68</v>
      </c>
      <c r="M918" s="49">
        <v>0.22</v>
      </c>
      <c r="N918" s="49">
        <v>0.53</v>
      </c>
      <c r="O918" s="48">
        <v>7019.73</v>
      </c>
      <c r="P918" s="48">
        <v>0</v>
      </c>
    </row>
    <row r="919" spans="1:16" ht="15" customHeight="1" x14ac:dyDescent="0.3">
      <c r="A919" s="44" t="s">
        <v>1914</v>
      </c>
      <c r="B919" s="45">
        <v>45209</v>
      </c>
      <c r="C919" s="44" t="s">
        <v>1915</v>
      </c>
      <c r="D919" s="44" t="s">
        <v>97</v>
      </c>
      <c r="E919" s="46">
        <v>37124</v>
      </c>
      <c r="F919" s="47">
        <v>0.123</v>
      </c>
      <c r="G919" s="44">
        <v>36</v>
      </c>
      <c r="H919" s="44" t="s">
        <v>36</v>
      </c>
      <c r="I919" s="44" t="s">
        <v>71</v>
      </c>
      <c r="J919" s="44" t="s">
        <v>84</v>
      </c>
      <c r="K919" s="48">
        <v>30570</v>
      </c>
      <c r="L919" s="44" t="s">
        <v>62</v>
      </c>
      <c r="M919" s="49">
        <v>0.23</v>
      </c>
      <c r="N919" s="49">
        <v>0.8</v>
      </c>
      <c r="O919" s="48">
        <v>5431.36</v>
      </c>
      <c r="P919" s="48">
        <v>0</v>
      </c>
    </row>
    <row r="920" spans="1:16" ht="15" customHeight="1" x14ac:dyDescent="0.3">
      <c r="A920" s="56" t="s">
        <v>1916</v>
      </c>
      <c r="B920" s="57">
        <v>45210</v>
      </c>
      <c r="C920" s="56" t="s">
        <v>1917</v>
      </c>
      <c r="D920" s="56" t="s">
        <v>88</v>
      </c>
      <c r="E920" s="58">
        <v>38174</v>
      </c>
      <c r="F920" s="59">
        <v>0.185</v>
      </c>
      <c r="G920" s="56">
        <v>36</v>
      </c>
      <c r="H920" s="56" t="s">
        <v>37</v>
      </c>
      <c r="I920" s="56" t="s">
        <v>60</v>
      </c>
      <c r="J920" s="56" t="s">
        <v>61</v>
      </c>
      <c r="K920" s="60">
        <v>91899</v>
      </c>
      <c r="L920" s="56" t="s">
        <v>62</v>
      </c>
      <c r="M920" s="61">
        <v>0.24</v>
      </c>
      <c r="N920" s="61">
        <v>0.86</v>
      </c>
      <c r="O920" s="60">
        <v>14725.52</v>
      </c>
      <c r="P920" s="60">
        <v>11118.32</v>
      </c>
    </row>
    <row r="921" spans="1:16" ht="15" customHeight="1" x14ac:dyDescent="0.3">
      <c r="A921" s="50" t="s">
        <v>1918</v>
      </c>
      <c r="B921" s="51">
        <v>45211</v>
      </c>
      <c r="C921" s="50" t="s">
        <v>1919</v>
      </c>
      <c r="D921" s="50" t="s">
        <v>138</v>
      </c>
      <c r="E921" s="52">
        <v>9245</v>
      </c>
      <c r="F921" s="53">
        <v>0.19</v>
      </c>
      <c r="G921" s="50">
        <v>60</v>
      </c>
      <c r="H921" s="50" t="s">
        <v>38</v>
      </c>
      <c r="I921" s="50" t="s">
        <v>60</v>
      </c>
      <c r="J921" s="50" t="s">
        <v>84</v>
      </c>
      <c r="K921" s="54">
        <v>96629</v>
      </c>
      <c r="L921" s="50" t="s">
        <v>62</v>
      </c>
      <c r="M921" s="55">
        <v>0.15</v>
      </c>
      <c r="N921" s="55">
        <v>0.82</v>
      </c>
      <c r="O921" s="54">
        <v>0</v>
      </c>
      <c r="P921" s="54">
        <v>0</v>
      </c>
    </row>
    <row r="922" spans="1:16" ht="15" customHeight="1" x14ac:dyDescent="0.3">
      <c r="A922" s="44" t="s">
        <v>1920</v>
      </c>
      <c r="B922" s="45">
        <v>45212</v>
      </c>
      <c r="C922" s="44" t="s">
        <v>1921</v>
      </c>
      <c r="D922" s="44" t="s">
        <v>88</v>
      </c>
      <c r="E922" s="46">
        <v>21939</v>
      </c>
      <c r="F922" s="47">
        <v>5.6000000000000001E-2</v>
      </c>
      <c r="G922" s="44">
        <v>36</v>
      </c>
      <c r="H922" s="44" t="s">
        <v>36</v>
      </c>
      <c r="I922" s="44" t="s">
        <v>60</v>
      </c>
      <c r="J922" s="44" t="s">
        <v>84</v>
      </c>
      <c r="K922" s="48">
        <v>39486</v>
      </c>
      <c r="L922" s="44" t="s">
        <v>68</v>
      </c>
      <c r="M922" s="49">
        <v>0.28999999999999998</v>
      </c>
      <c r="N922" s="49">
        <v>0.56000000000000005</v>
      </c>
      <c r="O922" s="48">
        <v>3597.13</v>
      </c>
      <c r="P922" s="48">
        <v>0</v>
      </c>
    </row>
    <row r="923" spans="1:16" ht="15" customHeight="1" x14ac:dyDescent="0.3">
      <c r="A923" s="38" t="s">
        <v>1922</v>
      </c>
      <c r="B923" s="39">
        <v>45212</v>
      </c>
      <c r="C923" s="38" t="s">
        <v>1923</v>
      </c>
      <c r="D923" s="38" t="s">
        <v>138</v>
      </c>
      <c r="E923" s="40">
        <v>35375</v>
      </c>
      <c r="F923" s="41">
        <v>0.20200000000000001</v>
      </c>
      <c r="G923" s="38">
        <v>60</v>
      </c>
      <c r="H923" s="38" t="s">
        <v>35</v>
      </c>
      <c r="I923" s="38" t="s">
        <v>83</v>
      </c>
      <c r="J923" s="38" t="s">
        <v>84</v>
      </c>
      <c r="K923" s="42">
        <v>98226</v>
      </c>
      <c r="L923" s="38" t="s">
        <v>85</v>
      </c>
      <c r="M923" s="43">
        <v>0.33</v>
      </c>
      <c r="N923" s="43">
        <v>0.69</v>
      </c>
      <c r="O923" s="42">
        <v>42520.75</v>
      </c>
      <c r="P923" s="42">
        <v>0</v>
      </c>
    </row>
    <row r="924" spans="1:16" ht="15" customHeight="1" x14ac:dyDescent="0.3">
      <c r="A924" s="38" t="s">
        <v>1924</v>
      </c>
      <c r="B924" s="39">
        <v>45213</v>
      </c>
      <c r="C924" s="38" t="s">
        <v>1925</v>
      </c>
      <c r="D924" s="38" t="s">
        <v>97</v>
      </c>
      <c r="E924" s="40">
        <v>37332</v>
      </c>
      <c r="F924" s="41">
        <v>9.0999999999999998E-2</v>
      </c>
      <c r="G924" s="38">
        <v>36</v>
      </c>
      <c r="H924" s="38" t="s">
        <v>35</v>
      </c>
      <c r="I924" s="38" t="s">
        <v>83</v>
      </c>
      <c r="J924" s="38" t="s">
        <v>61</v>
      </c>
      <c r="K924" s="42">
        <v>46544</v>
      </c>
      <c r="L924" s="38" t="s">
        <v>68</v>
      </c>
      <c r="M924" s="43">
        <v>0.24</v>
      </c>
      <c r="N924" s="43">
        <v>0.86</v>
      </c>
      <c r="O924" s="42">
        <v>40729.21</v>
      </c>
      <c r="P924" s="42">
        <v>0</v>
      </c>
    </row>
    <row r="925" spans="1:16" ht="15" customHeight="1" x14ac:dyDescent="0.3">
      <c r="A925" s="44" t="s">
        <v>1926</v>
      </c>
      <c r="B925" s="45">
        <v>45213</v>
      </c>
      <c r="C925" s="44" t="s">
        <v>1927</v>
      </c>
      <c r="D925" s="44" t="s">
        <v>113</v>
      </c>
      <c r="E925" s="46">
        <v>35020</v>
      </c>
      <c r="F925" s="47">
        <v>0.125</v>
      </c>
      <c r="G925" s="44">
        <v>60</v>
      </c>
      <c r="H925" s="44" t="s">
        <v>36</v>
      </c>
      <c r="I925" s="44" t="s">
        <v>71</v>
      </c>
      <c r="J925" s="44" t="s">
        <v>76</v>
      </c>
      <c r="K925" s="48">
        <v>94925</v>
      </c>
      <c r="L925" s="44" t="s">
        <v>85</v>
      </c>
      <c r="M925" s="49">
        <v>0.25</v>
      </c>
      <c r="N925" s="49">
        <v>0.59</v>
      </c>
      <c r="O925" s="48">
        <v>11583.76</v>
      </c>
      <c r="P925" s="48">
        <v>0</v>
      </c>
    </row>
    <row r="926" spans="1:16" ht="15" customHeight="1" x14ac:dyDescent="0.3">
      <c r="A926" s="38" t="s">
        <v>1928</v>
      </c>
      <c r="B926" s="39">
        <v>45214</v>
      </c>
      <c r="C926" s="38" t="s">
        <v>1929</v>
      </c>
      <c r="D926" s="38" t="s">
        <v>97</v>
      </c>
      <c r="E926" s="40">
        <v>16896</v>
      </c>
      <c r="F926" s="41">
        <v>0.104</v>
      </c>
      <c r="G926" s="38">
        <v>36</v>
      </c>
      <c r="H926" s="38" t="s">
        <v>35</v>
      </c>
      <c r="I926" s="38" t="s">
        <v>83</v>
      </c>
      <c r="J926" s="38" t="s">
        <v>61</v>
      </c>
      <c r="K926" s="42">
        <v>131158</v>
      </c>
      <c r="L926" s="38" t="s">
        <v>85</v>
      </c>
      <c r="M926" s="43">
        <v>0.32</v>
      </c>
      <c r="N926" s="43">
        <v>0.63</v>
      </c>
      <c r="O926" s="42">
        <v>18653.18</v>
      </c>
      <c r="P926" s="42">
        <v>0</v>
      </c>
    </row>
    <row r="927" spans="1:16" ht="15" customHeight="1" x14ac:dyDescent="0.3">
      <c r="A927" s="38" t="s">
        <v>1930</v>
      </c>
      <c r="B927" s="39">
        <v>45216</v>
      </c>
      <c r="C927" s="38" t="s">
        <v>1931</v>
      </c>
      <c r="D927" s="38" t="s">
        <v>138</v>
      </c>
      <c r="E927" s="40">
        <v>18275</v>
      </c>
      <c r="F927" s="41">
        <v>9.5000000000000001E-2</v>
      </c>
      <c r="G927" s="38">
        <v>36</v>
      </c>
      <c r="H927" s="38" t="s">
        <v>35</v>
      </c>
      <c r="I927" s="38" t="s">
        <v>114</v>
      </c>
      <c r="J927" s="38" t="s">
        <v>76</v>
      </c>
      <c r="K927" s="42">
        <v>129023</v>
      </c>
      <c r="L927" s="38" t="s">
        <v>68</v>
      </c>
      <c r="M927" s="43">
        <v>0.15</v>
      </c>
      <c r="N927" s="43">
        <v>0.74</v>
      </c>
      <c r="O927" s="42">
        <v>20011.12</v>
      </c>
      <c r="P927" s="42">
        <v>0</v>
      </c>
    </row>
    <row r="928" spans="1:16" ht="15" customHeight="1" x14ac:dyDescent="0.3">
      <c r="A928" s="56" t="s">
        <v>1932</v>
      </c>
      <c r="B928" s="57">
        <v>45216</v>
      </c>
      <c r="C928" s="56" t="s">
        <v>1933</v>
      </c>
      <c r="D928" s="56" t="s">
        <v>113</v>
      </c>
      <c r="E928" s="58">
        <v>39001</v>
      </c>
      <c r="F928" s="59">
        <v>0.20399999999999999</v>
      </c>
      <c r="G928" s="56">
        <v>36</v>
      </c>
      <c r="H928" s="56" t="s">
        <v>37</v>
      </c>
      <c r="I928" s="56" t="s">
        <v>60</v>
      </c>
      <c r="J928" s="56" t="s">
        <v>76</v>
      </c>
      <c r="K928" s="60">
        <v>53386</v>
      </c>
      <c r="L928" s="56" t="s">
        <v>68</v>
      </c>
      <c r="M928" s="61">
        <v>0.41</v>
      </c>
      <c r="N928" s="61">
        <v>0.67</v>
      </c>
      <c r="O928" s="60">
        <v>7661.31</v>
      </c>
      <c r="P928" s="60">
        <v>15157.1</v>
      </c>
    </row>
    <row r="929" spans="1:16" ht="15" customHeight="1" x14ac:dyDescent="0.3">
      <c r="A929" s="38" t="s">
        <v>1934</v>
      </c>
      <c r="B929" s="39">
        <v>45217</v>
      </c>
      <c r="C929" s="38" t="s">
        <v>1935</v>
      </c>
      <c r="D929" s="38" t="s">
        <v>59</v>
      </c>
      <c r="E929" s="40">
        <v>6249</v>
      </c>
      <c r="F929" s="41">
        <v>0.214</v>
      </c>
      <c r="G929" s="38">
        <v>60</v>
      </c>
      <c r="H929" s="38" t="s">
        <v>35</v>
      </c>
      <c r="I929" s="38" t="s">
        <v>80</v>
      </c>
      <c r="J929" s="38" t="s">
        <v>84</v>
      </c>
      <c r="K929" s="42">
        <v>125927</v>
      </c>
      <c r="L929" s="38" t="s">
        <v>68</v>
      </c>
      <c r="M929" s="43">
        <v>0.22</v>
      </c>
      <c r="N929" s="43">
        <v>0.84</v>
      </c>
      <c r="O929" s="42">
        <v>7586.29</v>
      </c>
      <c r="P929" s="42">
        <v>0</v>
      </c>
    </row>
    <row r="930" spans="1:16" ht="15" customHeight="1" x14ac:dyDescent="0.3">
      <c r="A930" s="38" t="s">
        <v>1936</v>
      </c>
      <c r="B930" s="39">
        <v>45217</v>
      </c>
      <c r="C930" s="38" t="s">
        <v>1937</v>
      </c>
      <c r="D930" s="38" t="s">
        <v>125</v>
      </c>
      <c r="E930" s="40">
        <v>10374</v>
      </c>
      <c r="F930" s="41">
        <v>0.21299999999999999</v>
      </c>
      <c r="G930" s="38">
        <v>36</v>
      </c>
      <c r="H930" s="38" t="s">
        <v>35</v>
      </c>
      <c r="I930" s="38" t="s">
        <v>66</v>
      </c>
      <c r="J930" s="38" t="s">
        <v>76</v>
      </c>
      <c r="K930" s="42">
        <v>114811</v>
      </c>
      <c r="L930" s="38" t="s">
        <v>85</v>
      </c>
      <c r="M930" s="43">
        <v>0.39</v>
      </c>
      <c r="N930" s="43">
        <v>0.86</v>
      </c>
      <c r="O930" s="42">
        <v>12583.66</v>
      </c>
      <c r="P930" s="42">
        <v>0</v>
      </c>
    </row>
    <row r="931" spans="1:16" ht="15" customHeight="1" x14ac:dyDescent="0.3">
      <c r="A931" s="38" t="s">
        <v>1938</v>
      </c>
      <c r="B931" s="39">
        <v>45217</v>
      </c>
      <c r="C931" s="38" t="s">
        <v>1939</v>
      </c>
      <c r="D931" s="38" t="s">
        <v>125</v>
      </c>
      <c r="E931" s="40">
        <v>7154</v>
      </c>
      <c r="F931" s="41">
        <v>6.5000000000000002E-2</v>
      </c>
      <c r="G931" s="38">
        <v>36</v>
      </c>
      <c r="H931" s="38" t="s">
        <v>35</v>
      </c>
      <c r="I931" s="38" t="s">
        <v>80</v>
      </c>
      <c r="J931" s="38" t="s">
        <v>72</v>
      </c>
      <c r="K931" s="42">
        <v>119132</v>
      </c>
      <c r="L931" s="38" t="s">
        <v>68</v>
      </c>
      <c r="M931" s="43">
        <v>0.49</v>
      </c>
      <c r="N931" s="43">
        <v>0.8</v>
      </c>
      <c r="O931" s="42">
        <v>7619.01</v>
      </c>
      <c r="P931" s="42">
        <v>0</v>
      </c>
    </row>
    <row r="932" spans="1:16" ht="15" customHeight="1" x14ac:dyDescent="0.3">
      <c r="A932" s="44" t="s">
        <v>1940</v>
      </c>
      <c r="B932" s="45">
        <v>45218</v>
      </c>
      <c r="C932" s="44" t="s">
        <v>1941</v>
      </c>
      <c r="D932" s="44" t="s">
        <v>59</v>
      </c>
      <c r="E932" s="46">
        <v>35888</v>
      </c>
      <c r="F932" s="47">
        <v>0.14499999999999999</v>
      </c>
      <c r="G932" s="44">
        <v>60</v>
      </c>
      <c r="H932" s="44" t="s">
        <v>36</v>
      </c>
      <c r="I932" s="44" t="s">
        <v>83</v>
      </c>
      <c r="J932" s="44" t="s">
        <v>61</v>
      </c>
      <c r="K932" s="48">
        <v>52335</v>
      </c>
      <c r="L932" s="44" t="s">
        <v>62</v>
      </c>
      <c r="M932" s="49">
        <v>0.19</v>
      </c>
      <c r="N932" s="49">
        <v>0.92</v>
      </c>
      <c r="O932" s="48">
        <v>9756.7199999999993</v>
      </c>
      <c r="P932" s="48">
        <v>0</v>
      </c>
    </row>
    <row r="933" spans="1:16" ht="15" customHeight="1" x14ac:dyDescent="0.3">
      <c r="A933" s="44" t="s">
        <v>1942</v>
      </c>
      <c r="B933" s="45">
        <v>45218</v>
      </c>
      <c r="C933" s="44" t="s">
        <v>1943</v>
      </c>
      <c r="D933" s="44" t="s">
        <v>65</v>
      </c>
      <c r="E933" s="46">
        <v>21172</v>
      </c>
      <c r="F933" s="47">
        <v>0.113</v>
      </c>
      <c r="G933" s="44">
        <v>36</v>
      </c>
      <c r="H933" s="44" t="s">
        <v>36</v>
      </c>
      <c r="I933" s="44" t="s">
        <v>60</v>
      </c>
      <c r="J933" s="44" t="s">
        <v>76</v>
      </c>
      <c r="K933" s="48">
        <v>69350</v>
      </c>
      <c r="L933" s="44" t="s">
        <v>68</v>
      </c>
      <c r="M933" s="49">
        <v>0.47</v>
      </c>
      <c r="N933" s="49">
        <v>0.56000000000000005</v>
      </c>
      <c r="O933" s="48">
        <v>4850.0600000000004</v>
      </c>
      <c r="P933" s="48">
        <v>0</v>
      </c>
    </row>
    <row r="934" spans="1:16" ht="15" customHeight="1" x14ac:dyDescent="0.3">
      <c r="A934" s="44" t="s">
        <v>1944</v>
      </c>
      <c r="B934" s="45">
        <v>45219</v>
      </c>
      <c r="C934" s="44" t="s">
        <v>1945</v>
      </c>
      <c r="D934" s="44" t="s">
        <v>79</v>
      </c>
      <c r="E934" s="46">
        <v>31784</v>
      </c>
      <c r="F934" s="47">
        <v>0.219</v>
      </c>
      <c r="G934" s="44">
        <v>36</v>
      </c>
      <c r="H934" s="44" t="s">
        <v>36</v>
      </c>
      <c r="I934" s="44" t="s">
        <v>83</v>
      </c>
      <c r="J934" s="44" t="s">
        <v>72</v>
      </c>
      <c r="K934" s="48">
        <v>118020</v>
      </c>
      <c r="L934" s="44" t="s">
        <v>85</v>
      </c>
      <c r="M934" s="49">
        <v>0.44</v>
      </c>
      <c r="N934" s="49">
        <v>0.69</v>
      </c>
      <c r="O934" s="48">
        <v>2122.0300000000002</v>
      </c>
      <c r="P934" s="48">
        <v>0</v>
      </c>
    </row>
    <row r="935" spans="1:16" ht="15" customHeight="1" x14ac:dyDescent="0.3">
      <c r="A935" s="44" t="s">
        <v>1946</v>
      </c>
      <c r="B935" s="45">
        <v>45221</v>
      </c>
      <c r="C935" s="44" t="s">
        <v>1947</v>
      </c>
      <c r="D935" s="44" t="s">
        <v>75</v>
      </c>
      <c r="E935" s="46">
        <v>37875</v>
      </c>
      <c r="F935" s="47">
        <v>0.23899999999999999</v>
      </c>
      <c r="G935" s="44">
        <v>36</v>
      </c>
      <c r="H935" s="44" t="s">
        <v>36</v>
      </c>
      <c r="I935" s="44" t="s">
        <v>114</v>
      </c>
      <c r="J935" s="44" t="s">
        <v>61</v>
      </c>
      <c r="K935" s="48">
        <v>48782</v>
      </c>
      <c r="L935" s="44" t="s">
        <v>68</v>
      </c>
      <c r="M935" s="49">
        <v>0.33</v>
      </c>
      <c r="N935" s="49">
        <v>0.94</v>
      </c>
      <c r="O935" s="48">
        <v>9719.5400000000009</v>
      </c>
      <c r="P935" s="48">
        <v>0</v>
      </c>
    </row>
    <row r="936" spans="1:16" ht="15" customHeight="1" x14ac:dyDescent="0.3">
      <c r="A936" s="38" t="s">
        <v>1948</v>
      </c>
      <c r="B936" s="39">
        <v>45221</v>
      </c>
      <c r="C936" s="38" t="s">
        <v>1949</v>
      </c>
      <c r="D936" s="38" t="s">
        <v>138</v>
      </c>
      <c r="E936" s="40">
        <v>26658</v>
      </c>
      <c r="F936" s="41">
        <v>0.24099999999999999</v>
      </c>
      <c r="G936" s="38">
        <v>36</v>
      </c>
      <c r="H936" s="38" t="s">
        <v>35</v>
      </c>
      <c r="I936" s="38" t="s">
        <v>60</v>
      </c>
      <c r="J936" s="38" t="s">
        <v>72</v>
      </c>
      <c r="K936" s="42">
        <v>46351</v>
      </c>
      <c r="L936" s="38" t="s">
        <v>68</v>
      </c>
      <c r="M936" s="43">
        <v>0.31</v>
      </c>
      <c r="N936" s="43">
        <v>0.75</v>
      </c>
      <c r="O936" s="42">
        <v>33082.58</v>
      </c>
      <c r="P936" s="42">
        <v>0</v>
      </c>
    </row>
    <row r="937" spans="1:16" ht="15" customHeight="1" x14ac:dyDescent="0.3">
      <c r="A937" s="38" t="s">
        <v>1950</v>
      </c>
      <c r="B937" s="39">
        <v>45222</v>
      </c>
      <c r="C937" s="38" t="s">
        <v>1951</v>
      </c>
      <c r="D937" s="38" t="s">
        <v>65</v>
      </c>
      <c r="E937" s="40">
        <v>2524</v>
      </c>
      <c r="F937" s="41">
        <v>7.4999999999999997E-2</v>
      </c>
      <c r="G937" s="38">
        <v>60</v>
      </c>
      <c r="H937" s="38" t="s">
        <v>35</v>
      </c>
      <c r="I937" s="38" t="s">
        <v>83</v>
      </c>
      <c r="J937" s="38" t="s">
        <v>67</v>
      </c>
      <c r="K937" s="42">
        <v>103933</v>
      </c>
      <c r="L937" s="38" t="s">
        <v>62</v>
      </c>
      <c r="M937" s="43">
        <v>0.16</v>
      </c>
      <c r="N937" s="43">
        <v>0.75</v>
      </c>
      <c r="O937" s="42">
        <v>2713.3</v>
      </c>
      <c r="P937" s="42">
        <v>0</v>
      </c>
    </row>
    <row r="938" spans="1:16" ht="15" customHeight="1" x14ac:dyDescent="0.3">
      <c r="A938" s="44" t="s">
        <v>1952</v>
      </c>
      <c r="B938" s="45">
        <v>45223</v>
      </c>
      <c r="C938" s="44" t="s">
        <v>1953</v>
      </c>
      <c r="D938" s="44" t="s">
        <v>79</v>
      </c>
      <c r="E938" s="46">
        <v>23612</v>
      </c>
      <c r="F938" s="47">
        <v>9.7000000000000003E-2</v>
      </c>
      <c r="G938" s="44">
        <v>36</v>
      </c>
      <c r="H938" s="44" t="s">
        <v>36</v>
      </c>
      <c r="I938" s="44" t="s">
        <v>66</v>
      </c>
      <c r="J938" s="44" t="s">
        <v>61</v>
      </c>
      <c r="K938" s="48">
        <v>123185</v>
      </c>
      <c r="L938" s="44" t="s">
        <v>62</v>
      </c>
      <c r="M938" s="49">
        <v>0.28000000000000003</v>
      </c>
      <c r="N938" s="49">
        <v>0.82</v>
      </c>
      <c r="O938" s="48">
        <v>11779.58</v>
      </c>
      <c r="P938" s="48">
        <v>0</v>
      </c>
    </row>
    <row r="939" spans="1:16" ht="15" customHeight="1" x14ac:dyDescent="0.3">
      <c r="A939" s="44" t="s">
        <v>1954</v>
      </c>
      <c r="B939" s="45">
        <v>45225</v>
      </c>
      <c r="C939" s="44" t="s">
        <v>1955</v>
      </c>
      <c r="D939" s="44" t="s">
        <v>138</v>
      </c>
      <c r="E939" s="46">
        <v>22592</v>
      </c>
      <c r="F939" s="47">
        <v>7.0999999999999994E-2</v>
      </c>
      <c r="G939" s="44">
        <v>60</v>
      </c>
      <c r="H939" s="44" t="s">
        <v>36</v>
      </c>
      <c r="I939" s="44" t="s">
        <v>71</v>
      </c>
      <c r="J939" s="44" t="s">
        <v>61</v>
      </c>
      <c r="K939" s="48">
        <v>41669</v>
      </c>
      <c r="L939" s="44" t="s">
        <v>85</v>
      </c>
      <c r="M939" s="49">
        <v>0.48</v>
      </c>
      <c r="N939" s="49">
        <v>0.73</v>
      </c>
      <c r="O939" s="48">
        <v>10077.370000000001</v>
      </c>
      <c r="P939" s="48">
        <v>0</v>
      </c>
    </row>
    <row r="940" spans="1:16" ht="15" customHeight="1" x14ac:dyDescent="0.3">
      <c r="A940" s="44" t="s">
        <v>1956</v>
      </c>
      <c r="B940" s="45">
        <v>45225</v>
      </c>
      <c r="C940" s="44" t="s">
        <v>1957</v>
      </c>
      <c r="D940" s="44" t="s">
        <v>88</v>
      </c>
      <c r="E940" s="46">
        <v>9007</v>
      </c>
      <c r="F940" s="47">
        <v>0.22500000000000001</v>
      </c>
      <c r="G940" s="44">
        <v>36</v>
      </c>
      <c r="H940" s="44" t="s">
        <v>36</v>
      </c>
      <c r="I940" s="44" t="s">
        <v>80</v>
      </c>
      <c r="J940" s="44" t="s">
        <v>72</v>
      </c>
      <c r="K940" s="48">
        <v>123583</v>
      </c>
      <c r="L940" s="44" t="s">
        <v>68</v>
      </c>
      <c r="M940" s="49">
        <v>0.27</v>
      </c>
      <c r="N940" s="49">
        <v>0.54</v>
      </c>
      <c r="O940" s="48">
        <v>2983.25</v>
      </c>
      <c r="P940" s="48">
        <v>0</v>
      </c>
    </row>
    <row r="941" spans="1:16" ht="15" customHeight="1" x14ac:dyDescent="0.3">
      <c r="A941" s="44" t="s">
        <v>1958</v>
      </c>
      <c r="B941" s="45">
        <v>45225</v>
      </c>
      <c r="C941" s="44" t="s">
        <v>1959</v>
      </c>
      <c r="D941" s="44" t="s">
        <v>88</v>
      </c>
      <c r="E941" s="46">
        <v>22927</v>
      </c>
      <c r="F941" s="47">
        <v>0.16500000000000001</v>
      </c>
      <c r="G941" s="44">
        <v>60</v>
      </c>
      <c r="H941" s="44" t="s">
        <v>36</v>
      </c>
      <c r="I941" s="44" t="s">
        <v>80</v>
      </c>
      <c r="J941" s="44" t="s">
        <v>61</v>
      </c>
      <c r="K941" s="48">
        <v>146841</v>
      </c>
      <c r="L941" s="44" t="s">
        <v>62</v>
      </c>
      <c r="M941" s="49">
        <v>0.11</v>
      </c>
      <c r="N941" s="49">
        <v>0.53</v>
      </c>
      <c r="O941" s="48">
        <v>6850.1</v>
      </c>
      <c r="P941" s="48">
        <v>0</v>
      </c>
    </row>
    <row r="942" spans="1:16" ht="15" customHeight="1" x14ac:dyDescent="0.3">
      <c r="A942" s="38" t="s">
        <v>1960</v>
      </c>
      <c r="B942" s="39">
        <v>45227</v>
      </c>
      <c r="C942" s="38" t="s">
        <v>1961</v>
      </c>
      <c r="D942" s="38" t="s">
        <v>65</v>
      </c>
      <c r="E942" s="40">
        <v>13040</v>
      </c>
      <c r="F942" s="41">
        <v>0.185</v>
      </c>
      <c r="G942" s="38">
        <v>36</v>
      </c>
      <c r="H942" s="38" t="s">
        <v>35</v>
      </c>
      <c r="I942" s="38" t="s">
        <v>66</v>
      </c>
      <c r="J942" s="38" t="s">
        <v>84</v>
      </c>
      <c r="K942" s="42">
        <v>112806</v>
      </c>
      <c r="L942" s="38" t="s">
        <v>68</v>
      </c>
      <c r="M942" s="43">
        <v>0.15</v>
      </c>
      <c r="N942" s="43">
        <v>0.73</v>
      </c>
      <c r="O942" s="42">
        <v>15452.4</v>
      </c>
      <c r="P942" s="42">
        <v>0</v>
      </c>
    </row>
    <row r="943" spans="1:16" ht="15" customHeight="1" x14ac:dyDescent="0.3">
      <c r="A943" s="44" t="s">
        <v>1962</v>
      </c>
      <c r="B943" s="45">
        <v>45228</v>
      </c>
      <c r="C943" s="44" t="s">
        <v>1963</v>
      </c>
      <c r="D943" s="44" t="s">
        <v>88</v>
      </c>
      <c r="E943" s="46">
        <v>34297</v>
      </c>
      <c r="F943" s="47">
        <v>9.8000000000000004E-2</v>
      </c>
      <c r="G943" s="44">
        <v>36</v>
      </c>
      <c r="H943" s="44" t="s">
        <v>36</v>
      </c>
      <c r="I943" s="44" t="s">
        <v>71</v>
      </c>
      <c r="J943" s="44" t="s">
        <v>61</v>
      </c>
      <c r="K943" s="48">
        <v>89287</v>
      </c>
      <c r="L943" s="44" t="s">
        <v>85</v>
      </c>
      <c r="M943" s="49">
        <v>0.33</v>
      </c>
      <c r="N943" s="49">
        <v>0.53</v>
      </c>
      <c r="O943" s="48">
        <v>15729.14</v>
      </c>
      <c r="P943" s="48">
        <v>0</v>
      </c>
    </row>
    <row r="944" spans="1:16" ht="15" customHeight="1" x14ac:dyDescent="0.3">
      <c r="A944" s="50" t="s">
        <v>1964</v>
      </c>
      <c r="B944" s="51">
        <v>45228</v>
      </c>
      <c r="C944" s="50" t="s">
        <v>1965</v>
      </c>
      <c r="D944" s="50" t="s">
        <v>138</v>
      </c>
      <c r="E944" s="52">
        <v>24291</v>
      </c>
      <c r="F944" s="53">
        <v>0.19800000000000001</v>
      </c>
      <c r="G944" s="50">
        <v>36</v>
      </c>
      <c r="H944" s="50" t="s">
        <v>38</v>
      </c>
      <c r="I944" s="50" t="s">
        <v>83</v>
      </c>
      <c r="J944" s="50" t="s">
        <v>61</v>
      </c>
      <c r="K944" s="54">
        <v>128614</v>
      </c>
      <c r="L944" s="50" t="s">
        <v>68</v>
      </c>
      <c r="M944" s="55">
        <v>0.11</v>
      </c>
      <c r="N944" s="55">
        <v>0.72</v>
      </c>
      <c r="O944" s="54">
        <v>0</v>
      </c>
      <c r="P944" s="54">
        <v>0</v>
      </c>
    </row>
    <row r="945" spans="1:16" ht="15" customHeight="1" x14ac:dyDescent="0.3">
      <c r="A945" s="38" t="s">
        <v>1966</v>
      </c>
      <c r="B945" s="39">
        <v>45229</v>
      </c>
      <c r="C945" s="38" t="s">
        <v>1967</v>
      </c>
      <c r="D945" s="38" t="s">
        <v>97</v>
      </c>
      <c r="E945" s="40">
        <v>34662</v>
      </c>
      <c r="F945" s="41">
        <v>0.215</v>
      </c>
      <c r="G945" s="38">
        <v>36</v>
      </c>
      <c r="H945" s="38" t="s">
        <v>35</v>
      </c>
      <c r="I945" s="38" t="s">
        <v>60</v>
      </c>
      <c r="J945" s="38" t="s">
        <v>84</v>
      </c>
      <c r="K945" s="42">
        <v>127183</v>
      </c>
      <c r="L945" s="38" t="s">
        <v>62</v>
      </c>
      <c r="M945" s="43">
        <v>0.17</v>
      </c>
      <c r="N945" s="43">
        <v>0.82</v>
      </c>
      <c r="O945" s="42">
        <v>42114.33</v>
      </c>
      <c r="P945" s="42">
        <v>0</v>
      </c>
    </row>
    <row r="946" spans="1:16" ht="15" customHeight="1" x14ac:dyDescent="0.3">
      <c r="A946" s="38" t="s">
        <v>1968</v>
      </c>
      <c r="B946" s="39">
        <v>45232</v>
      </c>
      <c r="C946" s="38" t="s">
        <v>1969</v>
      </c>
      <c r="D946" s="38" t="s">
        <v>97</v>
      </c>
      <c r="E946" s="40">
        <v>13003</v>
      </c>
      <c r="F946" s="41">
        <v>0.247</v>
      </c>
      <c r="G946" s="38">
        <v>36</v>
      </c>
      <c r="H946" s="38" t="s">
        <v>35</v>
      </c>
      <c r="I946" s="38" t="s">
        <v>60</v>
      </c>
      <c r="J946" s="38" t="s">
        <v>61</v>
      </c>
      <c r="K946" s="42">
        <v>53741</v>
      </c>
      <c r="L946" s="38" t="s">
        <v>85</v>
      </c>
      <c r="M946" s="43">
        <v>0.46</v>
      </c>
      <c r="N946" s="43">
        <v>0.82</v>
      </c>
      <c r="O946" s="42">
        <v>16214.74</v>
      </c>
      <c r="P946" s="42">
        <v>0</v>
      </c>
    </row>
    <row r="947" spans="1:16" ht="15" customHeight="1" x14ac:dyDescent="0.3">
      <c r="A947" s="50" t="s">
        <v>1970</v>
      </c>
      <c r="B947" s="51">
        <v>45235</v>
      </c>
      <c r="C947" s="50" t="s">
        <v>1971</v>
      </c>
      <c r="D947" s="50" t="s">
        <v>79</v>
      </c>
      <c r="E947" s="52">
        <v>2177</v>
      </c>
      <c r="F947" s="53">
        <v>0.08</v>
      </c>
      <c r="G947" s="50">
        <v>36</v>
      </c>
      <c r="H947" s="50" t="s">
        <v>38</v>
      </c>
      <c r="I947" s="50" t="s">
        <v>83</v>
      </c>
      <c r="J947" s="50" t="s">
        <v>72</v>
      </c>
      <c r="K947" s="54">
        <v>96406</v>
      </c>
      <c r="L947" s="50" t="s">
        <v>85</v>
      </c>
      <c r="M947" s="55">
        <v>0.23</v>
      </c>
      <c r="N947" s="55">
        <v>0.7</v>
      </c>
      <c r="O947" s="54">
        <v>0</v>
      </c>
      <c r="P947" s="54">
        <v>0</v>
      </c>
    </row>
    <row r="948" spans="1:16" ht="15" customHeight="1" x14ac:dyDescent="0.3">
      <c r="A948" s="38" t="s">
        <v>1972</v>
      </c>
      <c r="B948" s="39">
        <v>45235</v>
      </c>
      <c r="C948" s="38" t="s">
        <v>1973</v>
      </c>
      <c r="D948" s="38" t="s">
        <v>138</v>
      </c>
      <c r="E948" s="40">
        <v>15484</v>
      </c>
      <c r="F948" s="41">
        <v>0.13300000000000001</v>
      </c>
      <c r="G948" s="38">
        <v>36</v>
      </c>
      <c r="H948" s="38" t="s">
        <v>35</v>
      </c>
      <c r="I948" s="38" t="s">
        <v>80</v>
      </c>
      <c r="J948" s="38" t="s">
        <v>72</v>
      </c>
      <c r="K948" s="42">
        <v>101762</v>
      </c>
      <c r="L948" s="38" t="s">
        <v>68</v>
      </c>
      <c r="M948" s="43">
        <v>0.44</v>
      </c>
      <c r="N948" s="43">
        <v>0.73</v>
      </c>
      <c r="O948" s="42">
        <v>17543.37</v>
      </c>
      <c r="P948" s="42">
        <v>0</v>
      </c>
    </row>
    <row r="949" spans="1:16" ht="15" customHeight="1" x14ac:dyDescent="0.3">
      <c r="A949" s="44" t="s">
        <v>1974</v>
      </c>
      <c r="B949" s="45">
        <v>45235</v>
      </c>
      <c r="C949" s="44" t="s">
        <v>1975</v>
      </c>
      <c r="D949" s="44" t="s">
        <v>88</v>
      </c>
      <c r="E949" s="46">
        <v>38265</v>
      </c>
      <c r="F949" s="47">
        <v>8.8999999999999996E-2</v>
      </c>
      <c r="G949" s="44">
        <v>60</v>
      </c>
      <c r="H949" s="44" t="s">
        <v>36</v>
      </c>
      <c r="I949" s="44" t="s">
        <v>114</v>
      </c>
      <c r="J949" s="44" t="s">
        <v>84</v>
      </c>
      <c r="K949" s="48">
        <v>74516</v>
      </c>
      <c r="L949" s="44" t="s">
        <v>85</v>
      </c>
      <c r="M949" s="49">
        <v>0.41</v>
      </c>
      <c r="N949" s="49">
        <v>0.75</v>
      </c>
      <c r="O949" s="48">
        <v>8652.49</v>
      </c>
      <c r="P949" s="48">
        <v>0</v>
      </c>
    </row>
    <row r="950" spans="1:16" ht="15" customHeight="1" x14ac:dyDescent="0.3">
      <c r="A950" s="38" t="s">
        <v>1976</v>
      </c>
      <c r="B950" s="39">
        <v>45236</v>
      </c>
      <c r="C950" s="38" t="s">
        <v>1977</v>
      </c>
      <c r="D950" s="38" t="s">
        <v>79</v>
      </c>
      <c r="E950" s="40">
        <v>6776</v>
      </c>
      <c r="F950" s="41">
        <v>0.23</v>
      </c>
      <c r="G950" s="38">
        <v>60</v>
      </c>
      <c r="H950" s="38" t="s">
        <v>35</v>
      </c>
      <c r="I950" s="38" t="s">
        <v>83</v>
      </c>
      <c r="J950" s="38" t="s">
        <v>84</v>
      </c>
      <c r="K950" s="42">
        <v>33255</v>
      </c>
      <c r="L950" s="38" t="s">
        <v>68</v>
      </c>
      <c r="M950" s="43">
        <v>0.42</v>
      </c>
      <c r="N950" s="43">
        <v>0.6</v>
      </c>
      <c r="O950" s="42">
        <v>8334.48</v>
      </c>
      <c r="P950" s="42">
        <v>0</v>
      </c>
    </row>
    <row r="951" spans="1:16" ht="15" customHeight="1" x14ac:dyDescent="0.3">
      <c r="A951" s="38" t="s">
        <v>1978</v>
      </c>
      <c r="B951" s="39">
        <v>45239</v>
      </c>
      <c r="C951" s="38" t="s">
        <v>1979</v>
      </c>
      <c r="D951" s="38" t="s">
        <v>59</v>
      </c>
      <c r="E951" s="40">
        <v>33857</v>
      </c>
      <c r="F951" s="41">
        <v>0.126</v>
      </c>
      <c r="G951" s="38">
        <v>60</v>
      </c>
      <c r="H951" s="38" t="s">
        <v>35</v>
      </c>
      <c r="I951" s="38" t="s">
        <v>83</v>
      </c>
      <c r="J951" s="38" t="s">
        <v>61</v>
      </c>
      <c r="K951" s="42">
        <v>57230</v>
      </c>
      <c r="L951" s="38" t="s">
        <v>68</v>
      </c>
      <c r="M951" s="43">
        <v>0.22</v>
      </c>
      <c r="N951" s="43">
        <v>0.71</v>
      </c>
      <c r="O951" s="42">
        <v>38122.980000000003</v>
      </c>
      <c r="P951" s="42">
        <v>0</v>
      </c>
    </row>
    <row r="952" spans="1:16" ht="15" customHeight="1" x14ac:dyDescent="0.3">
      <c r="A952" s="38" t="s">
        <v>1980</v>
      </c>
      <c r="B952" s="39">
        <v>45239</v>
      </c>
      <c r="C952" s="38" t="s">
        <v>1981</v>
      </c>
      <c r="D952" s="38" t="s">
        <v>125</v>
      </c>
      <c r="E952" s="40">
        <v>38947</v>
      </c>
      <c r="F952" s="41">
        <v>0.19500000000000001</v>
      </c>
      <c r="G952" s="38">
        <v>60</v>
      </c>
      <c r="H952" s="38" t="s">
        <v>35</v>
      </c>
      <c r="I952" s="38" t="s">
        <v>71</v>
      </c>
      <c r="J952" s="38" t="s">
        <v>84</v>
      </c>
      <c r="K952" s="42">
        <v>75927</v>
      </c>
      <c r="L952" s="38" t="s">
        <v>85</v>
      </c>
      <c r="M952" s="43">
        <v>0.4</v>
      </c>
      <c r="N952" s="43">
        <v>0.57999999999999996</v>
      </c>
      <c r="O952" s="42">
        <v>46541.66</v>
      </c>
      <c r="P952" s="42">
        <v>0</v>
      </c>
    </row>
    <row r="953" spans="1:16" ht="15" customHeight="1" x14ac:dyDescent="0.3">
      <c r="A953" s="44" t="s">
        <v>1982</v>
      </c>
      <c r="B953" s="45">
        <v>45241</v>
      </c>
      <c r="C953" s="44" t="s">
        <v>1983</v>
      </c>
      <c r="D953" s="44" t="s">
        <v>138</v>
      </c>
      <c r="E953" s="46">
        <v>32896</v>
      </c>
      <c r="F953" s="47">
        <v>0.20599999999999999</v>
      </c>
      <c r="G953" s="44">
        <v>36</v>
      </c>
      <c r="H953" s="44" t="s">
        <v>36</v>
      </c>
      <c r="I953" s="44" t="s">
        <v>80</v>
      </c>
      <c r="J953" s="44" t="s">
        <v>84</v>
      </c>
      <c r="K953" s="48">
        <v>34434</v>
      </c>
      <c r="L953" s="44" t="s">
        <v>85</v>
      </c>
      <c r="M953" s="49">
        <v>0.47</v>
      </c>
      <c r="N953" s="49">
        <v>0.59</v>
      </c>
      <c r="O953" s="48">
        <v>9222.59</v>
      </c>
      <c r="P953" s="48">
        <v>0</v>
      </c>
    </row>
    <row r="954" spans="1:16" ht="15" customHeight="1" x14ac:dyDescent="0.3">
      <c r="A954" s="38" t="s">
        <v>1984</v>
      </c>
      <c r="B954" s="39">
        <v>45242</v>
      </c>
      <c r="C954" s="38" t="s">
        <v>1985</v>
      </c>
      <c r="D954" s="38" t="s">
        <v>75</v>
      </c>
      <c r="E954" s="40">
        <v>16585</v>
      </c>
      <c r="F954" s="41">
        <v>0.20699999999999999</v>
      </c>
      <c r="G954" s="38">
        <v>36</v>
      </c>
      <c r="H954" s="38" t="s">
        <v>35</v>
      </c>
      <c r="I954" s="38" t="s">
        <v>114</v>
      </c>
      <c r="J954" s="38" t="s">
        <v>67</v>
      </c>
      <c r="K954" s="42">
        <v>65503</v>
      </c>
      <c r="L954" s="38" t="s">
        <v>68</v>
      </c>
      <c r="M954" s="43">
        <v>0.36</v>
      </c>
      <c r="N954" s="43">
        <v>0.56000000000000005</v>
      </c>
      <c r="O954" s="42">
        <v>20018.099999999999</v>
      </c>
      <c r="P954" s="42">
        <v>0</v>
      </c>
    </row>
    <row r="955" spans="1:16" ht="15" customHeight="1" x14ac:dyDescent="0.3">
      <c r="A955" s="44" t="s">
        <v>1986</v>
      </c>
      <c r="B955" s="45">
        <v>45243</v>
      </c>
      <c r="C955" s="44" t="s">
        <v>1987</v>
      </c>
      <c r="D955" s="44" t="s">
        <v>75</v>
      </c>
      <c r="E955" s="46">
        <v>16563</v>
      </c>
      <c r="F955" s="47">
        <v>5.8000000000000003E-2</v>
      </c>
      <c r="G955" s="44">
        <v>36</v>
      </c>
      <c r="H955" s="44" t="s">
        <v>36</v>
      </c>
      <c r="I955" s="44" t="s">
        <v>60</v>
      </c>
      <c r="J955" s="44" t="s">
        <v>84</v>
      </c>
      <c r="K955" s="48">
        <v>147797</v>
      </c>
      <c r="L955" s="44" t="s">
        <v>68</v>
      </c>
      <c r="M955" s="49">
        <v>0.18</v>
      </c>
      <c r="N955" s="49">
        <v>0.65</v>
      </c>
      <c r="O955" s="48">
        <v>6135.41</v>
      </c>
      <c r="P955" s="48">
        <v>0</v>
      </c>
    </row>
    <row r="956" spans="1:16" ht="15" customHeight="1" x14ac:dyDescent="0.3">
      <c r="A956" s="38" t="s">
        <v>1988</v>
      </c>
      <c r="B956" s="39">
        <v>45243</v>
      </c>
      <c r="C956" s="38" t="s">
        <v>1989</v>
      </c>
      <c r="D956" s="38" t="s">
        <v>97</v>
      </c>
      <c r="E956" s="40">
        <v>13323</v>
      </c>
      <c r="F956" s="41">
        <v>0.192</v>
      </c>
      <c r="G956" s="38">
        <v>60</v>
      </c>
      <c r="H956" s="38" t="s">
        <v>35</v>
      </c>
      <c r="I956" s="38" t="s">
        <v>83</v>
      </c>
      <c r="J956" s="38" t="s">
        <v>76</v>
      </c>
      <c r="K956" s="42">
        <v>86563</v>
      </c>
      <c r="L956" s="38" t="s">
        <v>68</v>
      </c>
      <c r="M956" s="43">
        <v>0.11</v>
      </c>
      <c r="N956" s="43">
        <v>0.72</v>
      </c>
      <c r="O956" s="42">
        <v>15881.02</v>
      </c>
      <c r="P956" s="42">
        <v>0</v>
      </c>
    </row>
    <row r="957" spans="1:16" ht="15" customHeight="1" x14ac:dyDescent="0.3">
      <c r="A957" s="44" t="s">
        <v>1990</v>
      </c>
      <c r="B957" s="45">
        <v>45245</v>
      </c>
      <c r="C957" s="44" t="s">
        <v>1991</v>
      </c>
      <c r="D957" s="44" t="s">
        <v>75</v>
      </c>
      <c r="E957" s="46">
        <v>37679</v>
      </c>
      <c r="F957" s="47">
        <v>0.218</v>
      </c>
      <c r="G957" s="44">
        <v>60</v>
      </c>
      <c r="H957" s="44" t="s">
        <v>36</v>
      </c>
      <c r="I957" s="44" t="s">
        <v>66</v>
      </c>
      <c r="J957" s="44" t="s">
        <v>67</v>
      </c>
      <c r="K957" s="48">
        <v>117954</v>
      </c>
      <c r="L957" s="44" t="s">
        <v>68</v>
      </c>
      <c r="M957" s="49">
        <v>0.15</v>
      </c>
      <c r="N957" s="49">
        <v>0.51</v>
      </c>
      <c r="O957" s="48">
        <v>9138.7099999999991</v>
      </c>
      <c r="P957" s="48">
        <v>0</v>
      </c>
    </row>
    <row r="958" spans="1:16" ht="15" customHeight="1" x14ac:dyDescent="0.3">
      <c r="A958" s="38" t="s">
        <v>1992</v>
      </c>
      <c r="B958" s="39">
        <v>45246</v>
      </c>
      <c r="C958" s="38" t="s">
        <v>1993</v>
      </c>
      <c r="D958" s="38" t="s">
        <v>97</v>
      </c>
      <c r="E958" s="40">
        <v>35068</v>
      </c>
      <c r="F958" s="41">
        <v>0.112</v>
      </c>
      <c r="G958" s="38">
        <v>36</v>
      </c>
      <c r="H958" s="38" t="s">
        <v>35</v>
      </c>
      <c r="I958" s="38" t="s">
        <v>66</v>
      </c>
      <c r="J958" s="38" t="s">
        <v>67</v>
      </c>
      <c r="K958" s="42">
        <v>126362</v>
      </c>
      <c r="L958" s="38" t="s">
        <v>85</v>
      </c>
      <c r="M958" s="43">
        <v>0.45</v>
      </c>
      <c r="N958" s="43">
        <v>0.76</v>
      </c>
      <c r="O958" s="42">
        <v>38995.620000000003</v>
      </c>
      <c r="P958" s="42">
        <v>0</v>
      </c>
    </row>
    <row r="959" spans="1:16" ht="15" customHeight="1" x14ac:dyDescent="0.3">
      <c r="A959" s="38" t="s">
        <v>1994</v>
      </c>
      <c r="B959" s="39">
        <v>45246</v>
      </c>
      <c r="C959" s="38" t="s">
        <v>1995</v>
      </c>
      <c r="D959" s="38" t="s">
        <v>79</v>
      </c>
      <c r="E959" s="40">
        <v>24616</v>
      </c>
      <c r="F959" s="41">
        <v>0.159</v>
      </c>
      <c r="G959" s="38">
        <v>36</v>
      </c>
      <c r="H959" s="38" t="s">
        <v>35</v>
      </c>
      <c r="I959" s="38" t="s">
        <v>71</v>
      </c>
      <c r="J959" s="38" t="s">
        <v>76</v>
      </c>
      <c r="K959" s="42">
        <v>101386</v>
      </c>
      <c r="L959" s="38" t="s">
        <v>85</v>
      </c>
      <c r="M959" s="43">
        <v>0.48</v>
      </c>
      <c r="N959" s="43">
        <v>0.89</v>
      </c>
      <c r="O959" s="42">
        <v>28529.94</v>
      </c>
      <c r="P959" s="42">
        <v>0</v>
      </c>
    </row>
    <row r="960" spans="1:16" ht="15" customHeight="1" x14ac:dyDescent="0.3">
      <c r="A960" s="38" t="s">
        <v>1996</v>
      </c>
      <c r="B960" s="39">
        <v>45248</v>
      </c>
      <c r="C960" s="38" t="s">
        <v>1997</v>
      </c>
      <c r="D960" s="38" t="s">
        <v>108</v>
      </c>
      <c r="E960" s="40">
        <v>26064</v>
      </c>
      <c r="F960" s="41">
        <v>0.19600000000000001</v>
      </c>
      <c r="G960" s="38">
        <v>60</v>
      </c>
      <c r="H960" s="38" t="s">
        <v>35</v>
      </c>
      <c r="I960" s="38" t="s">
        <v>60</v>
      </c>
      <c r="J960" s="38" t="s">
        <v>72</v>
      </c>
      <c r="K960" s="42">
        <v>41577</v>
      </c>
      <c r="L960" s="38" t="s">
        <v>62</v>
      </c>
      <c r="M960" s="43">
        <v>0.39</v>
      </c>
      <c r="N960" s="43">
        <v>0.89</v>
      </c>
      <c r="O960" s="42">
        <v>31172.54</v>
      </c>
      <c r="P960" s="42">
        <v>0</v>
      </c>
    </row>
    <row r="961" spans="1:16" ht="15" customHeight="1" x14ac:dyDescent="0.3">
      <c r="A961" s="56" t="s">
        <v>1998</v>
      </c>
      <c r="B961" s="57">
        <v>45248</v>
      </c>
      <c r="C961" s="56" t="s">
        <v>1999</v>
      </c>
      <c r="D961" s="56" t="s">
        <v>125</v>
      </c>
      <c r="E961" s="58">
        <v>8564</v>
      </c>
      <c r="F961" s="59">
        <v>0.218</v>
      </c>
      <c r="G961" s="56">
        <v>60</v>
      </c>
      <c r="H961" s="56" t="s">
        <v>37</v>
      </c>
      <c r="I961" s="56" t="s">
        <v>257</v>
      </c>
      <c r="J961" s="56" t="s">
        <v>67</v>
      </c>
      <c r="K961" s="60">
        <v>40625</v>
      </c>
      <c r="L961" s="56" t="s">
        <v>62</v>
      </c>
      <c r="M961" s="61">
        <v>0.21</v>
      </c>
      <c r="N961" s="61">
        <v>0.71</v>
      </c>
      <c r="O961" s="60">
        <v>3172.28</v>
      </c>
      <c r="P961" s="60">
        <v>2148.21</v>
      </c>
    </row>
    <row r="962" spans="1:16" ht="15" customHeight="1" x14ac:dyDescent="0.3">
      <c r="A962" s="44" t="s">
        <v>2000</v>
      </c>
      <c r="B962" s="45">
        <v>45249</v>
      </c>
      <c r="C962" s="44" t="s">
        <v>2001</v>
      </c>
      <c r="D962" s="44" t="s">
        <v>88</v>
      </c>
      <c r="E962" s="46">
        <v>18826</v>
      </c>
      <c r="F962" s="47">
        <v>0.10100000000000001</v>
      </c>
      <c r="G962" s="44">
        <v>36</v>
      </c>
      <c r="H962" s="44" t="s">
        <v>36</v>
      </c>
      <c r="I962" s="44" t="s">
        <v>71</v>
      </c>
      <c r="J962" s="44" t="s">
        <v>72</v>
      </c>
      <c r="K962" s="48">
        <v>74724</v>
      </c>
      <c r="L962" s="44" t="s">
        <v>62</v>
      </c>
      <c r="M962" s="49">
        <v>0.19</v>
      </c>
      <c r="N962" s="49">
        <v>0.6</v>
      </c>
      <c r="O962" s="48">
        <v>8590.41</v>
      </c>
      <c r="P962" s="48">
        <v>0</v>
      </c>
    </row>
    <row r="963" spans="1:16" ht="15" customHeight="1" x14ac:dyDescent="0.3">
      <c r="A963" s="38" t="s">
        <v>2002</v>
      </c>
      <c r="B963" s="39">
        <v>45253</v>
      </c>
      <c r="C963" s="38" t="s">
        <v>2003</v>
      </c>
      <c r="D963" s="38" t="s">
        <v>113</v>
      </c>
      <c r="E963" s="40">
        <v>38784</v>
      </c>
      <c r="F963" s="41">
        <v>0.107</v>
      </c>
      <c r="G963" s="38">
        <v>60</v>
      </c>
      <c r="H963" s="38" t="s">
        <v>35</v>
      </c>
      <c r="I963" s="38" t="s">
        <v>66</v>
      </c>
      <c r="J963" s="38" t="s">
        <v>84</v>
      </c>
      <c r="K963" s="42">
        <v>97914</v>
      </c>
      <c r="L963" s="38" t="s">
        <v>62</v>
      </c>
      <c r="M963" s="43">
        <v>0.27</v>
      </c>
      <c r="N963" s="43">
        <v>0.72</v>
      </c>
      <c r="O963" s="42">
        <v>42933.89</v>
      </c>
      <c r="P963" s="42">
        <v>0</v>
      </c>
    </row>
    <row r="964" spans="1:16" ht="15" customHeight="1" x14ac:dyDescent="0.3">
      <c r="A964" s="44" t="s">
        <v>2004</v>
      </c>
      <c r="B964" s="45">
        <v>45253</v>
      </c>
      <c r="C964" s="44" t="s">
        <v>2005</v>
      </c>
      <c r="D964" s="44" t="s">
        <v>79</v>
      </c>
      <c r="E964" s="46">
        <v>13182</v>
      </c>
      <c r="F964" s="47">
        <v>0.14799999999999999</v>
      </c>
      <c r="G964" s="44">
        <v>60</v>
      </c>
      <c r="H964" s="44" t="s">
        <v>36</v>
      </c>
      <c r="I964" s="44" t="s">
        <v>83</v>
      </c>
      <c r="J964" s="44" t="s">
        <v>67</v>
      </c>
      <c r="K964" s="48">
        <v>119791</v>
      </c>
      <c r="L964" s="44" t="s">
        <v>85</v>
      </c>
      <c r="M964" s="49">
        <v>0.44</v>
      </c>
      <c r="N964" s="49">
        <v>0.9</v>
      </c>
      <c r="O964" s="48">
        <v>3017.58</v>
      </c>
      <c r="P964" s="48">
        <v>0</v>
      </c>
    </row>
    <row r="965" spans="1:16" ht="15" customHeight="1" x14ac:dyDescent="0.3">
      <c r="A965" s="44" t="s">
        <v>2006</v>
      </c>
      <c r="B965" s="45">
        <v>45256</v>
      </c>
      <c r="C965" s="44" t="s">
        <v>2007</v>
      </c>
      <c r="D965" s="44" t="s">
        <v>59</v>
      </c>
      <c r="E965" s="46">
        <v>3983</v>
      </c>
      <c r="F965" s="47">
        <v>0.22</v>
      </c>
      <c r="G965" s="44">
        <v>36</v>
      </c>
      <c r="H965" s="44" t="s">
        <v>36</v>
      </c>
      <c r="I965" s="44" t="s">
        <v>71</v>
      </c>
      <c r="J965" s="44" t="s">
        <v>84</v>
      </c>
      <c r="K965" s="48">
        <v>81727</v>
      </c>
      <c r="L965" s="44" t="s">
        <v>85</v>
      </c>
      <c r="M965" s="49">
        <v>0.23</v>
      </c>
      <c r="N965" s="49">
        <v>0.75</v>
      </c>
      <c r="O965" s="48">
        <v>294.36</v>
      </c>
      <c r="P965" s="48">
        <v>0</v>
      </c>
    </row>
    <row r="966" spans="1:16" ht="15" customHeight="1" x14ac:dyDescent="0.3">
      <c r="A966" s="38" t="s">
        <v>2008</v>
      </c>
      <c r="B966" s="39">
        <v>45257</v>
      </c>
      <c r="C966" s="38" t="s">
        <v>2009</v>
      </c>
      <c r="D966" s="38" t="s">
        <v>138</v>
      </c>
      <c r="E966" s="40">
        <v>21695</v>
      </c>
      <c r="F966" s="41">
        <v>0.14899999999999999</v>
      </c>
      <c r="G966" s="38">
        <v>60</v>
      </c>
      <c r="H966" s="38" t="s">
        <v>35</v>
      </c>
      <c r="I966" s="38" t="s">
        <v>83</v>
      </c>
      <c r="J966" s="38" t="s">
        <v>84</v>
      </c>
      <c r="K966" s="42">
        <v>147652</v>
      </c>
      <c r="L966" s="38" t="s">
        <v>68</v>
      </c>
      <c r="M966" s="43">
        <v>0.48</v>
      </c>
      <c r="N966" s="43">
        <v>0.65</v>
      </c>
      <c r="O966" s="42">
        <v>24927.56</v>
      </c>
      <c r="P966" s="42">
        <v>0</v>
      </c>
    </row>
    <row r="967" spans="1:16" ht="15" customHeight="1" x14ac:dyDescent="0.3">
      <c r="A967" s="44" t="s">
        <v>2010</v>
      </c>
      <c r="B967" s="45">
        <v>45257</v>
      </c>
      <c r="C967" s="44" t="s">
        <v>2011</v>
      </c>
      <c r="D967" s="44" t="s">
        <v>97</v>
      </c>
      <c r="E967" s="46">
        <v>16876</v>
      </c>
      <c r="F967" s="47">
        <v>0.16700000000000001</v>
      </c>
      <c r="G967" s="44">
        <v>36</v>
      </c>
      <c r="H967" s="44" t="s">
        <v>36</v>
      </c>
      <c r="I967" s="44" t="s">
        <v>257</v>
      </c>
      <c r="J967" s="44" t="s">
        <v>61</v>
      </c>
      <c r="K967" s="48">
        <v>147269</v>
      </c>
      <c r="L967" s="44" t="s">
        <v>85</v>
      </c>
      <c r="M967" s="49">
        <v>0.22</v>
      </c>
      <c r="N967" s="49">
        <v>0.88</v>
      </c>
      <c r="O967" s="48">
        <v>3698.91</v>
      </c>
      <c r="P967" s="48">
        <v>0</v>
      </c>
    </row>
    <row r="968" spans="1:16" ht="15" customHeight="1" x14ac:dyDescent="0.3">
      <c r="A968" s="38" t="s">
        <v>2012</v>
      </c>
      <c r="B968" s="39">
        <v>45259</v>
      </c>
      <c r="C968" s="38" t="s">
        <v>2013</v>
      </c>
      <c r="D968" s="38" t="s">
        <v>75</v>
      </c>
      <c r="E968" s="40">
        <v>14629</v>
      </c>
      <c r="F968" s="41">
        <v>0.17599999999999999</v>
      </c>
      <c r="G968" s="38">
        <v>36</v>
      </c>
      <c r="H968" s="38" t="s">
        <v>35</v>
      </c>
      <c r="I968" s="38" t="s">
        <v>83</v>
      </c>
      <c r="J968" s="38" t="s">
        <v>72</v>
      </c>
      <c r="K968" s="42">
        <v>117985</v>
      </c>
      <c r="L968" s="38" t="s">
        <v>85</v>
      </c>
      <c r="M968" s="43">
        <v>0.49</v>
      </c>
      <c r="N968" s="43">
        <v>0.56999999999999995</v>
      </c>
      <c r="O968" s="42">
        <v>17203.7</v>
      </c>
      <c r="P968" s="42">
        <v>0</v>
      </c>
    </row>
    <row r="969" spans="1:16" ht="15" customHeight="1" x14ac:dyDescent="0.3">
      <c r="A969" s="38" t="s">
        <v>2014</v>
      </c>
      <c r="B969" s="39">
        <v>45259</v>
      </c>
      <c r="C969" s="38" t="s">
        <v>2015</v>
      </c>
      <c r="D969" s="38" t="s">
        <v>97</v>
      </c>
      <c r="E969" s="40">
        <v>6051</v>
      </c>
      <c r="F969" s="41">
        <v>0.218</v>
      </c>
      <c r="G969" s="38">
        <v>36</v>
      </c>
      <c r="H969" s="38" t="s">
        <v>35</v>
      </c>
      <c r="I969" s="38" t="s">
        <v>60</v>
      </c>
      <c r="J969" s="38" t="s">
        <v>76</v>
      </c>
      <c r="K969" s="42">
        <v>65944</v>
      </c>
      <c r="L969" s="38" t="s">
        <v>68</v>
      </c>
      <c r="M969" s="43">
        <v>0.45</v>
      </c>
      <c r="N969" s="43">
        <v>0.65</v>
      </c>
      <c r="O969" s="42">
        <v>7370.12</v>
      </c>
      <c r="P969" s="42">
        <v>0</v>
      </c>
    </row>
    <row r="970" spans="1:16" ht="15" customHeight="1" x14ac:dyDescent="0.3">
      <c r="A970" s="38" t="s">
        <v>2016</v>
      </c>
      <c r="B970" s="39">
        <v>45259</v>
      </c>
      <c r="C970" s="38" t="s">
        <v>2017</v>
      </c>
      <c r="D970" s="38" t="s">
        <v>125</v>
      </c>
      <c r="E970" s="40">
        <v>27123</v>
      </c>
      <c r="F970" s="41">
        <v>0.219</v>
      </c>
      <c r="G970" s="38">
        <v>60</v>
      </c>
      <c r="H970" s="38" t="s">
        <v>35</v>
      </c>
      <c r="I970" s="38" t="s">
        <v>71</v>
      </c>
      <c r="J970" s="38" t="s">
        <v>76</v>
      </c>
      <c r="K970" s="42">
        <v>76287</v>
      </c>
      <c r="L970" s="38" t="s">
        <v>62</v>
      </c>
      <c r="M970" s="43">
        <v>0.35</v>
      </c>
      <c r="N970" s="43">
        <v>0.61</v>
      </c>
      <c r="O970" s="42">
        <v>33062.94</v>
      </c>
      <c r="P970" s="42">
        <v>0</v>
      </c>
    </row>
    <row r="971" spans="1:16" ht="15" customHeight="1" x14ac:dyDescent="0.3">
      <c r="A971" s="44" t="s">
        <v>2018</v>
      </c>
      <c r="B971" s="45">
        <v>45259</v>
      </c>
      <c r="C971" s="44" t="s">
        <v>2019</v>
      </c>
      <c r="D971" s="44" t="s">
        <v>125</v>
      </c>
      <c r="E971" s="46">
        <v>17353</v>
      </c>
      <c r="F971" s="47">
        <v>0.19700000000000001</v>
      </c>
      <c r="G971" s="44">
        <v>36</v>
      </c>
      <c r="H971" s="44" t="s">
        <v>36</v>
      </c>
      <c r="I971" s="44" t="s">
        <v>66</v>
      </c>
      <c r="J971" s="44" t="s">
        <v>67</v>
      </c>
      <c r="K971" s="48">
        <v>64524</v>
      </c>
      <c r="L971" s="44" t="s">
        <v>85</v>
      </c>
      <c r="M971" s="49">
        <v>0.14000000000000001</v>
      </c>
      <c r="N971" s="49">
        <v>0.79</v>
      </c>
      <c r="O971" s="48">
        <v>7025.57</v>
      </c>
      <c r="P971" s="48">
        <v>0</v>
      </c>
    </row>
    <row r="972" spans="1:16" ht="15" customHeight="1" x14ac:dyDescent="0.3">
      <c r="A972" s="38" t="s">
        <v>2020</v>
      </c>
      <c r="B972" s="39">
        <v>45260</v>
      </c>
      <c r="C972" s="38" t="s">
        <v>2021</v>
      </c>
      <c r="D972" s="38" t="s">
        <v>88</v>
      </c>
      <c r="E972" s="40">
        <v>8052</v>
      </c>
      <c r="F972" s="41">
        <v>0.17100000000000001</v>
      </c>
      <c r="G972" s="38">
        <v>60</v>
      </c>
      <c r="H972" s="38" t="s">
        <v>35</v>
      </c>
      <c r="I972" s="38" t="s">
        <v>71</v>
      </c>
      <c r="J972" s="38" t="s">
        <v>76</v>
      </c>
      <c r="K972" s="42">
        <v>43409</v>
      </c>
      <c r="L972" s="38" t="s">
        <v>68</v>
      </c>
      <c r="M972" s="43">
        <v>0.39</v>
      </c>
      <c r="N972" s="43">
        <v>0.62</v>
      </c>
      <c r="O972" s="42">
        <v>9428.89</v>
      </c>
      <c r="P972" s="42">
        <v>0</v>
      </c>
    </row>
    <row r="973" spans="1:16" ht="15" customHeight="1" x14ac:dyDescent="0.3">
      <c r="A973" s="38" t="s">
        <v>2022</v>
      </c>
      <c r="B973" s="39">
        <v>45261</v>
      </c>
      <c r="C973" s="38" t="s">
        <v>2023</v>
      </c>
      <c r="D973" s="38" t="s">
        <v>88</v>
      </c>
      <c r="E973" s="40">
        <v>37408</v>
      </c>
      <c r="F973" s="41">
        <v>0.22600000000000001</v>
      </c>
      <c r="G973" s="38">
        <v>60</v>
      </c>
      <c r="H973" s="38" t="s">
        <v>35</v>
      </c>
      <c r="I973" s="38" t="s">
        <v>60</v>
      </c>
      <c r="J973" s="38" t="s">
        <v>84</v>
      </c>
      <c r="K973" s="42">
        <v>74535</v>
      </c>
      <c r="L973" s="38" t="s">
        <v>68</v>
      </c>
      <c r="M973" s="43">
        <v>0.48</v>
      </c>
      <c r="N973" s="43">
        <v>0.6</v>
      </c>
      <c r="O973" s="42">
        <v>45862.21</v>
      </c>
      <c r="P973" s="42">
        <v>0</v>
      </c>
    </row>
    <row r="974" spans="1:16" ht="15" customHeight="1" x14ac:dyDescent="0.3">
      <c r="A974" s="38" t="s">
        <v>2024</v>
      </c>
      <c r="B974" s="39">
        <v>45262</v>
      </c>
      <c r="C974" s="38" t="s">
        <v>2025</v>
      </c>
      <c r="D974" s="38" t="s">
        <v>75</v>
      </c>
      <c r="E974" s="40">
        <v>30371</v>
      </c>
      <c r="F974" s="41">
        <v>0.224</v>
      </c>
      <c r="G974" s="38">
        <v>36</v>
      </c>
      <c r="H974" s="38" t="s">
        <v>35</v>
      </c>
      <c r="I974" s="38" t="s">
        <v>80</v>
      </c>
      <c r="J974" s="38" t="s">
        <v>84</v>
      </c>
      <c r="K974" s="42">
        <v>110055</v>
      </c>
      <c r="L974" s="38" t="s">
        <v>85</v>
      </c>
      <c r="M974" s="43">
        <v>0.43</v>
      </c>
      <c r="N974" s="43">
        <v>0.8</v>
      </c>
      <c r="O974" s="42">
        <v>37174.1</v>
      </c>
      <c r="P974" s="42">
        <v>0</v>
      </c>
    </row>
    <row r="975" spans="1:16" ht="15" customHeight="1" x14ac:dyDescent="0.3">
      <c r="A975" s="38" t="s">
        <v>2026</v>
      </c>
      <c r="B975" s="39">
        <v>45262</v>
      </c>
      <c r="C975" s="38" t="s">
        <v>2027</v>
      </c>
      <c r="D975" s="38" t="s">
        <v>108</v>
      </c>
      <c r="E975" s="40">
        <v>36198</v>
      </c>
      <c r="F975" s="41">
        <v>0.17699999999999999</v>
      </c>
      <c r="G975" s="38">
        <v>60</v>
      </c>
      <c r="H975" s="38" t="s">
        <v>35</v>
      </c>
      <c r="I975" s="38" t="s">
        <v>80</v>
      </c>
      <c r="J975" s="38" t="s">
        <v>76</v>
      </c>
      <c r="K975" s="42">
        <v>65179</v>
      </c>
      <c r="L975" s="38" t="s">
        <v>62</v>
      </c>
      <c r="M975" s="43">
        <v>0.35</v>
      </c>
      <c r="N975" s="43">
        <v>0.87</v>
      </c>
      <c r="O975" s="42">
        <v>42605.05</v>
      </c>
      <c r="P975" s="42">
        <v>0</v>
      </c>
    </row>
    <row r="976" spans="1:16" ht="15" customHeight="1" x14ac:dyDescent="0.3">
      <c r="A976" s="44" t="s">
        <v>2028</v>
      </c>
      <c r="B976" s="45">
        <v>45263</v>
      </c>
      <c r="C976" s="44" t="s">
        <v>2029</v>
      </c>
      <c r="D976" s="44" t="s">
        <v>125</v>
      </c>
      <c r="E976" s="46">
        <v>1526</v>
      </c>
      <c r="F976" s="47">
        <v>0.23100000000000001</v>
      </c>
      <c r="G976" s="44">
        <v>60</v>
      </c>
      <c r="H976" s="44" t="s">
        <v>36</v>
      </c>
      <c r="I976" s="44" t="s">
        <v>80</v>
      </c>
      <c r="J976" s="44" t="s">
        <v>72</v>
      </c>
      <c r="K976" s="48">
        <v>54519</v>
      </c>
      <c r="L976" s="44" t="s">
        <v>85</v>
      </c>
      <c r="M976" s="49">
        <v>0.32</v>
      </c>
      <c r="N976" s="49">
        <v>0.52</v>
      </c>
      <c r="O976" s="48">
        <v>543.33000000000004</v>
      </c>
      <c r="P976" s="48">
        <v>0</v>
      </c>
    </row>
    <row r="977" spans="1:16" ht="15" customHeight="1" x14ac:dyDescent="0.3">
      <c r="A977" s="56" t="s">
        <v>2030</v>
      </c>
      <c r="B977" s="57">
        <v>45266</v>
      </c>
      <c r="C977" s="56" t="s">
        <v>2031</v>
      </c>
      <c r="D977" s="56" t="s">
        <v>108</v>
      </c>
      <c r="E977" s="58">
        <v>27213</v>
      </c>
      <c r="F977" s="59">
        <v>0.23499999999999999</v>
      </c>
      <c r="G977" s="56">
        <v>60</v>
      </c>
      <c r="H977" s="56" t="s">
        <v>37</v>
      </c>
      <c r="I977" s="56" t="s">
        <v>60</v>
      </c>
      <c r="J977" s="56" t="s">
        <v>84</v>
      </c>
      <c r="K977" s="60">
        <v>122876</v>
      </c>
      <c r="L977" s="56" t="s">
        <v>62</v>
      </c>
      <c r="M977" s="61">
        <v>0.41</v>
      </c>
      <c r="N977" s="61">
        <v>0.62</v>
      </c>
      <c r="O977" s="60">
        <v>9805.16</v>
      </c>
      <c r="P977" s="60">
        <v>8501.7099999999991</v>
      </c>
    </row>
    <row r="978" spans="1:16" ht="15" customHeight="1" x14ac:dyDescent="0.3">
      <c r="A978" s="50" t="s">
        <v>2032</v>
      </c>
      <c r="B978" s="51">
        <v>45266</v>
      </c>
      <c r="C978" s="50" t="s">
        <v>2033</v>
      </c>
      <c r="D978" s="50" t="s">
        <v>138</v>
      </c>
      <c r="E978" s="52">
        <v>7183</v>
      </c>
      <c r="F978" s="53">
        <v>0.216</v>
      </c>
      <c r="G978" s="50">
        <v>36</v>
      </c>
      <c r="H978" s="50" t="s">
        <v>39</v>
      </c>
      <c r="I978" s="50" t="s">
        <v>80</v>
      </c>
      <c r="J978" s="50" t="s">
        <v>61</v>
      </c>
      <c r="K978" s="54">
        <v>141603</v>
      </c>
      <c r="L978" s="50" t="s">
        <v>62</v>
      </c>
      <c r="M978" s="55">
        <v>0.15</v>
      </c>
      <c r="N978" s="55">
        <v>0.52</v>
      </c>
      <c r="O978" s="54">
        <v>0</v>
      </c>
      <c r="P978" s="54">
        <v>0</v>
      </c>
    </row>
    <row r="979" spans="1:16" ht="15" customHeight="1" x14ac:dyDescent="0.3">
      <c r="A979" s="38" t="s">
        <v>2034</v>
      </c>
      <c r="B979" s="39">
        <v>45267</v>
      </c>
      <c r="C979" s="38" t="s">
        <v>2035</v>
      </c>
      <c r="D979" s="38" t="s">
        <v>75</v>
      </c>
      <c r="E979" s="40">
        <v>34756</v>
      </c>
      <c r="F979" s="41">
        <v>0.14699999999999999</v>
      </c>
      <c r="G979" s="38">
        <v>60</v>
      </c>
      <c r="H979" s="38" t="s">
        <v>35</v>
      </c>
      <c r="I979" s="38" t="s">
        <v>257</v>
      </c>
      <c r="J979" s="38" t="s">
        <v>76</v>
      </c>
      <c r="K979" s="42">
        <v>53470</v>
      </c>
      <c r="L979" s="38" t="s">
        <v>68</v>
      </c>
      <c r="M979" s="43">
        <v>0.13</v>
      </c>
      <c r="N979" s="43">
        <v>0.94</v>
      </c>
      <c r="O979" s="42">
        <v>39865.129999999997</v>
      </c>
      <c r="P979" s="42">
        <v>0</v>
      </c>
    </row>
    <row r="980" spans="1:16" ht="15" customHeight="1" x14ac:dyDescent="0.3">
      <c r="A980" s="38" t="s">
        <v>2036</v>
      </c>
      <c r="B980" s="39">
        <v>45268</v>
      </c>
      <c r="C980" s="38" t="s">
        <v>2037</v>
      </c>
      <c r="D980" s="38" t="s">
        <v>138</v>
      </c>
      <c r="E980" s="40">
        <v>23297</v>
      </c>
      <c r="F980" s="41">
        <v>0.08</v>
      </c>
      <c r="G980" s="38">
        <v>60</v>
      </c>
      <c r="H980" s="38" t="s">
        <v>35</v>
      </c>
      <c r="I980" s="38" t="s">
        <v>60</v>
      </c>
      <c r="J980" s="38" t="s">
        <v>67</v>
      </c>
      <c r="K980" s="42">
        <v>71003</v>
      </c>
      <c r="L980" s="38" t="s">
        <v>85</v>
      </c>
      <c r="M980" s="43">
        <v>0.43</v>
      </c>
      <c r="N980" s="43">
        <v>0.55000000000000004</v>
      </c>
      <c r="O980" s="42">
        <v>25160.76</v>
      </c>
      <c r="P980" s="42">
        <v>0</v>
      </c>
    </row>
    <row r="981" spans="1:16" ht="15" customHeight="1" x14ac:dyDescent="0.3">
      <c r="A981" s="44" t="s">
        <v>2038</v>
      </c>
      <c r="B981" s="45">
        <v>45269</v>
      </c>
      <c r="C981" s="44" t="s">
        <v>2039</v>
      </c>
      <c r="D981" s="44" t="s">
        <v>59</v>
      </c>
      <c r="E981" s="46">
        <v>20129</v>
      </c>
      <c r="F981" s="47">
        <v>0.16</v>
      </c>
      <c r="G981" s="44">
        <v>60</v>
      </c>
      <c r="H981" s="44" t="s">
        <v>36</v>
      </c>
      <c r="I981" s="44" t="s">
        <v>71</v>
      </c>
      <c r="J981" s="44" t="s">
        <v>72</v>
      </c>
      <c r="K981" s="48">
        <v>90815</v>
      </c>
      <c r="L981" s="44" t="s">
        <v>68</v>
      </c>
      <c r="M981" s="49">
        <v>0.12</v>
      </c>
      <c r="N981" s="49">
        <v>0.89</v>
      </c>
      <c r="O981" s="48">
        <v>2865.01</v>
      </c>
      <c r="P981" s="48">
        <v>0</v>
      </c>
    </row>
    <row r="982" spans="1:16" ht="15" customHeight="1" x14ac:dyDescent="0.3">
      <c r="A982" s="38" t="s">
        <v>2040</v>
      </c>
      <c r="B982" s="39">
        <v>45269</v>
      </c>
      <c r="C982" s="38" t="s">
        <v>2041</v>
      </c>
      <c r="D982" s="38" t="s">
        <v>108</v>
      </c>
      <c r="E982" s="40">
        <v>36298</v>
      </c>
      <c r="F982" s="41">
        <v>0.14399999999999999</v>
      </c>
      <c r="G982" s="38">
        <v>60</v>
      </c>
      <c r="H982" s="38" t="s">
        <v>35</v>
      </c>
      <c r="I982" s="38" t="s">
        <v>60</v>
      </c>
      <c r="J982" s="38" t="s">
        <v>61</v>
      </c>
      <c r="K982" s="42">
        <v>145662</v>
      </c>
      <c r="L982" s="38" t="s">
        <v>68</v>
      </c>
      <c r="M982" s="43">
        <v>0.2</v>
      </c>
      <c r="N982" s="43">
        <v>0.65</v>
      </c>
      <c r="O982" s="42">
        <v>41524.910000000003</v>
      </c>
      <c r="P982" s="42">
        <v>0</v>
      </c>
    </row>
    <row r="983" spans="1:16" ht="15" customHeight="1" x14ac:dyDescent="0.3">
      <c r="A983" s="44" t="s">
        <v>2042</v>
      </c>
      <c r="B983" s="45">
        <v>45271</v>
      </c>
      <c r="C983" s="44" t="s">
        <v>2043</v>
      </c>
      <c r="D983" s="44" t="s">
        <v>79</v>
      </c>
      <c r="E983" s="46">
        <v>8848</v>
      </c>
      <c r="F983" s="47">
        <v>0.16200000000000001</v>
      </c>
      <c r="G983" s="44">
        <v>60</v>
      </c>
      <c r="H983" s="44" t="s">
        <v>36</v>
      </c>
      <c r="I983" s="44" t="s">
        <v>80</v>
      </c>
      <c r="J983" s="44" t="s">
        <v>72</v>
      </c>
      <c r="K983" s="48">
        <v>50862</v>
      </c>
      <c r="L983" s="44" t="s">
        <v>85</v>
      </c>
      <c r="M983" s="49">
        <v>0.17</v>
      </c>
      <c r="N983" s="49">
        <v>0.5</v>
      </c>
      <c r="O983" s="48">
        <v>2965.85</v>
      </c>
      <c r="P983" s="48">
        <v>0</v>
      </c>
    </row>
    <row r="984" spans="1:16" ht="15" customHeight="1" x14ac:dyDescent="0.3">
      <c r="A984" s="38" t="s">
        <v>2044</v>
      </c>
      <c r="B984" s="39">
        <v>45271</v>
      </c>
      <c r="C984" s="38" t="s">
        <v>2045</v>
      </c>
      <c r="D984" s="38" t="s">
        <v>75</v>
      </c>
      <c r="E984" s="40">
        <v>38285</v>
      </c>
      <c r="F984" s="41">
        <v>0.159</v>
      </c>
      <c r="G984" s="38">
        <v>60</v>
      </c>
      <c r="H984" s="38" t="s">
        <v>35</v>
      </c>
      <c r="I984" s="38" t="s">
        <v>60</v>
      </c>
      <c r="J984" s="38" t="s">
        <v>72</v>
      </c>
      <c r="K984" s="42">
        <v>125745</v>
      </c>
      <c r="L984" s="38" t="s">
        <v>62</v>
      </c>
      <c r="M984" s="43">
        <v>0.26</v>
      </c>
      <c r="N984" s="43">
        <v>0.78</v>
      </c>
      <c r="O984" s="42">
        <v>44372.32</v>
      </c>
      <c r="P984" s="42">
        <v>0</v>
      </c>
    </row>
    <row r="985" spans="1:16" ht="15" customHeight="1" x14ac:dyDescent="0.3">
      <c r="A985" s="50" t="s">
        <v>2046</v>
      </c>
      <c r="B985" s="51">
        <v>45273</v>
      </c>
      <c r="C985" s="50" t="s">
        <v>2047</v>
      </c>
      <c r="D985" s="50" t="s">
        <v>59</v>
      </c>
      <c r="E985" s="52">
        <v>34039</v>
      </c>
      <c r="F985" s="53">
        <v>7.0999999999999994E-2</v>
      </c>
      <c r="G985" s="50">
        <v>60</v>
      </c>
      <c r="H985" s="50" t="s">
        <v>38</v>
      </c>
      <c r="I985" s="50" t="s">
        <v>66</v>
      </c>
      <c r="J985" s="50" t="s">
        <v>76</v>
      </c>
      <c r="K985" s="54">
        <v>141984</v>
      </c>
      <c r="L985" s="50" t="s">
        <v>62</v>
      </c>
      <c r="M985" s="55">
        <v>0.15</v>
      </c>
      <c r="N985" s="55">
        <v>0.8</v>
      </c>
      <c r="O985" s="54">
        <v>0</v>
      </c>
      <c r="P985" s="54">
        <v>0</v>
      </c>
    </row>
    <row r="986" spans="1:16" ht="15" customHeight="1" x14ac:dyDescent="0.3">
      <c r="A986" s="38" t="s">
        <v>2048</v>
      </c>
      <c r="B986" s="39">
        <v>45273</v>
      </c>
      <c r="C986" s="38" t="s">
        <v>2049</v>
      </c>
      <c r="D986" s="38" t="s">
        <v>65</v>
      </c>
      <c r="E986" s="40">
        <v>24393</v>
      </c>
      <c r="F986" s="41">
        <v>0.23599999999999999</v>
      </c>
      <c r="G986" s="38">
        <v>36</v>
      </c>
      <c r="H986" s="38" t="s">
        <v>35</v>
      </c>
      <c r="I986" s="38" t="s">
        <v>114</v>
      </c>
      <c r="J986" s="38" t="s">
        <v>61</v>
      </c>
      <c r="K986" s="42">
        <v>77664</v>
      </c>
      <c r="L986" s="38" t="s">
        <v>68</v>
      </c>
      <c r="M986" s="43">
        <v>0.12</v>
      </c>
      <c r="N986" s="43">
        <v>0.83</v>
      </c>
      <c r="O986" s="42">
        <v>30149.75</v>
      </c>
      <c r="P986" s="42">
        <v>0</v>
      </c>
    </row>
    <row r="987" spans="1:16" ht="15" customHeight="1" x14ac:dyDescent="0.3">
      <c r="A987" s="38" t="s">
        <v>2050</v>
      </c>
      <c r="B987" s="39">
        <v>45273</v>
      </c>
      <c r="C987" s="38" t="s">
        <v>2051</v>
      </c>
      <c r="D987" s="38" t="s">
        <v>97</v>
      </c>
      <c r="E987" s="40">
        <v>12383</v>
      </c>
      <c r="F987" s="41">
        <v>0.128</v>
      </c>
      <c r="G987" s="38">
        <v>36</v>
      </c>
      <c r="H987" s="38" t="s">
        <v>35</v>
      </c>
      <c r="I987" s="38" t="s">
        <v>80</v>
      </c>
      <c r="J987" s="38" t="s">
        <v>72</v>
      </c>
      <c r="K987" s="42">
        <v>125989</v>
      </c>
      <c r="L987" s="38" t="s">
        <v>85</v>
      </c>
      <c r="M987" s="43">
        <v>0.13</v>
      </c>
      <c r="N987" s="43">
        <v>0.55000000000000004</v>
      </c>
      <c r="O987" s="42">
        <v>13968.02</v>
      </c>
      <c r="P987" s="42">
        <v>0</v>
      </c>
    </row>
    <row r="988" spans="1:16" ht="15" customHeight="1" x14ac:dyDescent="0.3">
      <c r="A988" s="38" t="s">
        <v>2052</v>
      </c>
      <c r="B988" s="39">
        <v>45273</v>
      </c>
      <c r="C988" s="38" t="s">
        <v>2053</v>
      </c>
      <c r="D988" s="38" t="s">
        <v>97</v>
      </c>
      <c r="E988" s="40">
        <v>11634</v>
      </c>
      <c r="F988" s="41">
        <v>0.21199999999999999</v>
      </c>
      <c r="G988" s="38">
        <v>36</v>
      </c>
      <c r="H988" s="38" t="s">
        <v>35</v>
      </c>
      <c r="I988" s="38" t="s">
        <v>80</v>
      </c>
      <c r="J988" s="38" t="s">
        <v>76</v>
      </c>
      <c r="K988" s="42">
        <v>145584</v>
      </c>
      <c r="L988" s="38" t="s">
        <v>62</v>
      </c>
      <c r="M988" s="43">
        <v>0.39</v>
      </c>
      <c r="N988" s="43">
        <v>0.53</v>
      </c>
      <c r="O988" s="42">
        <v>14100.41</v>
      </c>
      <c r="P988" s="42">
        <v>0</v>
      </c>
    </row>
    <row r="989" spans="1:16" ht="15" customHeight="1" x14ac:dyDescent="0.3">
      <c r="A989" s="44" t="s">
        <v>2054</v>
      </c>
      <c r="B989" s="45">
        <v>45274</v>
      </c>
      <c r="C989" s="44" t="s">
        <v>2055</v>
      </c>
      <c r="D989" s="44" t="s">
        <v>75</v>
      </c>
      <c r="E989" s="46">
        <v>4292</v>
      </c>
      <c r="F989" s="47">
        <v>0.16</v>
      </c>
      <c r="G989" s="44">
        <v>36</v>
      </c>
      <c r="H989" s="44" t="s">
        <v>36</v>
      </c>
      <c r="I989" s="44" t="s">
        <v>114</v>
      </c>
      <c r="J989" s="44" t="s">
        <v>72</v>
      </c>
      <c r="K989" s="48">
        <v>106996</v>
      </c>
      <c r="L989" s="44" t="s">
        <v>62</v>
      </c>
      <c r="M989" s="49">
        <v>0.21</v>
      </c>
      <c r="N989" s="49">
        <v>0.92</v>
      </c>
      <c r="O989" s="48">
        <v>836.21</v>
      </c>
      <c r="P989" s="48">
        <v>0</v>
      </c>
    </row>
    <row r="990" spans="1:16" ht="15" customHeight="1" x14ac:dyDescent="0.3">
      <c r="A990" s="56" t="s">
        <v>2056</v>
      </c>
      <c r="B990" s="57">
        <v>45274</v>
      </c>
      <c r="C990" s="56" t="s">
        <v>2057</v>
      </c>
      <c r="D990" s="56" t="s">
        <v>65</v>
      </c>
      <c r="E990" s="58">
        <v>19271</v>
      </c>
      <c r="F990" s="59">
        <v>0.2</v>
      </c>
      <c r="G990" s="56">
        <v>60</v>
      </c>
      <c r="H990" s="56" t="s">
        <v>37</v>
      </c>
      <c r="I990" s="56" t="s">
        <v>83</v>
      </c>
      <c r="J990" s="56" t="s">
        <v>72</v>
      </c>
      <c r="K990" s="60">
        <v>100532</v>
      </c>
      <c r="L990" s="56" t="s">
        <v>62</v>
      </c>
      <c r="M990" s="61">
        <v>0.22</v>
      </c>
      <c r="N990" s="61">
        <v>0.75</v>
      </c>
      <c r="O990" s="60">
        <v>6496.68</v>
      </c>
      <c r="P990" s="60">
        <v>2294.8000000000002</v>
      </c>
    </row>
    <row r="991" spans="1:16" ht="15" customHeight="1" x14ac:dyDescent="0.3">
      <c r="A991" s="38" t="s">
        <v>2058</v>
      </c>
      <c r="B991" s="39">
        <v>45274</v>
      </c>
      <c r="C991" s="38" t="s">
        <v>2059</v>
      </c>
      <c r="D991" s="38" t="s">
        <v>88</v>
      </c>
      <c r="E991" s="40">
        <v>21677</v>
      </c>
      <c r="F991" s="41">
        <v>8.4000000000000005E-2</v>
      </c>
      <c r="G991" s="38">
        <v>36</v>
      </c>
      <c r="H991" s="38" t="s">
        <v>35</v>
      </c>
      <c r="I991" s="38" t="s">
        <v>83</v>
      </c>
      <c r="J991" s="38" t="s">
        <v>76</v>
      </c>
      <c r="K991" s="42">
        <v>67842</v>
      </c>
      <c r="L991" s="38" t="s">
        <v>85</v>
      </c>
      <c r="M991" s="43">
        <v>0.42</v>
      </c>
      <c r="N991" s="43">
        <v>0.82</v>
      </c>
      <c r="O991" s="42">
        <v>23497.87</v>
      </c>
      <c r="P991" s="42">
        <v>0</v>
      </c>
    </row>
    <row r="992" spans="1:16" ht="15" customHeight="1" x14ac:dyDescent="0.3">
      <c r="A992" s="44" t="s">
        <v>2060</v>
      </c>
      <c r="B992" s="45">
        <v>45276</v>
      </c>
      <c r="C992" s="44" t="s">
        <v>2061</v>
      </c>
      <c r="D992" s="44" t="s">
        <v>65</v>
      </c>
      <c r="E992" s="46">
        <v>18772</v>
      </c>
      <c r="F992" s="47">
        <v>0.217</v>
      </c>
      <c r="G992" s="44">
        <v>60</v>
      </c>
      <c r="H992" s="44" t="s">
        <v>36</v>
      </c>
      <c r="I992" s="44" t="s">
        <v>60</v>
      </c>
      <c r="J992" s="44" t="s">
        <v>67</v>
      </c>
      <c r="K992" s="48">
        <v>81148</v>
      </c>
      <c r="L992" s="44" t="s">
        <v>68</v>
      </c>
      <c r="M992" s="49">
        <v>0.26</v>
      </c>
      <c r="N992" s="49">
        <v>0.6</v>
      </c>
      <c r="O992" s="48">
        <v>7853.16</v>
      </c>
      <c r="P992" s="48">
        <v>0</v>
      </c>
    </row>
    <row r="993" spans="1:16" ht="15" customHeight="1" x14ac:dyDescent="0.3">
      <c r="A993" s="38" t="s">
        <v>2062</v>
      </c>
      <c r="B993" s="39">
        <v>45278</v>
      </c>
      <c r="C993" s="38" t="s">
        <v>2063</v>
      </c>
      <c r="D993" s="38" t="s">
        <v>113</v>
      </c>
      <c r="E993" s="40">
        <v>15288</v>
      </c>
      <c r="F993" s="41">
        <v>0.22900000000000001</v>
      </c>
      <c r="G993" s="38">
        <v>36</v>
      </c>
      <c r="H993" s="38" t="s">
        <v>35</v>
      </c>
      <c r="I993" s="38" t="s">
        <v>80</v>
      </c>
      <c r="J993" s="38" t="s">
        <v>67</v>
      </c>
      <c r="K993" s="42">
        <v>127790</v>
      </c>
      <c r="L993" s="38" t="s">
        <v>62</v>
      </c>
      <c r="M993" s="43">
        <v>0.32</v>
      </c>
      <c r="N993" s="43">
        <v>0.68</v>
      </c>
      <c r="O993" s="42">
        <v>18788.95</v>
      </c>
      <c r="P993" s="42">
        <v>0</v>
      </c>
    </row>
    <row r="994" spans="1:16" ht="15" customHeight="1" x14ac:dyDescent="0.3">
      <c r="A994" s="38" t="s">
        <v>2064</v>
      </c>
      <c r="B994" s="39">
        <v>45278</v>
      </c>
      <c r="C994" s="38" t="s">
        <v>2065</v>
      </c>
      <c r="D994" s="38" t="s">
        <v>97</v>
      </c>
      <c r="E994" s="40">
        <v>11181</v>
      </c>
      <c r="F994" s="41">
        <v>0.19800000000000001</v>
      </c>
      <c r="G994" s="38">
        <v>36</v>
      </c>
      <c r="H994" s="38" t="s">
        <v>35</v>
      </c>
      <c r="I994" s="38" t="s">
        <v>114</v>
      </c>
      <c r="J994" s="38" t="s">
        <v>84</v>
      </c>
      <c r="K994" s="42">
        <v>132438</v>
      </c>
      <c r="L994" s="38" t="s">
        <v>62</v>
      </c>
      <c r="M994" s="43">
        <v>0.45</v>
      </c>
      <c r="N994" s="43">
        <v>0.57999999999999996</v>
      </c>
      <c r="O994" s="42">
        <v>13394.84</v>
      </c>
      <c r="P994" s="42">
        <v>0</v>
      </c>
    </row>
    <row r="995" spans="1:16" ht="15" customHeight="1" x14ac:dyDescent="0.3">
      <c r="A995" s="44" t="s">
        <v>2066</v>
      </c>
      <c r="B995" s="45">
        <v>45278</v>
      </c>
      <c r="C995" s="44" t="s">
        <v>2067</v>
      </c>
      <c r="D995" s="44" t="s">
        <v>108</v>
      </c>
      <c r="E995" s="46">
        <v>31678</v>
      </c>
      <c r="F995" s="47">
        <v>0.14000000000000001</v>
      </c>
      <c r="G995" s="44">
        <v>60</v>
      </c>
      <c r="H995" s="44" t="s">
        <v>36</v>
      </c>
      <c r="I995" s="44" t="s">
        <v>83</v>
      </c>
      <c r="J995" s="44" t="s">
        <v>84</v>
      </c>
      <c r="K995" s="48">
        <v>121051</v>
      </c>
      <c r="L995" s="44" t="s">
        <v>68</v>
      </c>
      <c r="M995" s="49">
        <v>0.22</v>
      </c>
      <c r="N995" s="49">
        <v>0.62</v>
      </c>
      <c r="O995" s="48">
        <v>5497.96</v>
      </c>
      <c r="P995" s="48">
        <v>0</v>
      </c>
    </row>
    <row r="996" spans="1:16" ht="15" customHeight="1" x14ac:dyDescent="0.3">
      <c r="A996" s="38" t="s">
        <v>2068</v>
      </c>
      <c r="B996" s="39">
        <v>45279</v>
      </c>
      <c r="C996" s="38" t="s">
        <v>2069</v>
      </c>
      <c r="D996" s="38" t="s">
        <v>125</v>
      </c>
      <c r="E996" s="40">
        <v>39709</v>
      </c>
      <c r="F996" s="41">
        <v>0.152</v>
      </c>
      <c r="G996" s="38">
        <v>36</v>
      </c>
      <c r="H996" s="38" t="s">
        <v>35</v>
      </c>
      <c r="I996" s="38" t="s">
        <v>114</v>
      </c>
      <c r="J996" s="38" t="s">
        <v>84</v>
      </c>
      <c r="K996" s="42">
        <v>81717</v>
      </c>
      <c r="L996" s="38" t="s">
        <v>68</v>
      </c>
      <c r="M996" s="43">
        <v>0.23</v>
      </c>
      <c r="N996" s="43">
        <v>0.82</v>
      </c>
      <c r="O996" s="42">
        <v>45744.77</v>
      </c>
      <c r="P996" s="42">
        <v>0</v>
      </c>
    </row>
    <row r="997" spans="1:16" ht="15" customHeight="1" x14ac:dyDescent="0.3">
      <c r="A997" s="44" t="s">
        <v>2070</v>
      </c>
      <c r="B997" s="45">
        <v>45283</v>
      </c>
      <c r="C997" s="44" t="s">
        <v>2071</v>
      </c>
      <c r="D997" s="44" t="s">
        <v>75</v>
      </c>
      <c r="E997" s="46">
        <v>24563</v>
      </c>
      <c r="F997" s="47">
        <v>0.159</v>
      </c>
      <c r="G997" s="44">
        <v>36</v>
      </c>
      <c r="H997" s="44" t="s">
        <v>36</v>
      </c>
      <c r="I997" s="44" t="s">
        <v>60</v>
      </c>
      <c r="J997" s="44" t="s">
        <v>61</v>
      </c>
      <c r="K997" s="48">
        <v>46260</v>
      </c>
      <c r="L997" s="44" t="s">
        <v>68</v>
      </c>
      <c r="M997" s="49">
        <v>0.32</v>
      </c>
      <c r="N997" s="49">
        <v>0.83</v>
      </c>
      <c r="O997" s="48">
        <v>10136.36</v>
      </c>
      <c r="P997" s="48">
        <v>0</v>
      </c>
    </row>
    <row r="998" spans="1:16" ht="15" customHeight="1" x14ac:dyDescent="0.3">
      <c r="A998" s="38" t="s">
        <v>2072</v>
      </c>
      <c r="B998" s="39">
        <v>45283</v>
      </c>
      <c r="C998" s="38" t="s">
        <v>2073</v>
      </c>
      <c r="D998" s="38" t="s">
        <v>138</v>
      </c>
      <c r="E998" s="40">
        <v>1338</v>
      </c>
      <c r="F998" s="41">
        <v>0.246</v>
      </c>
      <c r="G998" s="38">
        <v>36</v>
      </c>
      <c r="H998" s="38" t="s">
        <v>35</v>
      </c>
      <c r="I998" s="38" t="s">
        <v>60</v>
      </c>
      <c r="J998" s="38" t="s">
        <v>76</v>
      </c>
      <c r="K998" s="42">
        <v>51639</v>
      </c>
      <c r="L998" s="38" t="s">
        <v>85</v>
      </c>
      <c r="M998" s="43">
        <v>0.27</v>
      </c>
      <c r="N998" s="43">
        <v>0.65</v>
      </c>
      <c r="O998" s="42">
        <v>1667.15</v>
      </c>
      <c r="P998" s="42">
        <v>0</v>
      </c>
    </row>
    <row r="999" spans="1:16" ht="15" customHeight="1" x14ac:dyDescent="0.3">
      <c r="A999" s="38" t="s">
        <v>2074</v>
      </c>
      <c r="B999" s="39">
        <v>45285</v>
      </c>
      <c r="C999" s="38" t="s">
        <v>2075</v>
      </c>
      <c r="D999" s="38" t="s">
        <v>88</v>
      </c>
      <c r="E999" s="40">
        <v>13588</v>
      </c>
      <c r="F999" s="41">
        <v>5.8999999999999997E-2</v>
      </c>
      <c r="G999" s="38">
        <v>36</v>
      </c>
      <c r="H999" s="38" t="s">
        <v>35</v>
      </c>
      <c r="I999" s="38" t="s">
        <v>66</v>
      </c>
      <c r="J999" s="38" t="s">
        <v>76</v>
      </c>
      <c r="K999" s="42">
        <v>88870</v>
      </c>
      <c r="L999" s="38" t="s">
        <v>62</v>
      </c>
      <c r="M999" s="43">
        <v>0.43</v>
      </c>
      <c r="N999" s="43">
        <v>0.88</v>
      </c>
      <c r="O999" s="42">
        <v>14389.69</v>
      </c>
      <c r="P999" s="42">
        <v>0</v>
      </c>
    </row>
    <row r="1000" spans="1:16" ht="15" customHeight="1" x14ac:dyDescent="0.3">
      <c r="A1000" s="56" t="s">
        <v>2076</v>
      </c>
      <c r="B1000" s="57">
        <v>45289</v>
      </c>
      <c r="C1000" s="56" t="s">
        <v>2077</v>
      </c>
      <c r="D1000" s="56" t="s">
        <v>138</v>
      </c>
      <c r="E1000" s="58">
        <v>34320</v>
      </c>
      <c r="F1000" s="59">
        <v>0.215</v>
      </c>
      <c r="G1000" s="56">
        <v>60</v>
      </c>
      <c r="H1000" s="56" t="s">
        <v>37</v>
      </c>
      <c r="I1000" s="56" t="s">
        <v>60</v>
      </c>
      <c r="J1000" s="56" t="s">
        <v>72</v>
      </c>
      <c r="K1000" s="60">
        <v>62093</v>
      </c>
      <c r="L1000" s="56" t="s">
        <v>68</v>
      </c>
      <c r="M1000" s="61">
        <v>0.3</v>
      </c>
      <c r="N1000" s="61">
        <v>0.69</v>
      </c>
      <c r="O1000" s="60">
        <v>4545.24</v>
      </c>
      <c r="P1000" s="60">
        <v>12356.63</v>
      </c>
    </row>
    <row r="1001" spans="1:16" ht="15" customHeight="1" x14ac:dyDescent="0.3">
      <c r="A1001" s="38" t="s">
        <v>2078</v>
      </c>
      <c r="B1001" s="39">
        <v>45289</v>
      </c>
      <c r="C1001" s="38" t="s">
        <v>2079</v>
      </c>
      <c r="D1001" s="38" t="s">
        <v>97</v>
      </c>
      <c r="E1001" s="40">
        <v>33347</v>
      </c>
      <c r="F1001" s="41">
        <v>0.248</v>
      </c>
      <c r="G1001" s="38">
        <v>36</v>
      </c>
      <c r="H1001" s="38" t="s">
        <v>35</v>
      </c>
      <c r="I1001" s="38" t="s">
        <v>66</v>
      </c>
      <c r="J1001" s="38" t="s">
        <v>76</v>
      </c>
      <c r="K1001" s="42">
        <v>91169</v>
      </c>
      <c r="L1001" s="38" t="s">
        <v>85</v>
      </c>
      <c r="M1001" s="43">
        <v>0.16</v>
      </c>
      <c r="N1001" s="43">
        <v>0.65</v>
      </c>
      <c r="O1001" s="42">
        <v>41617.06</v>
      </c>
      <c r="P1001" s="42">
        <v>0</v>
      </c>
    </row>
    <row r="1002" spans="1:16" ht="15" customHeight="1" x14ac:dyDescent="0.3">
      <c r="A1002" s="38" t="s">
        <v>2080</v>
      </c>
      <c r="B1002" s="39">
        <v>45290</v>
      </c>
      <c r="C1002" s="38" t="s">
        <v>2081</v>
      </c>
      <c r="D1002" s="38" t="s">
        <v>88</v>
      </c>
      <c r="E1002" s="40">
        <v>32890</v>
      </c>
      <c r="F1002" s="41">
        <v>0.218</v>
      </c>
      <c r="G1002" s="38">
        <v>36</v>
      </c>
      <c r="H1002" s="38" t="s">
        <v>35</v>
      </c>
      <c r="I1002" s="38" t="s">
        <v>83</v>
      </c>
      <c r="J1002" s="38" t="s">
        <v>67</v>
      </c>
      <c r="K1002" s="42">
        <v>130246</v>
      </c>
      <c r="L1002" s="38" t="s">
        <v>85</v>
      </c>
      <c r="M1002" s="43">
        <v>0.25</v>
      </c>
      <c r="N1002" s="43">
        <v>0.66</v>
      </c>
      <c r="O1002" s="42">
        <v>40060.019999999997</v>
      </c>
      <c r="P1002" s="42">
        <v>0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2"/>
  <sheetViews>
    <sheetView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14.6640625" style="15" customWidth="1"/>
    <col min="2" max="2" width="17.109375" style="15" customWidth="1"/>
    <col min="3" max="3" width="15.88671875" style="15" customWidth="1"/>
    <col min="4" max="4" width="19" style="15" customWidth="1"/>
    <col min="5" max="5" width="25.6640625" style="15" customWidth="1"/>
    <col min="6" max="6" width="14.5546875" style="15" customWidth="1"/>
    <col min="7" max="7" width="18" style="15" customWidth="1"/>
    <col min="8" max="8" width="13.44140625" style="15" customWidth="1"/>
    <col min="9" max="9" width="12.88671875" style="15" customWidth="1"/>
    <col min="10" max="10" width="22.21875" style="15" customWidth="1"/>
    <col min="11" max="11" width="22.77734375" style="15" customWidth="1"/>
    <col min="12" max="12" width="17.109375" style="15" customWidth="1"/>
    <col min="13" max="13" width="18.33203125" style="15" customWidth="1"/>
  </cols>
  <sheetData>
    <row r="1" spans="1:13" ht="27.75" customHeight="1" x14ac:dyDescent="0.3">
      <c r="A1" s="119" t="s">
        <v>2082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15" customHeight="1" x14ac:dyDescent="0.3">
      <c r="A2" s="37" t="s">
        <v>41</v>
      </c>
      <c r="B2" s="37" t="s">
        <v>45</v>
      </c>
      <c r="C2" s="37" t="s">
        <v>46</v>
      </c>
      <c r="D2" s="37" t="s">
        <v>47</v>
      </c>
      <c r="E2" s="37" t="s">
        <v>48</v>
      </c>
      <c r="F2" s="37" t="s">
        <v>49</v>
      </c>
      <c r="G2" s="37" t="s">
        <v>51</v>
      </c>
      <c r="H2" s="37" t="s">
        <v>53</v>
      </c>
      <c r="I2" s="37" t="s">
        <v>54</v>
      </c>
      <c r="J2" s="37" t="s">
        <v>2083</v>
      </c>
      <c r="K2" s="37" t="s">
        <v>2084</v>
      </c>
      <c r="L2" s="37" t="s">
        <v>2085</v>
      </c>
      <c r="M2" s="37" t="s">
        <v>2086</v>
      </c>
    </row>
    <row r="3" spans="1:13" ht="15" customHeight="1" x14ac:dyDescent="0.3">
      <c r="A3" s="38" t="s">
        <v>57</v>
      </c>
      <c r="B3" s="40">
        <v>15135</v>
      </c>
      <c r="C3" s="41">
        <v>6.8000000000000005E-2</v>
      </c>
      <c r="D3" s="38">
        <v>60</v>
      </c>
      <c r="E3" s="38" t="s">
        <v>35</v>
      </c>
      <c r="F3" s="38" t="s">
        <v>60</v>
      </c>
      <c r="G3" s="38">
        <v>50527</v>
      </c>
      <c r="H3" s="43">
        <v>0.5</v>
      </c>
      <c r="I3" s="43">
        <v>0.57999999999999996</v>
      </c>
      <c r="J3" s="38">
        <v>48</v>
      </c>
      <c r="K3" s="42">
        <v>5145.8999999999996</v>
      </c>
      <c r="L3" s="42">
        <v>1029.18</v>
      </c>
      <c r="M3" s="38">
        <v>0</v>
      </c>
    </row>
    <row r="4" spans="1:13" ht="15" customHeight="1" x14ac:dyDescent="0.3">
      <c r="A4" s="38" t="s">
        <v>63</v>
      </c>
      <c r="B4" s="40">
        <v>7295</v>
      </c>
      <c r="C4" s="41">
        <v>0.155</v>
      </c>
      <c r="D4" s="38">
        <v>60</v>
      </c>
      <c r="E4" s="38" t="s">
        <v>35</v>
      </c>
      <c r="F4" s="38" t="s">
        <v>66</v>
      </c>
      <c r="G4" s="38">
        <v>138959</v>
      </c>
      <c r="H4" s="43">
        <v>0.1</v>
      </c>
      <c r="I4" s="43">
        <v>0.53</v>
      </c>
      <c r="J4" s="38">
        <v>48</v>
      </c>
      <c r="K4" s="42">
        <v>5653.625</v>
      </c>
      <c r="L4" s="42">
        <v>1130.72</v>
      </c>
      <c r="M4" s="38">
        <v>0</v>
      </c>
    </row>
    <row r="5" spans="1:13" ht="15" customHeight="1" x14ac:dyDescent="0.3">
      <c r="A5" s="38" t="s">
        <v>69</v>
      </c>
      <c r="B5" s="40">
        <v>31586</v>
      </c>
      <c r="C5" s="41">
        <v>0.128</v>
      </c>
      <c r="D5" s="38">
        <v>60</v>
      </c>
      <c r="E5" s="38" t="s">
        <v>35</v>
      </c>
      <c r="F5" s="38" t="s">
        <v>71</v>
      </c>
      <c r="G5" s="38">
        <v>129161</v>
      </c>
      <c r="H5" s="43">
        <v>0.1</v>
      </c>
      <c r="I5" s="43">
        <v>0.63</v>
      </c>
      <c r="J5" s="38">
        <v>47.9</v>
      </c>
      <c r="K5" s="42">
        <v>20215.04</v>
      </c>
      <c r="L5" s="42">
        <v>4043.01</v>
      </c>
      <c r="M5" s="38">
        <v>0</v>
      </c>
    </row>
    <row r="6" spans="1:13" ht="15" customHeight="1" x14ac:dyDescent="0.3">
      <c r="A6" s="44" t="s">
        <v>73</v>
      </c>
      <c r="B6" s="46">
        <v>12593</v>
      </c>
      <c r="C6" s="47">
        <v>0.246</v>
      </c>
      <c r="D6" s="44">
        <v>60</v>
      </c>
      <c r="E6" s="44" t="s">
        <v>36</v>
      </c>
      <c r="F6" s="44" t="s">
        <v>71</v>
      </c>
      <c r="G6" s="44">
        <v>59063</v>
      </c>
      <c r="H6" s="49">
        <v>0.2</v>
      </c>
      <c r="I6" s="49">
        <v>0.56000000000000005</v>
      </c>
      <c r="J6" s="44">
        <v>47.9</v>
      </c>
      <c r="K6" s="48">
        <v>15489.39</v>
      </c>
      <c r="L6" s="48">
        <v>-9297.09</v>
      </c>
      <c r="M6" s="44">
        <v>0</v>
      </c>
    </row>
    <row r="7" spans="1:13" ht="15" customHeight="1" x14ac:dyDescent="0.3">
      <c r="A7" s="44" t="s">
        <v>77</v>
      </c>
      <c r="B7" s="46">
        <v>27035</v>
      </c>
      <c r="C7" s="47">
        <v>0.121</v>
      </c>
      <c r="D7" s="44">
        <v>36</v>
      </c>
      <c r="E7" s="44" t="s">
        <v>36</v>
      </c>
      <c r="F7" s="44" t="s">
        <v>80</v>
      </c>
      <c r="G7" s="44">
        <v>132421</v>
      </c>
      <c r="H7" s="49">
        <v>0.15</v>
      </c>
      <c r="I7" s="49">
        <v>0.51</v>
      </c>
      <c r="J7" s="44">
        <v>47.9</v>
      </c>
      <c r="K7" s="48">
        <v>9813.7049999999999</v>
      </c>
      <c r="L7" s="48">
        <v>-21705.32</v>
      </c>
      <c r="M7" s="44">
        <v>0</v>
      </c>
    </row>
    <row r="8" spans="1:13" ht="15" customHeight="1" x14ac:dyDescent="0.3">
      <c r="A8" s="50" t="s">
        <v>81</v>
      </c>
      <c r="B8" s="52">
        <v>25611</v>
      </c>
      <c r="C8" s="53">
        <v>0.17</v>
      </c>
      <c r="D8" s="50">
        <v>36</v>
      </c>
      <c r="E8" s="50" t="s">
        <v>39</v>
      </c>
      <c r="F8" s="50" t="s">
        <v>83</v>
      </c>
      <c r="G8" s="50">
        <v>49692</v>
      </c>
      <c r="H8" s="55">
        <v>0.25</v>
      </c>
      <c r="I8" s="55">
        <v>0.78</v>
      </c>
      <c r="J8" s="50">
        <v>47.9</v>
      </c>
      <c r="K8" s="54">
        <v>13061.61</v>
      </c>
      <c r="L8" s="54">
        <v>-25611</v>
      </c>
      <c r="M8" s="50">
        <v>0</v>
      </c>
    </row>
    <row r="9" spans="1:13" ht="15" customHeight="1" x14ac:dyDescent="0.3">
      <c r="A9" s="56" t="s">
        <v>86</v>
      </c>
      <c r="B9" s="58">
        <v>24821</v>
      </c>
      <c r="C9" s="59">
        <v>0.124</v>
      </c>
      <c r="D9" s="56">
        <v>60</v>
      </c>
      <c r="E9" s="56" t="s">
        <v>37</v>
      </c>
      <c r="F9" s="56" t="s">
        <v>83</v>
      </c>
      <c r="G9" s="56">
        <v>97753</v>
      </c>
      <c r="H9" s="61">
        <v>0.23</v>
      </c>
      <c r="I9" s="61">
        <v>0.91</v>
      </c>
      <c r="J9" s="56">
        <v>47.8</v>
      </c>
      <c r="K9" s="60">
        <v>15389.02</v>
      </c>
      <c r="L9" s="60">
        <v>-19759.72</v>
      </c>
      <c r="M9" s="56">
        <v>1</v>
      </c>
    </row>
    <row r="10" spans="1:13" ht="15" customHeight="1" x14ac:dyDescent="0.3">
      <c r="A10" s="44" t="s">
        <v>89</v>
      </c>
      <c r="B10" s="46">
        <v>5358</v>
      </c>
      <c r="C10" s="47">
        <v>0.16</v>
      </c>
      <c r="D10" s="44">
        <v>60</v>
      </c>
      <c r="E10" s="44" t="s">
        <v>36</v>
      </c>
      <c r="F10" s="44" t="s">
        <v>71</v>
      </c>
      <c r="G10" s="44">
        <v>71830</v>
      </c>
      <c r="H10" s="49">
        <v>0.35</v>
      </c>
      <c r="I10" s="49">
        <v>0.87</v>
      </c>
      <c r="J10" s="44">
        <v>47.8</v>
      </c>
      <c r="K10" s="48">
        <v>4286.3999999999996</v>
      </c>
      <c r="L10" s="48">
        <v>-4891.83</v>
      </c>
      <c r="M10" s="44">
        <v>0</v>
      </c>
    </row>
    <row r="11" spans="1:13" ht="15" customHeight="1" x14ac:dyDescent="0.3">
      <c r="A11" s="38" t="s">
        <v>91</v>
      </c>
      <c r="B11" s="40">
        <v>25489</v>
      </c>
      <c r="C11" s="41">
        <v>0.22900000000000001</v>
      </c>
      <c r="D11" s="38">
        <v>36</v>
      </c>
      <c r="E11" s="38" t="s">
        <v>35</v>
      </c>
      <c r="F11" s="38" t="s">
        <v>83</v>
      </c>
      <c r="G11" s="38">
        <v>130110</v>
      </c>
      <c r="H11" s="43">
        <v>0.11</v>
      </c>
      <c r="I11" s="43">
        <v>0.83</v>
      </c>
      <c r="J11" s="38">
        <v>47.8</v>
      </c>
      <c r="K11" s="42">
        <v>17510.942999999999</v>
      </c>
      <c r="L11" s="42">
        <v>5836.98</v>
      </c>
      <c r="M11" s="38">
        <v>0</v>
      </c>
    </row>
    <row r="12" spans="1:13" ht="15" customHeight="1" x14ac:dyDescent="0.3">
      <c r="A12" s="44" t="s">
        <v>93</v>
      </c>
      <c r="B12" s="46">
        <v>39908</v>
      </c>
      <c r="C12" s="47">
        <v>0.16600000000000001</v>
      </c>
      <c r="D12" s="44">
        <v>36</v>
      </c>
      <c r="E12" s="44" t="s">
        <v>36</v>
      </c>
      <c r="F12" s="44" t="s">
        <v>71</v>
      </c>
      <c r="G12" s="44">
        <v>126199</v>
      </c>
      <c r="H12" s="49">
        <v>0.15</v>
      </c>
      <c r="I12" s="49">
        <v>0.9</v>
      </c>
      <c r="J12" s="44">
        <v>47.8</v>
      </c>
      <c r="K12" s="48">
        <v>19874.184000000001</v>
      </c>
      <c r="L12" s="48">
        <v>-34921.67</v>
      </c>
      <c r="M12" s="44">
        <v>0</v>
      </c>
    </row>
    <row r="13" spans="1:13" ht="15" customHeight="1" x14ac:dyDescent="0.3">
      <c r="A13" s="38" t="s">
        <v>95</v>
      </c>
      <c r="B13" s="40">
        <v>38574</v>
      </c>
      <c r="C13" s="41">
        <v>0.17100000000000001</v>
      </c>
      <c r="D13" s="38">
        <v>60</v>
      </c>
      <c r="E13" s="38" t="s">
        <v>35</v>
      </c>
      <c r="F13" s="38" t="s">
        <v>71</v>
      </c>
      <c r="G13" s="38">
        <v>135750</v>
      </c>
      <c r="H13" s="43">
        <v>0.2</v>
      </c>
      <c r="I13" s="43">
        <v>0.56000000000000005</v>
      </c>
      <c r="J13" s="38">
        <v>47.7</v>
      </c>
      <c r="K13" s="42">
        <v>32980.769999999997</v>
      </c>
      <c r="L13" s="42">
        <v>6596.15</v>
      </c>
      <c r="M13" s="38">
        <v>0</v>
      </c>
    </row>
    <row r="14" spans="1:13" ht="15" customHeight="1" x14ac:dyDescent="0.3">
      <c r="A14" s="44" t="s">
        <v>98</v>
      </c>
      <c r="B14" s="46">
        <v>8214</v>
      </c>
      <c r="C14" s="47">
        <v>0.23599999999999999</v>
      </c>
      <c r="D14" s="44">
        <v>60</v>
      </c>
      <c r="E14" s="44" t="s">
        <v>36</v>
      </c>
      <c r="F14" s="44" t="s">
        <v>71</v>
      </c>
      <c r="G14" s="44">
        <v>110764</v>
      </c>
      <c r="H14" s="49">
        <v>0.14000000000000001</v>
      </c>
      <c r="I14" s="49">
        <v>0.92</v>
      </c>
      <c r="J14" s="44">
        <v>47.7</v>
      </c>
      <c r="K14" s="48">
        <v>9692.52</v>
      </c>
      <c r="L14" s="48">
        <v>-5437.49</v>
      </c>
      <c r="M14" s="44">
        <v>0</v>
      </c>
    </row>
    <row r="15" spans="1:13" ht="15" customHeight="1" x14ac:dyDescent="0.3">
      <c r="A15" s="38" t="s">
        <v>100</v>
      </c>
      <c r="B15" s="40">
        <v>38778</v>
      </c>
      <c r="C15" s="41">
        <v>0.09</v>
      </c>
      <c r="D15" s="38">
        <v>60</v>
      </c>
      <c r="E15" s="38" t="s">
        <v>35</v>
      </c>
      <c r="F15" s="38" t="s">
        <v>71</v>
      </c>
      <c r="G15" s="38">
        <v>43233</v>
      </c>
      <c r="H15" s="43">
        <v>0.37</v>
      </c>
      <c r="I15" s="43">
        <v>0.74</v>
      </c>
      <c r="J15" s="38">
        <v>47.7</v>
      </c>
      <c r="K15" s="42">
        <v>17450.099999999999</v>
      </c>
      <c r="L15" s="42">
        <v>3490.02</v>
      </c>
      <c r="M15" s="38">
        <v>0</v>
      </c>
    </row>
    <row r="16" spans="1:13" ht="15" customHeight="1" x14ac:dyDescent="0.3">
      <c r="A16" s="44" t="s">
        <v>102</v>
      </c>
      <c r="B16" s="46">
        <v>36984</v>
      </c>
      <c r="C16" s="47">
        <v>0.107</v>
      </c>
      <c r="D16" s="44">
        <v>36</v>
      </c>
      <c r="E16" s="44" t="s">
        <v>36</v>
      </c>
      <c r="F16" s="44" t="s">
        <v>83</v>
      </c>
      <c r="G16" s="44">
        <v>84219</v>
      </c>
      <c r="H16" s="49">
        <v>0.2</v>
      </c>
      <c r="I16" s="49">
        <v>0.93</v>
      </c>
      <c r="J16" s="44">
        <v>47.7</v>
      </c>
      <c r="K16" s="48">
        <v>11871.864</v>
      </c>
      <c r="L16" s="48">
        <v>-23391.71</v>
      </c>
      <c r="M16" s="44">
        <v>0</v>
      </c>
    </row>
    <row r="17" spans="1:13" ht="15" customHeight="1" x14ac:dyDescent="0.3">
      <c r="A17" s="38" t="s">
        <v>104</v>
      </c>
      <c r="B17" s="40">
        <v>30301</v>
      </c>
      <c r="C17" s="41">
        <v>0.16900000000000001</v>
      </c>
      <c r="D17" s="38">
        <v>60</v>
      </c>
      <c r="E17" s="38" t="s">
        <v>35</v>
      </c>
      <c r="F17" s="38" t="s">
        <v>60</v>
      </c>
      <c r="G17" s="38">
        <v>106524</v>
      </c>
      <c r="H17" s="43">
        <v>0.14000000000000001</v>
      </c>
      <c r="I17" s="43">
        <v>0.63</v>
      </c>
      <c r="J17" s="38">
        <v>47.6</v>
      </c>
      <c r="K17" s="42">
        <v>25604.345000000001</v>
      </c>
      <c r="L17" s="42">
        <v>5120.87</v>
      </c>
      <c r="M17" s="38">
        <v>0</v>
      </c>
    </row>
    <row r="18" spans="1:13" ht="15" customHeight="1" x14ac:dyDescent="0.3">
      <c r="A18" s="38" t="s">
        <v>106</v>
      </c>
      <c r="B18" s="40">
        <v>29541</v>
      </c>
      <c r="C18" s="41">
        <v>0.17299999999999999</v>
      </c>
      <c r="D18" s="38">
        <v>36</v>
      </c>
      <c r="E18" s="38" t="s">
        <v>35</v>
      </c>
      <c r="F18" s="38" t="s">
        <v>71</v>
      </c>
      <c r="G18" s="38">
        <v>106949</v>
      </c>
      <c r="H18" s="43">
        <v>0.22</v>
      </c>
      <c r="I18" s="43">
        <v>0.61</v>
      </c>
      <c r="J18" s="38">
        <v>47.6</v>
      </c>
      <c r="K18" s="42">
        <v>15331.779</v>
      </c>
      <c r="L18" s="42">
        <v>5110.59</v>
      </c>
      <c r="M18" s="38">
        <v>0</v>
      </c>
    </row>
    <row r="19" spans="1:13" ht="15" customHeight="1" x14ac:dyDescent="0.3">
      <c r="A19" s="38" t="s">
        <v>109</v>
      </c>
      <c r="B19" s="40">
        <v>18633</v>
      </c>
      <c r="C19" s="41">
        <v>5.8999999999999997E-2</v>
      </c>
      <c r="D19" s="38">
        <v>60</v>
      </c>
      <c r="E19" s="38" t="s">
        <v>35</v>
      </c>
      <c r="F19" s="38" t="s">
        <v>66</v>
      </c>
      <c r="G19" s="38">
        <v>95727</v>
      </c>
      <c r="H19" s="43">
        <v>0.13</v>
      </c>
      <c r="I19" s="43">
        <v>0.76</v>
      </c>
      <c r="J19" s="38">
        <v>47.6</v>
      </c>
      <c r="K19" s="42">
        <v>5496.7349999999997</v>
      </c>
      <c r="L19" s="42">
        <v>1099.3499999999999</v>
      </c>
      <c r="M19" s="38">
        <v>0</v>
      </c>
    </row>
    <row r="20" spans="1:13" ht="15" customHeight="1" x14ac:dyDescent="0.3">
      <c r="A20" s="38" t="s">
        <v>111</v>
      </c>
      <c r="B20" s="40">
        <v>24863</v>
      </c>
      <c r="C20" s="41">
        <v>9.6000000000000002E-2</v>
      </c>
      <c r="D20" s="38">
        <v>60</v>
      </c>
      <c r="E20" s="38" t="s">
        <v>35</v>
      </c>
      <c r="F20" s="38" t="s">
        <v>114</v>
      </c>
      <c r="G20" s="38">
        <v>32382</v>
      </c>
      <c r="H20" s="43">
        <v>0.48</v>
      </c>
      <c r="I20" s="43">
        <v>0.75</v>
      </c>
      <c r="J20" s="38">
        <v>47.5</v>
      </c>
      <c r="K20" s="42">
        <v>11934.24</v>
      </c>
      <c r="L20" s="42">
        <v>2386.85</v>
      </c>
      <c r="M20" s="38">
        <v>0</v>
      </c>
    </row>
    <row r="21" spans="1:13" ht="15" customHeight="1" x14ac:dyDescent="0.3">
      <c r="A21" s="38" t="s">
        <v>115</v>
      </c>
      <c r="B21" s="40">
        <v>34400</v>
      </c>
      <c r="C21" s="41">
        <v>8.2000000000000003E-2</v>
      </c>
      <c r="D21" s="38">
        <v>36</v>
      </c>
      <c r="E21" s="38" t="s">
        <v>35</v>
      </c>
      <c r="F21" s="38" t="s">
        <v>60</v>
      </c>
      <c r="G21" s="38">
        <v>134817</v>
      </c>
      <c r="H21" s="43">
        <v>0.49</v>
      </c>
      <c r="I21" s="43">
        <v>0.63</v>
      </c>
      <c r="J21" s="38">
        <v>47.5</v>
      </c>
      <c r="K21" s="42">
        <v>8462.4</v>
      </c>
      <c r="L21" s="42">
        <v>2820.8</v>
      </c>
      <c r="M21" s="38">
        <v>0</v>
      </c>
    </row>
    <row r="22" spans="1:13" ht="15" customHeight="1" x14ac:dyDescent="0.3">
      <c r="A22" s="44" t="s">
        <v>117</v>
      </c>
      <c r="B22" s="46">
        <v>29470</v>
      </c>
      <c r="C22" s="47">
        <v>0.10199999999999999</v>
      </c>
      <c r="D22" s="44">
        <v>36</v>
      </c>
      <c r="E22" s="44" t="s">
        <v>36</v>
      </c>
      <c r="F22" s="44" t="s">
        <v>71</v>
      </c>
      <c r="G22" s="44">
        <v>108542</v>
      </c>
      <c r="H22" s="49">
        <v>0.19</v>
      </c>
      <c r="I22" s="49">
        <v>0.88</v>
      </c>
      <c r="J22" s="44">
        <v>47.5</v>
      </c>
      <c r="K22" s="48">
        <v>9017.82</v>
      </c>
      <c r="L22" s="48">
        <v>-19388.57</v>
      </c>
      <c r="M22" s="44">
        <v>0</v>
      </c>
    </row>
    <row r="23" spans="1:13" ht="15" customHeight="1" x14ac:dyDescent="0.3">
      <c r="A23" s="38" t="s">
        <v>119</v>
      </c>
      <c r="B23" s="40">
        <v>2591</v>
      </c>
      <c r="C23" s="41">
        <v>7.5999999999999998E-2</v>
      </c>
      <c r="D23" s="38">
        <v>36</v>
      </c>
      <c r="E23" s="38" t="s">
        <v>35</v>
      </c>
      <c r="F23" s="38" t="s">
        <v>60</v>
      </c>
      <c r="G23" s="38">
        <v>114748</v>
      </c>
      <c r="H23" s="43">
        <v>0.22</v>
      </c>
      <c r="I23" s="43">
        <v>0.64</v>
      </c>
      <c r="J23" s="38">
        <v>47.4</v>
      </c>
      <c r="K23" s="42">
        <v>590.74800000000005</v>
      </c>
      <c r="L23" s="42">
        <v>196.92</v>
      </c>
      <c r="M23" s="38">
        <v>0</v>
      </c>
    </row>
    <row r="24" spans="1:13" ht="15" customHeight="1" x14ac:dyDescent="0.3">
      <c r="A24" s="44" t="s">
        <v>121</v>
      </c>
      <c r="B24" s="46">
        <v>28286</v>
      </c>
      <c r="C24" s="47">
        <v>0.22600000000000001</v>
      </c>
      <c r="D24" s="44">
        <v>60</v>
      </c>
      <c r="E24" s="44" t="s">
        <v>36</v>
      </c>
      <c r="F24" s="44" t="s">
        <v>83</v>
      </c>
      <c r="G24" s="44">
        <v>105414</v>
      </c>
      <c r="H24" s="49">
        <v>0.38</v>
      </c>
      <c r="I24" s="49">
        <v>0.69</v>
      </c>
      <c r="J24" s="44">
        <v>47.4</v>
      </c>
      <c r="K24" s="48">
        <v>31963.18</v>
      </c>
      <c r="L24" s="48">
        <v>-23670.27</v>
      </c>
      <c r="M24" s="44">
        <v>0</v>
      </c>
    </row>
    <row r="25" spans="1:13" ht="15" customHeight="1" x14ac:dyDescent="0.3">
      <c r="A25" s="38" t="s">
        <v>123</v>
      </c>
      <c r="B25" s="40">
        <v>10017</v>
      </c>
      <c r="C25" s="41">
        <v>6.8000000000000005E-2</v>
      </c>
      <c r="D25" s="38">
        <v>36</v>
      </c>
      <c r="E25" s="38" t="s">
        <v>35</v>
      </c>
      <c r="F25" s="38" t="s">
        <v>71</v>
      </c>
      <c r="G25" s="38">
        <v>63687</v>
      </c>
      <c r="H25" s="43">
        <v>0.36</v>
      </c>
      <c r="I25" s="43">
        <v>0.87</v>
      </c>
      <c r="J25" s="38">
        <v>47.4</v>
      </c>
      <c r="K25" s="42">
        <v>2043.4680000000001</v>
      </c>
      <c r="L25" s="42">
        <v>681.16</v>
      </c>
      <c r="M25" s="38">
        <v>0</v>
      </c>
    </row>
    <row r="26" spans="1:13" ht="15" customHeight="1" x14ac:dyDescent="0.3">
      <c r="A26" s="38" t="s">
        <v>126</v>
      </c>
      <c r="B26" s="40">
        <v>13987</v>
      </c>
      <c r="C26" s="41">
        <v>0.20699999999999999</v>
      </c>
      <c r="D26" s="38">
        <v>36</v>
      </c>
      <c r="E26" s="38" t="s">
        <v>35</v>
      </c>
      <c r="F26" s="38" t="s">
        <v>71</v>
      </c>
      <c r="G26" s="38">
        <v>38210</v>
      </c>
      <c r="H26" s="43">
        <v>0.26</v>
      </c>
      <c r="I26" s="43">
        <v>0.6</v>
      </c>
      <c r="J26" s="38">
        <v>47.3</v>
      </c>
      <c r="K26" s="42">
        <v>8685.9269999999997</v>
      </c>
      <c r="L26" s="42">
        <v>2895.31</v>
      </c>
      <c r="M26" s="38">
        <v>0</v>
      </c>
    </row>
    <row r="27" spans="1:13" ht="15" customHeight="1" x14ac:dyDescent="0.3">
      <c r="A27" s="38" t="s">
        <v>128</v>
      </c>
      <c r="B27" s="40">
        <v>32463</v>
      </c>
      <c r="C27" s="41">
        <v>6.4000000000000001E-2</v>
      </c>
      <c r="D27" s="38">
        <v>36</v>
      </c>
      <c r="E27" s="38" t="s">
        <v>35</v>
      </c>
      <c r="F27" s="38" t="s">
        <v>80</v>
      </c>
      <c r="G27" s="38">
        <v>67548</v>
      </c>
      <c r="H27" s="43">
        <v>0.37</v>
      </c>
      <c r="I27" s="43">
        <v>0.74</v>
      </c>
      <c r="J27" s="38">
        <v>47.3</v>
      </c>
      <c r="K27" s="42">
        <v>6232.8959999999997</v>
      </c>
      <c r="L27" s="42">
        <v>2077.63</v>
      </c>
      <c r="M27" s="38">
        <v>0</v>
      </c>
    </row>
    <row r="28" spans="1:13" ht="15" customHeight="1" x14ac:dyDescent="0.3">
      <c r="A28" s="38" t="s">
        <v>130</v>
      </c>
      <c r="B28" s="40">
        <v>25027</v>
      </c>
      <c r="C28" s="41">
        <v>0.19900000000000001</v>
      </c>
      <c r="D28" s="38">
        <v>36</v>
      </c>
      <c r="E28" s="38" t="s">
        <v>35</v>
      </c>
      <c r="F28" s="38" t="s">
        <v>71</v>
      </c>
      <c r="G28" s="38">
        <v>81759</v>
      </c>
      <c r="H28" s="43">
        <v>0.47</v>
      </c>
      <c r="I28" s="43">
        <v>0.94</v>
      </c>
      <c r="J28" s="38">
        <v>47.3</v>
      </c>
      <c r="K28" s="42">
        <v>14941.119000000001</v>
      </c>
      <c r="L28" s="42">
        <v>4980.37</v>
      </c>
      <c r="M28" s="38">
        <v>0</v>
      </c>
    </row>
    <row r="29" spans="1:13" ht="15" customHeight="1" x14ac:dyDescent="0.3">
      <c r="A29" s="38" t="s">
        <v>132</v>
      </c>
      <c r="B29" s="40">
        <v>18175</v>
      </c>
      <c r="C29" s="41">
        <v>0.126</v>
      </c>
      <c r="D29" s="38">
        <v>60</v>
      </c>
      <c r="E29" s="38" t="s">
        <v>35</v>
      </c>
      <c r="F29" s="38" t="s">
        <v>60</v>
      </c>
      <c r="G29" s="38">
        <v>116795</v>
      </c>
      <c r="H29" s="43">
        <v>0.34</v>
      </c>
      <c r="I29" s="43">
        <v>0.94</v>
      </c>
      <c r="J29" s="38">
        <v>47.2</v>
      </c>
      <c r="K29" s="42">
        <v>11450.25</v>
      </c>
      <c r="L29" s="42">
        <v>2290.0500000000002</v>
      </c>
      <c r="M29" s="38">
        <v>0</v>
      </c>
    </row>
    <row r="30" spans="1:13" ht="15" customHeight="1" x14ac:dyDescent="0.3">
      <c r="A30" s="44" t="s">
        <v>134</v>
      </c>
      <c r="B30" s="46">
        <v>17669</v>
      </c>
      <c r="C30" s="47">
        <v>0.11799999999999999</v>
      </c>
      <c r="D30" s="44">
        <v>36</v>
      </c>
      <c r="E30" s="44" t="s">
        <v>36</v>
      </c>
      <c r="F30" s="44" t="s">
        <v>83</v>
      </c>
      <c r="G30" s="44">
        <v>96809</v>
      </c>
      <c r="H30" s="49">
        <v>0.35</v>
      </c>
      <c r="I30" s="49">
        <v>0.78</v>
      </c>
      <c r="J30" s="44">
        <v>47.2</v>
      </c>
      <c r="K30" s="48">
        <v>6254.826</v>
      </c>
      <c r="L30" s="48">
        <v>-10003.43</v>
      </c>
      <c r="M30" s="44">
        <v>0</v>
      </c>
    </row>
    <row r="31" spans="1:13" ht="15" customHeight="1" x14ac:dyDescent="0.3">
      <c r="A31" s="56" t="s">
        <v>136</v>
      </c>
      <c r="B31" s="58">
        <v>9286</v>
      </c>
      <c r="C31" s="59">
        <v>0.20100000000000001</v>
      </c>
      <c r="D31" s="56">
        <v>36</v>
      </c>
      <c r="E31" s="56" t="s">
        <v>37</v>
      </c>
      <c r="F31" s="56" t="s">
        <v>60</v>
      </c>
      <c r="G31" s="56">
        <v>123664</v>
      </c>
      <c r="H31" s="61">
        <v>0.37</v>
      </c>
      <c r="I31" s="61">
        <v>0.78</v>
      </c>
      <c r="J31" s="56">
        <v>47.2</v>
      </c>
      <c r="K31" s="60">
        <v>5599.4579999999996</v>
      </c>
      <c r="L31" s="60">
        <v>-7118.51</v>
      </c>
      <c r="M31" s="56">
        <v>1</v>
      </c>
    </row>
    <row r="32" spans="1:13" ht="15" customHeight="1" x14ac:dyDescent="0.3">
      <c r="A32" s="44" t="s">
        <v>139</v>
      </c>
      <c r="B32" s="46">
        <v>27966</v>
      </c>
      <c r="C32" s="47">
        <v>0.08</v>
      </c>
      <c r="D32" s="44">
        <v>60</v>
      </c>
      <c r="E32" s="44" t="s">
        <v>36</v>
      </c>
      <c r="F32" s="44" t="s">
        <v>71</v>
      </c>
      <c r="G32" s="44">
        <v>60676</v>
      </c>
      <c r="H32" s="49">
        <v>0.11</v>
      </c>
      <c r="I32" s="49">
        <v>0.56999999999999995</v>
      </c>
      <c r="J32" s="44">
        <v>47.2</v>
      </c>
      <c r="K32" s="48">
        <v>11186.4</v>
      </c>
      <c r="L32" s="48">
        <v>-15323.98</v>
      </c>
      <c r="M32" s="44">
        <v>0</v>
      </c>
    </row>
    <row r="33" spans="1:13" ht="15" customHeight="1" x14ac:dyDescent="0.3">
      <c r="A33" s="44" t="s">
        <v>141</v>
      </c>
      <c r="B33" s="46">
        <v>4972</v>
      </c>
      <c r="C33" s="47">
        <v>8.1000000000000003E-2</v>
      </c>
      <c r="D33" s="44">
        <v>60</v>
      </c>
      <c r="E33" s="44" t="s">
        <v>36</v>
      </c>
      <c r="F33" s="44" t="s">
        <v>60</v>
      </c>
      <c r="G33" s="44">
        <v>94286</v>
      </c>
      <c r="H33" s="49">
        <v>0.34</v>
      </c>
      <c r="I33" s="49">
        <v>0.73</v>
      </c>
      <c r="J33" s="44">
        <v>47.1</v>
      </c>
      <c r="K33" s="48">
        <v>2013.66</v>
      </c>
      <c r="L33" s="48">
        <v>-4338.34</v>
      </c>
      <c r="M33" s="44">
        <v>0</v>
      </c>
    </row>
    <row r="34" spans="1:13" ht="15" customHeight="1" x14ac:dyDescent="0.3">
      <c r="A34" s="38" t="s">
        <v>143</v>
      </c>
      <c r="B34" s="40">
        <v>29144</v>
      </c>
      <c r="C34" s="41">
        <v>9.9000000000000005E-2</v>
      </c>
      <c r="D34" s="38">
        <v>60</v>
      </c>
      <c r="E34" s="38" t="s">
        <v>35</v>
      </c>
      <c r="F34" s="38" t="s">
        <v>60</v>
      </c>
      <c r="G34" s="38">
        <v>120022</v>
      </c>
      <c r="H34" s="43">
        <v>0.12</v>
      </c>
      <c r="I34" s="43">
        <v>0.74</v>
      </c>
      <c r="J34" s="38">
        <v>47.1</v>
      </c>
      <c r="K34" s="42">
        <v>14426.28</v>
      </c>
      <c r="L34" s="42">
        <v>2885.26</v>
      </c>
      <c r="M34" s="38">
        <v>0</v>
      </c>
    </row>
    <row r="35" spans="1:13" ht="15" customHeight="1" x14ac:dyDescent="0.3">
      <c r="A35" s="38" t="s">
        <v>145</v>
      </c>
      <c r="B35" s="40">
        <v>33779</v>
      </c>
      <c r="C35" s="41">
        <v>9.0999999999999998E-2</v>
      </c>
      <c r="D35" s="38">
        <v>60</v>
      </c>
      <c r="E35" s="38" t="s">
        <v>35</v>
      </c>
      <c r="F35" s="38" t="s">
        <v>60</v>
      </c>
      <c r="G35" s="38">
        <v>69519</v>
      </c>
      <c r="H35" s="43">
        <v>0.46</v>
      </c>
      <c r="I35" s="43">
        <v>0.92</v>
      </c>
      <c r="J35" s="38">
        <v>47.1</v>
      </c>
      <c r="K35" s="42">
        <v>15369.445</v>
      </c>
      <c r="L35" s="42">
        <v>3073.89</v>
      </c>
      <c r="M35" s="38">
        <v>0</v>
      </c>
    </row>
    <row r="36" spans="1:13" ht="15" customHeight="1" x14ac:dyDescent="0.3">
      <c r="A36" s="56" t="s">
        <v>147</v>
      </c>
      <c r="B36" s="58">
        <v>11326</v>
      </c>
      <c r="C36" s="59">
        <v>0.11600000000000001</v>
      </c>
      <c r="D36" s="56">
        <v>60</v>
      </c>
      <c r="E36" s="56" t="s">
        <v>37</v>
      </c>
      <c r="F36" s="56" t="s">
        <v>60</v>
      </c>
      <c r="G36" s="56">
        <v>109655</v>
      </c>
      <c r="H36" s="61">
        <v>0.12</v>
      </c>
      <c r="I36" s="61">
        <v>0.71</v>
      </c>
      <c r="J36" s="56">
        <v>47</v>
      </c>
      <c r="K36" s="60">
        <v>6569.08</v>
      </c>
      <c r="L36" s="60">
        <v>-9365.52</v>
      </c>
      <c r="M36" s="56">
        <v>1</v>
      </c>
    </row>
    <row r="37" spans="1:13" ht="15" customHeight="1" x14ac:dyDescent="0.3">
      <c r="A37" s="44" t="s">
        <v>149</v>
      </c>
      <c r="B37" s="46">
        <v>31911</v>
      </c>
      <c r="C37" s="47">
        <v>0.17399999999999999</v>
      </c>
      <c r="D37" s="44">
        <v>60</v>
      </c>
      <c r="E37" s="44" t="s">
        <v>36</v>
      </c>
      <c r="F37" s="44" t="s">
        <v>71</v>
      </c>
      <c r="G37" s="44">
        <v>113948</v>
      </c>
      <c r="H37" s="49">
        <v>0.11</v>
      </c>
      <c r="I37" s="49">
        <v>0.83</v>
      </c>
      <c r="J37" s="44">
        <v>47</v>
      </c>
      <c r="K37" s="48">
        <v>27762.57</v>
      </c>
      <c r="L37" s="48">
        <v>-21025.33</v>
      </c>
      <c r="M37" s="44">
        <v>0</v>
      </c>
    </row>
    <row r="38" spans="1:13" ht="15" customHeight="1" x14ac:dyDescent="0.3">
      <c r="A38" s="44" t="s">
        <v>151</v>
      </c>
      <c r="B38" s="46">
        <v>36262</v>
      </c>
      <c r="C38" s="47">
        <v>5.6000000000000001E-2</v>
      </c>
      <c r="D38" s="44">
        <v>60</v>
      </c>
      <c r="E38" s="44" t="s">
        <v>36</v>
      </c>
      <c r="F38" s="44" t="s">
        <v>66</v>
      </c>
      <c r="G38" s="44">
        <v>55105</v>
      </c>
      <c r="H38" s="49">
        <v>0.19</v>
      </c>
      <c r="I38" s="49">
        <v>0.6</v>
      </c>
      <c r="J38" s="44">
        <v>46.9</v>
      </c>
      <c r="K38" s="48">
        <v>10153.36</v>
      </c>
      <c r="L38" s="48">
        <v>-29640.85</v>
      </c>
      <c r="M38" s="44">
        <v>0</v>
      </c>
    </row>
    <row r="39" spans="1:13" ht="15" customHeight="1" x14ac:dyDescent="0.3">
      <c r="A39" s="38" t="s">
        <v>153</v>
      </c>
      <c r="B39" s="40">
        <v>21281</v>
      </c>
      <c r="C39" s="41">
        <v>0.23</v>
      </c>
      <c r="D39" s="38">
        <v>60</v>
      </c>
      <c r="E39" s="38" t="s">
        <v>35</v>
      </c>
      <c r="F39" s="38" t="s">
        <v>114</v>
      </c>
      <c r="G39" s="38">
        <v>108672</v>
      </c>
      <c r="H39" s="43">
        <v>0.34</v>
      </c>
      <c r="I39" s="43">
        <v>0.84</v>
      </c>
      <c r="J39" s="38">
        <v>46.9</v>
      </c>
      <c r="K39" s="42">
        <v>24473.15</v>
      </c>
      <c r="L39" s="42">
        <v>4894.63</v>
      </c>
      <c r="M39" s="38">
        <v>0</v>
      </c>
    </row>
    <row r="40" spans="1:13" ht="15" customHeight="1" x14ac:dyDescent="0.3">
      <c r="A40" s="38" t="s">
        <v>155</v>
      </c>
      <c r="B40" s="40">
        <v>28764</v>
      </c>
      <c r="C40" s="41">
        <v>0.121</v>
      </c>
      <c r="D40" s="38">
        <v>60</v>
      </c>
      <c r="E40" s="38" t="s">
        <v>35</v>
      </c>
      <c r="F40" s="38" t="s">
        <v>80</v>
      </c>
      <c r="G40" s="38">
        <v>142082</v>
      </c>
      <c r="H40" s="43">
        <v>0.3</v>
      </c>
      <c r="I40" s="43">
        <v>0.52</v>
      </c>
      <c r="J40" s="38">
        <v>46.9</v>
      </c>
      <c r="K40" s="42">
        <v>17402.22</v>
      </c>
      <c r="L40" s="42">
        <v>3480.44</v>
      </c>
      <c r="M40" s="38">
        <v>0</v>
      </c>
    </row>
    <row r="41" spans="1:13" ht="15" customHeight="1" x14ac:dyDescent="0.3">
      <c r="A41" s="38" t="s">
        <v>157</v>
      </c>
      <c r="B41" s="40">
        <v>21337</v>
      </c>
      <c r="C41" s="41">
        <v>0.13300000000000001</v>
      </c>
      <c r="D41" s="38">
        <v>36</v>
      </c>
      <c r="E41" s="38" t="s">
        <v>35</v>
      </c>
      <c r="F41" s="38" t="s">
        <v>60</v>
      </c>
      <c r="G41" s="38">
        <v>142984</v>
      </c>
      <c r="H41" s="43">
        <v>0.46</v>
      </c>
      <c r="I41" s="43">
        <v>0.89</v>
      </c>
      <c r="J41" s="38">
        <v>46.9</v>
      </c>
      <c r="K41" s="42">
        <v>8513.4629999999997</v>
      </c>
      <c r="L41" s="42">
        <v>2837.82</v>
      </c>
      <c r="M41" s="38">
        <v>0</v>
      </c>
    </row>
    <row r="42" spans="1:13" ht="15" customHeight="1" x14ac:dyDescent="0.3">
      <c r="A42" s="38" t="s">
        <v>159</v>
      </c>
      <c r="B42" s="40">
        <v>1481</v>
      </c>
      <c r="C42" s="41">
        <v>0.22900000000000001</v>
      </c>
      <c r="D42" s="38">
        <v>36</v>
      </c>
      <c r="E42" s="38" t="s">
        <v>35</v>
      </c>
      <c r="F42" s="38" t="s">
        <v>80</v>
      </c>
      <c r="G42" s="38">
        <v>144690</v>
      </c>
      <c r="H42" s="43">
        <v>0.11</v>
      </c>
      <c r="I42" s="43">
        <v>0.94</v>
      </c>
      <c r="J42" s="38">
        <v>46.8</v>
      </c>
      <c r="K42" s="42">
        <v>1017.447</v>
      </c>
      <c r="L42" s="42">
        <v>339.15</v>
      </c>
      <c r="M42" s="38">
        <v>0</v>
      </c>
    </row>
    <row r="43" spans="1:13" ht="15" customHeight="1" x14ac:dyDescent="0.3">
      <c r="A43" s="38" t="s">
        <v>161</v>
      </c>
      <c r="B43" s="40">
        <v>9712</v>
      </c>
      <c r="C43" s="41">
        <v>0.19800000000000001</v>
      </c>
      <c r="D43" s="38">
        <v>60</v>
      </c>
      <c r="E43" s="38" t="s">
        <v>35</v>
      </c>
      <c r="F43" s="38" t="s">
        <v>83</v>
      </c>
      <c r="G43" s="38">
        <v>140887</v>
      </c>
      <c r="H43" s="43">
        <v>0.36</v>
      </c>
      <c r="I43" s="43">
        <v>0.88</v>
      </c>
      <c r="J43" s="38">
        <v>46.8</v>
      </c>
      <c r="K43" s="42">
        <v>9614.8799999999992</v>
      </c>
      <c r="L43" s="42">
        <v>1922.98</v>
      </c>
      <c r="M43" s="38">
        <v>0</v>
      </c>
    </row>
    <row r="44" spans="1:13" ht="15" customHeight="1" x14ac:dyDescent="0.3">
      <c r="A44" s="44" t="s">
        <v>163</v>
      </c>
      <c r="B44" s="46">
        <v>32966</v>
      </c>
      <c r="C44" s="47">
        <v>0.2</v>
      </c>
      <c r="D44" s="44">
        <v>60</v>
      </c>
      <c r="E44" s="44" t="s">
        <v>36</v>
      </c>
      <c r="F44" s="44" t="s">
        <v>60</v>
      </c>
      <c r="G44" s="44">
        <v>101196</v>
      </c>
      <c r="H44" s="49">
        <v>0.35</v>
      </c>
      <c r="I44" s="49">
        <v>0.78</v>
      </c>
      <c r="J44" s="44">
        <v>46.8</v>
      </c>
      <c r="K44" s="48">
        <v>32966</v>
      </c>
      <c r="L44" s="48">
        <v>-26643.93</v>
      </c>
      <c r="M44" s="44">
        <v>0</v>
      </c>
    </row>
    <row r="45" spans="1:13" ht="15" customHeight="1" x14ac:dyDescent="0.3">
      <c r="A45" s="38" t="s">
        <v>165</v>
      </c>
      <c r="B45" s="40">
        <v>36488</v>
      </c>
      <c r="C45" s="41">
        <v>0.21099999999999999</v>
      </c>
      <c r="D45" s="38">
        <v>36</v>
      </c>
      <c r="E45" s="38" t="s">
        <v>35</v>
      </c>
      <c r="F45" s="38" t="s">
        <v>83</v>
      </c>
      <c r="G45" s="38">
        <v>146947</v>
      </c>
      <c r="H45" s="43">
        <v>0.31</v>
      </c>
      <c r="I45" s="43">
        <v>0.76</v>
      </c>
      <c r="J45" s="38">
        <v>46.8</v>
      </c>
      <c r="K45" s="42">
        <v>23096.903999999999</v>
      </c>
      <c r="L45" s="42">
        <v>7698.97</v>
      </c>
      <c r="M45" s="38">
        <v>0</v>
      </c>
    </row>
    <row r="46" spans="1:13" ht="15" customHeight="1" x14ac:dyDescent="0.3">
      <c r="A46" s="38" t="s">
        <v>167</v>
      </c>
      <c r="B46" s="40">
        <v>34742</v>
      </c>
      <c r="C46" s="41">
        <v>0.124</v>
      </c>
      <c r="D46" s="38">
        <v>60</v>
      </c>
      <c r="E46" s="38" t="s">
        <v>35</v>
      </c>
      <c r="F46" s="38" t="s">
        <v>71</v>
      </c>
      <c r="G46" s="38">
        <v>123459</v>
      </c>
      <c r="H46" s="43">
        <v>0.27</v>
      </c>
      <c r="I46" s="43">
        <v>0.87</v>
      </c>
      <c r="J46" s="38">
        <v>46.7</v>
      </c>
      <c r="K46" s="42">
        <v>21540.04</v>
      </c>
      <c r="L46" s="42">
        <v>4308.01</v>
      </c>
      <c r="M46" s="38">
        <v>0</v>
      </c>
    </row>
    <row r="47" spans="1:13" ht="15" customHeight="1" x14ac:dyDescent="0.3">
      <c r="A47" s="38" t="s">
        <v>169</v>
      </c>
      <c r="B47" s="40">
        <v>5790</v>
      </c>
      <c r="C47" s="41">
        <v>0.182</v>
      </c>
      <c r="D47" s="38">
        <v>36</v>
      </c>
      <c r="E47" s="38" t="s">
        <v>35</v>
      </c>
      <c r="F47" s="38" t="s">
        <v>114</v>
      </c>
      <c r="G47" s="38">
        <v>129165</v>
      </c>
      <c r="H47" s="43">
        <v>0.37</v>
      </c>
      <c r="I47" s="43">
        <v>0.84</v>
      </c>
      <c r="J47" s="38">
        <v>46.7</v>
      </c>
      <c r="K47" s="42">
        <v>3161.34</v>
      </c>
      <c r="L47" s="42">
        <v>1053.78</v>
      </c>
      <c r="M47" s="38">
        <v>0</v>
      </c>
    </row>
    <row r="48" spans="1:13" ht="15" customHeight="1" x14ac:dyDescent="0.3">
      <c r="A48" s="38" t="s">
        <v>171</v>
      </c>
      <c r="B48" s="40">
        <v>12918</v>
      </c>
      <c r="C48" s="41">
        <v>0.158</v>
      </c>
      <c r="D48" s="38">
        <v>60</v>
      </c>
      <c r="E48" s="38" t="s">
        <v>35</v>
      </c>
      <c r="F48" s="38" t="s">
        <v>80</v>
      </c>
      <c r="G48" s="38">
        <v>88847</v>
      </c>
      <c r="H48" s="43">
        <v>0.43</v>
      </c>
      <c r="I48" s="43">
        <v>0.54</v>
      </c>
      <c r="J48" s="38">
        <v>46.6</v>
      </c>
      <c r="K48" s="42">
        <v>10205.219999999999</v>
      </c>
      <c r="L48" s="42">
        <v>2041.04</v>
      </c>
      <c r="M48" s="38">
        <v>0</v>
      </c>
    </row>
    <row r="49" spans="1:13" ht="15" customHeight="1" x14ac:dyDescent="0.3">
      <c r="A49" s="44" t="s">
        <v>173</v>
      </c>
      <c r="B49" s="46">
        <v>12561</v>
      </c>
      <c r="C49" s="47">
        <v>0.14499999999999999</v>
      </c>
      <c r="D49" s="44">
        <v>60</v>
      </c>
      <c r="E49" s="44" t="s">
        <v>36</v>
      </c>
      <c r="F49" s="44" t="s">
        <v>60</v>
      </c>
      <c r="G49" s="44">
        <v>49520</v>
      </c>
      <c r="H49" s="49">
        <v>0.28000000000000003</v>
      </c>
      <c r="I49" s="49">
        <v>0.66</v>
      </c>
      <c r="J49" s="44">
        <v>46.6</v>
      </c>
      <c r="K49" s="48">
        <v>9106.7250000000004</v>
      </c>
      <c r="L49" s="48">
        <v>-6413.82</v>
      </c>
      <c r="M49" s="44">
        <v>0</v>
      </c>
    </row>
    <row r="50" spans="1:13" ht="15" customHeight="1" x14ac:dyDescent="0.3">
      <c r="A50" s="56" t="s">
        <v>175</v>
      </c>
      <c r="B50" s="58">
        <v>24561</v>
      </c>
      <c r="C50" s="59">
        <v>0.223</v>
      </c>
      <c r="D50" s="56">
        <v>36</v>
      </c>
      <c r="E50" s="56" t="s">
        <v>37</v>
      </c>
      <c r="F50" s="56" t="s">
        <v>83</v>
      </c>
      <c r="G50" s="56">
        <v>38848</v>
      </c>
      <c r="H50" s="61">
        <v>0.4</v>
      </c>
      <c r="I50" s="61">
        <v>0.94</v>
      </c>
      <c r="J50" s="56">
        <v>46.6</v>
      </c>
      <c r="K50" s="60">
        <v>16431.309000000001</v>
      </c>
      <c r="L50" s="60">
        <v>-15129.93</v>
      </c>
      <c r="M50" s="56">
        <v>1</v>
      </c>
    </row>
    <row r="51" spans="1:13" ht="15" customHeight="1" x14ac:dyDescent="0.3">
      <c r="A51" s="38" t="s">
        <v>177</v>
      </c>
      <c r="B51" s="40">
        <v>7172</v>
      </c>
      <c r="C51" s="41">
        <v>0.16200000000000001</v>
      </c>
      <c r="D51" s="38">
        <v>60</v>
      </c>
      <c r="E51" s="38" t="s">
        <v>35</v>
      </c>
      <c r="F51" s="38" t="s">
        <v>83</v>
      </c>
      <c r="G51" s="38">
        <v>89993</v>
      </c>
      <c r="H51" s="43">
        <v>0.48</v>
      </c>
      <c r="I51" s="43">
        <v>0.78</v>
      </c>
      <c r="J51" s="38">
        <v>46.6</v>
      </c>
      <c r="K51" s="42">
        <v>5809.32</v>
      </c>
      <c r="L51" s="42">
        <v>1161.8599999999999</v>
      </c>
      <c r="M51" s="38">
        <v>0</v>
      </c>
    </row>
    <row r="52" spans="1:13" ht="15" customHeight="1" x14ac:dyDescent="0.3">
      <c r="A52" s="38" t="s">
        <v>179</v>
      </c>
      <c r="B52" s="40">
        <v>38208</v>
      </c>
      <c r="C52" s="41">
        <v>0.20200000000000001</v>
      </c>
      <c r="D52" s="38">
        <v>36</v>
      </c>
      <c r="E52" s="38" t="s">
        <v>35</v>
      </c>
      <c r="F52" s="38" t="s">
        <v>83</v>
      </c>
      <c r="G52" s="38">
        <v>125408</v>
      </c>
      <c r="H52" s="43">
        <v>0.48</v>
      </c>
      <c r="I52" s="43">
        <v>0.64</v>
      </c>
      <c r="J52" s="38">
        <v>46.6</v>
      </c>
      <c r="K52" s="42">
        <v>23154.047999999999</v>
      </c>
      <c r="L52" s="42">
        <v>7718.02</v>
      </c>
      <c r="M52" s="38">
        <v>0</v>
      </c>
    </row>
    <row r="53" spans="1:13" ht="15" customHeight="1" x14ac:dyDescent="0.3">
      <c r="A53" s="50" t="s">
        <v>181</v>
      </c>
      <c r="B53" s="52">
        <v>32116</v>
      </c>
      <c r="C53" s="53">
        <v>7.9000000000000001E-2</v>
      </c>
      <c r="D53" s="50">
        <v>36</v>
      </c>
      <c r="E53" s="50" t="s">
        <v>38</v>
      </c>
      <c r="F53" s="50" t="s">
        <v>60</v>
      </c>
      <c r="G53" s="50">
        <v>75536</v>
      </c>
      <c r="H53" s="55">
        <v>0.33</v>
      </c>
      <c r="I53" s="55">
        <v>0.51</v>
      </c>
      <c r="J53" s="50">
        <v>46.5</v>
      </c>
      <c r="K53" s="54">
        <v>7611.4920000000102</v>
      </c>
      <c r="L53" s="54">
        <v>-32116</v>
      </c>
      <c r="M53" s="50">
        <v>1</v>
      </c>
    </row>
    <row r="54" spans="1:13" ht="15" customHeight="1" x14ac:dyDescent="0.3">
      <c r="A54" s="44" t="s">
        <v>183</v>
      </c>
      <c r="B54" s="46">
        <v>26338</v>
      </c>
      <c r="C54" s="47">
        <v>8.8999999999999996E-2</v>
      </c>
      <c r="D54" s="44">
        <v>36</v>
      </c>
      <c r="E54" s="44" t="s">
        <v>36</v>
      </c>
      <c r="F54" s="44" t="s">
        <v>80</v>
      </c>
      <c r="G54" s="44">
        <v>44026</v>
      </c>
      <c r="H54" s="49">
        <v>0.46</v>
      </c>
      <c r="I54" s="49">
        <v>0.5</v>
      </c>
      <c r="J54" s="44">
        <v>46.5</v>
      </c>
      <c r="K54" s="48">
        <v>7032.2460000000001</v>
      </c>
      <c r="L54" s="48">
        <v>-18139.54</v>
      </c>
      <c r="M54" s="44">
        <v>0</v>
      </c>
    </row>
    <row r="55" spans="1:13" ht="15" customHeight="1" x14ac:dyDescent="0.3">
      <c r="A55" s="44" t="s">
        <v>185</v>
      </c>
      <c r="B55" s="46">
        <v>26849</v>
      </c>
      <c r="C55" s="47">
        <v>0.24399999999999999</v>
      </c>
      <c r="D55" s="44">
        <v>36</v>
      </c>
      <c r="E55" s="44" t="s">
        <v>36</v>
      </c>
      <c r="F55" s="44" t="s">
        <v>83</v>
      </c>
      <c r="G55" s="44">
        <v>75066</v>
      </c>
      <c r="H55" s="49">
        <v>0.28999999999999998</v>
      </c>
      <c r="I55" s="49">
        <v>0.71</v>
      </c>
      <c r="J55" s="44">
        <v>46.5</v>
      </c>
      <c r="K55" s="48">
        <v>19653.468000000001</v>
      </c>
      <c r="L55" s="48">
        <v>-23960.65</v>
      </c>
      <c r="M55" s="44">
        <v>0</v>
      </c>
    </row>
    <row r="56" spans="1:13" ht="15" customHeight="1" x14ac:dyDescent="0.3">
      <c r="A56" s="38" t="s">
        <v>187</v>
      </c>
      <c r="B56" s="40">
        <v>4083</v>
      </c>
      <c r="C56" s="41">
        <v>0.22600000000000001</v>
      </c>
      <c r="D56" s="38">
        <v>36</v>
      </c>
      <c r="E56" s="38" t="s">
        <v>35</v>
      </c>
      <c r="F56" s="38" t="s">
        <v>83</v>
      </c>
      <c r="G56" s="38">
        <v>78003</v>
      </c>
      <c r="H56" s="43">
        <v>0.34</v>
      </c>
      <c r="I56" s="43">
        <v>0.95</v>
      </c>
      <c r="J56" s="38">
        <v>46.5</v>
      </c>
      <c r="K56" s="42">
        <v>2768.2739999999999</v>
      </c>
      <c r="L56" s="42">
        <v>922.76</v>
      </c>
      <c r="M56" s="38">
        <v>0</v>
      </c>
    </row>
    <row r="57" spans="1:13" ht="15" customHeight="1" x14ac:dyDescent="0.3">
      <c r="A57" s="38" t="s">
        <v>189</v>
      </c>
      <c r="B57" s="40">
        <v>27200</v>
      </c>
      <c r="C57" s="41">
        <v>0.13900000000000001</v>
      </c>
      <c r="D57" s="38">
        <v>36</v>
      </c>
      <c r="E57" s="38" t="s">
        <v>35</v>
      </c>
      <c r="F57" s="38" t="s">
        <v>60</v>
      </c>
      <c r="G57" s="38">
        <v>133751</v>
      </c>
      <c r="H57" s="43">
        <v>0.38</v>
      </c>
      <c r="I57" s="43">
        <v>0.6</v>
      </c>
      <c r="J57" s="38">
        <v>46.4</v>
      </c>
      <c r="K57" s="42">
        <v>11342.4</v>
      </c>
      <c r="L57" s="42">
        <v>3780.8</v>
      </c>
      <c r="M57" s="38">
        <v>0</v>
      </c>
    </row>
    <row r="58" spans="1:13" ht="15" customHeight="1" x14ac:dyDescent="0.3">
      <c r="A58" s="44" t="s">
        <v>191</v>
      </c>
      <c r="B58" s="46">
        <v>34339</v>
      </c>
      <c r="C58" s="47">
        <v>0.20100000000000001</v>
      </c>
      <c r="D58" s="44">
        <v>36</v>
      </c>
      <c r="E58" s="44" t="s">
        <v>36</v>
      </c>
      <c r="F58" s="44" t="s">
        <v>60</v>
      </c>
      <c r="G58" s="44">
        <v>117959</v>
      </c>
      <c r="H58" s="49">
        <v>0.45</v>
      </c>
      <c r="I58" s="49">
        <v>0.63</v>
      </c>
      <c r="J58" s="44">
        <v>46.3</v>
      </c>
      <c r="K58" s="48">
        <v>20706.417000000001</v>
      </c>
      <c r="L58" s="48">
        <v>-32336.85</v>
      </c>
      <c r="M58" s="44">
        <v>0</v>
      </c>
    </row>
    <row r="59" spans="1:13" ht="15" customHeight="1" x14ac:dyDescent="0.3">
      <c r="A59" s="44" t="s">
        <v>193</v>
      </c>
      <c r="B59" s="46">
        <v>25837</v>
      </c>
      <c r="C59" s="47">
        <v>7.8E-2</v>
      </c>
      <c r="D59" s="44">
        <v>60</v>
      </c>
      <c r="E59" s="44" t="s">
        <v>36</v>
      </c>
      <c r="F59" s="44" t="s">
        <v>83</v>
      </c>
      <c r="G59" s="44">
        <v>42392</v>
      </c>
      <c r="H59" s="49">
        <v>0.44</v>
      </c>
      <c r="I59" s="49">
        <v>0.85</v>
      </c>
      <c r="J59" s="44">
        <v>46.3</v>
      </c>
      <c r="K59" s="48">
        <v>10076.43</v>
      </c>
      <c r="L59" s="48">
        <v>-14837.25</v>
      </c>
      <c r="M59" s="44">
        <v>0</v>
      </c>
    </row>
    <row r="60" spans="1:13" ht="15" customHeight="1" x14ac:dyDescent="0.3">
      <c r="A60" s="44" t="s">
        <v>195</v>
      </c>
      <c r="B60" s="46">
        <v>18774</v>
      </c>
      <c r="C60" s="47">
        <v>0.16900000000000001</v>
      </c>
      <c r="D60" s="44">
        <v>60</v>
      </c>
      <c r="E60" s="44" t="s">
        <v>36</v>
      </c>
      <c r="F60" s="44" t="s">
        <v>60</v>
      </c>
      <c r="G60" s="44">
        <v>53569</v>
      </c>
      <c r="H60" s="49">
        <v>0.18</v>
      </c>
      <c r="I60" s="49">
        <v>0.57999999999999996</v>
      </c>
      <c r="J60" s="44">
        <v>46.3</v>
      </c>
      <c r="K60" s="48">
        <v>15864.03</v>
      </c>
      <c r="L60" s="48">
        <v>-16429.38</v>
      </c>
      <c r="M60" s="44">
        <v>0</v>
      </c>
    </row>
    <row r="61" spans="1:13" ht="15" customHeight="1" x14ac:dyDescent="0.3">
      <c r="A61" s="56" t="s">
        <v>197</v>
      </c>
      <c r="B61" s="58">
        <v>1302</v>
      </c>
      <c r="C61" s="59">
        <v>8.3000000000000004E-2</v>
      </c>
      <c r="D61" s="56">
        <v>60</v>
      </c>
      <c r="E61" s="56" t="s">
        <v>37</v>
      </c>
      <c r="F61" s="56" t="s">
        <v>71</v>
      </c>
      <c r="G61" s="56">
        <v>44079</v>
      </c>
      <c r="H61" s="61">
        <v>0.44</v>
      </c>
      <c r="I61" s="61">
        <v>0.81</v>
      </c>
      <c r="J61" s="56">
        <v>46.3</v>
      </c>
      <c r="K61" s="60">
        <v>540.33000000000004</v>
      </c>
      <c r="L61" s="60">
        <v>-849.5</v>
      </c>
      <c r="M61" s="56">
        <v>1</v>
      </c>
    </row>
    <row r="62" spans="1:13" ht="15" customHeight="1" x14ac:dyDescent="0.3">
      <c r="A62" s="44" t="s">
        <v>199</v>
      </c>
      <c r="B62" s="46">
        <v>27172</v>
      </c>
      <c r="C62" s="47">
        <v>0.125</v>
      </c>
      <c r="D62" s="44">
        <v>60</v>
      </c>
      <c r="E62" s="44" t="s">
        <v>36</v>
      </c>
      <c r="F62" s="44" t="s">
        <v>71</v>
      </c>
      <c r="G62" s="44">
        <v>138036</v>
      </c>
      <c r="H62" s="49">
        <v>0.32</v>
      </c>
      <c r="I62" s="49">
        <v>0.59</v>
      </c>
      <c r="J62" s="44">
        <v>46.2</v>
      </c>
      <c r="K62" s="48">
        <v>16982.5</v>
      </c>
      <c r="L62" s="48">
        <v>-15430.72</v>
      </c>
      <c r="M62" s="44">
        <v>0</v>
      </c>
    </row>
    <row r="63" spans="1:13" ht="15" customHeight="1" x14ac:dyDescent="0.3">
      <c r="A63" s="44" t="s">
        <v>201</v>
      </c>
      <c r="B63" s="46">
        <v>6448</v>
      </c>
      <c r="C63" s="47">
        <v>0.127</v>
      </c>
      <c r="D63" s="44">
        <v>36</v>
      </c>
      <c r="E63" s="44" t="s">
        <v>36</v>
      </c>
      <c r="F63" s="44" t="s">
        <v>80</v>
      </c>
      <c r="G63" s="44">
        <v>100204</v>
      </c>
      <c r="H63" s="49">
        <v>0.4</v>
      </c>
      <c r="I63" s="49">
        <v>0.9</v>
      </c>
      <c r="J63" s="44">
        <v>46.2</v>
      </c>
      <c r="K63" s="48">
        <v>2456.6880000000001</v>
      </c>
      <c r="L63" s="48">
        <v>-5415.32</v>
      </c>
      <c r="M63" s="44">
        <v>0</v>
      </c>
    </row>
    <row r="64" spans="1:13" ht="15" customHeight="1" x14ac:dyDescent="0.3">
      <c r="A64" s="44" t="s">
        <v>203</v>
      </c>
      <c r="B64" s="46">
        <v>32823</v>
      </c>
      <c r="C64" s="47">
        <v>0.11799999999999999</v>
      </c>
      <c r="D64" s="44">
        <v>36</v>
      </c>
      <c r="E64" s="44" t="s">
        <v>36</v>
      </c>
      <c r="F64" s="44" t="s">
        <v>71</v>
      </c>
      <c r="G64" s="44">
        <v>64484</v>
      </c>
      <c r="H64" s="49">
        <v>0.37</v>
      </c>
      <c r="I64" s="49">
        <v>0.7</v>
      </c>
      <c r="J64" s="44">
        <v>46.2</v>
      </c>
      <c r="K64" s="48">
        <v>11619.342000000001</v>
      </c>
      <c r="L64" s="48">
        <v>-31034.74</v>
      </c>
      <c r="M64" s="44">
        <v>0</v>
      </c>
    </row>
    <row r="65" spans="1:13" ht="15" customHeight="1" x14ac:dyDescent="0.3">
      <c r="A65" s="38" t="s">
        <v>205</v>
      </c>
      <c r="B65" s="40">
        <v>32324</v>
      </c>
      <c r="C65" s="41">
        <v>0.246</v>
      </c>
      <c r="D65" s="38">
        <v>36</v>
      </c>
      <c r="E65" s="38" t="s">
        <v>35</v>
      </c>
      <c r="F65" s="38" t="s">
        <v>60</v>
      </c>
      <c r="G65" s="38">
        <v>107273</v>
      </c>
      <c r="H65" s="43">
        <v>0.13</v>
      </c>
      <c r="I65" s="43">
        <v>0.88</v>
      </c>
      <c r="J65" s="38">
        <v>46.2</v>
      </c>
      <c r="K65" s="42">
        <v>23855.112000000001</v>
      </c>
      <c r="L65" s="42">
        <v>7951.7</v>
      </c>
      <c r="M65" s="38">
        <v>0</v>
      </c>
    </row>
    <row r="66" spans="1:13" ht="15" customHeight="1" x14ac:dyDescent="0.3">
      <c r="A66" s="44" t="s">
        <v>207</v>
      </c>
      <c r="B66" s="46">
        <v>35839</v>
      </c>
      <c r="C66" s="47">
        <v>8.4000000000000005E-2</v>
      </c>
      <c r="D66" s="44">
        <v>36</v>
      </c>
      <c r="E66" s="44" t="s">
        <v>36</v>
      </c>
      <c r="F66" s="44" t="s">
        <v>80</v>
      </c>
      <c r="G66" s="44">
        <v>42453</v>
      </c>
      <c r="H66" s="49">
        <v>0.22</v>
      </c>
      <c r="I66" s="49">
        <v>0.85</v>
      </c>
      <c r="J66" s="44">
        <v>46.1</v>
      </c>
      <c r="K66" s="48">
        <v>9031.4279999999999</v>
      </c>
      <c r="L66" s="48">
        <v>-20812.34</v>
      </c>
      <c r="M66" s="44">
        <v>0</v>
      </c>
    </row>
    <row r="67" spans="1:13" ht="15" customHeight="1" x14ac:dyDescent="0.3">
      <c r="A67" s="56" t="s">
        <v>209</v>
      </c>
      <c r="B67" s="58">
        <v>39595</v>
      </c>
      <c r="C67" s="59">
        <v>0.188</v>
      </c>
      <c r="D67" s="56">
        <v>60</v>
      </c>
      <c r="E67" s="56" t="s">
        <v>37</v>
      </c>
      <c r="F67" s="56" t="s">
        <v>71</v>
      </c>
      <c r="G67" s="56">
        <v>115824</v>
      </c>
      <c r="H67" s="61">
        <v>0.45</v>
      </c>
      <c r="I67" s="61">
        <v>0.62</v>
      </c>
      <c r="J67" s="56">
        <v>46.1</v>
      </c>
      <c r="K67" s="60">
        <v>37219.300000000003</v>
      </c>
      <c r="L67" s="60">
        <v>-28528.06</v>
      </c>
      <c r="M67" s="56">
        <v>1</v>
      </c>
    </row>
    <row r="68" spans="1:13" ht="15" customHeight="1" x14ac:dyDescent="0.3">
      <c r="A68" s="44" t="s">
        <v>211</v>
      </c>
      <c r="B68" s="46">
        <v>18087</v>
      </c>
      <c r="C68" s="47">
        <v>0.218</v>
      </c>
      <c r="D68" s="44">
        <v>60</v>
      </c>
      <c r="E68" s="44" t="s">
        <v>36</v>
      </c>
      <c r="F68" s="44" t="s">
        <v>83</v>
      </c>
      <c r="G68" s="44">
        <v>76675</v>
      </c>
      <c r="H68" s="49">
        <v>0.31</v>
      </c>
      <c r="I68" s="49">
        <v>0.84</v>
      </c>
      <c r="J68" s="44">
        <v>46</v>
      </c>
      <c r="K68" s="48">
        <v>19714.830000000002</v>
      </c>
      <c r="L68" s="48">
        <v>-16365.74</v>
      </c>
      <c r="M68" s="44">
        <v>0</v>
      </c>
    </row>
    <row r="69" spans="1:13" ht="15" customHeight="1" x14ac:dyDescent="0.3">
      <c r="A69" s="44" t="s">
        <v>213</v>
      </c>
      <c r="B69" s="46">
        <v>28424</v>
      </c>
      <c r="C69" s="47">
        <v>0.05</v>
      </c>
      <c r="D69" s="44">
        <v>36</v>
      </c>
      <c r="E69" s="44" t="s">
        <v>36</v>
      </c>
      <c r="F69" s="44" t="s">
        <v>60</v>
      </c>
      <c r="G69" s="44">
        <v>82446</v>
      </c>
      <c r="H69" s="49">
        <v>0.22</v>
      </c>
      <c r="I69" s="49">
        <v>0.73</v>
      </c>
      <c r="J69" s="44">
        <v>46</v>
      </c>
      <c r="K69" s="48">
        <v>4263.6000000000004</v>
      </c>
      <c r="L69" s="48">
        <v>-16384.099999999999</v>
      </c>
      <c r="M69" s="44">
        <v>0</v>
      </c>
    </row>
    <row r="70" spans="1:13" ht="15" customHeight="1" x14ac:dyDescent="0.3">
      <c r="A70" s="50" t="s">
        <v>215</v>
      </c>
      <c r="B70" s="52">
        <v>32055</v>
      </c>
      <c r="C70" s="53">
        <v>7.4999999999999997E-2</v>
      </c>
      <c r="D70" s="50">
        <v>36</v>
      </c>
      <c r="E70" s="50" t="s">
        <v>38</v>
      </c>
      <c r="F70" s="50" t="s">
        <v>71</v>
      </c>
      <c r="G70" s="50">
        <v>123326</v>
      </c>
      <c r="H70" s="55">
        <v>0.47</v>
      </c>
      <c r="I70" s="55">
        <v>0.59</v>
      </c>
      <c r="J70" s="50">
        <v>45.9</v>
      </c>
      <c r="K70" s="54">
        <v>7212.375</v>
      </c>
      <c r="L70" s="54">
        <v>-32055</v>
      </c>
      <c r="M70" s="50">
        <v>1</v>
      </c>
    </row>
    <row r="71" spans="1:13" ht="15" customHeight="1" x14ac:dyDescent="0.3">
      <c r="A71" s="38" t="s">
        <v>217</v>
      </c>
      <c r="B71" s="40">
        <v>6724</v>
      </c>
      <c r="C71" s="41">
        <v>0.19600000000000001</v>
      </c>
      <c r="D71" s="38">
        <v>36</v>
      </c>
      <c r="E71" s="38" t="s">
        <v>35</v>
      </c>
      <c r="F71" s="38" t="s">
        <v>114</v>
      </c>
      <c r="G71" s="38">
        <v>130744</v>
      </c>
      <c r="H71" s="43">
        <v>0.32</v>
      </c>
      <c r="I71" s="43">
        <v>0.54</v>
      </c>
      <c r="J71" s="38">
        <v>45.9</v>
      </c>
      <c r="K71" s="42">
        <v>3953.712</v>
      </c>
      <c r="L71" s="42">
        <v>1317.9</v>
      </c>
      <c r="M71" s="38">
        <v>0</v>
      </c>
    </row>
    <row r="72" spans="1:13" ht="15" customHeight="1" x14ac:dyDescent="0.3">
      <c r="A72" s="38" t="s">
        <v>219</v>
      </c>
      <c r="B72" s="40">
        <v>21491</v>
      </c>
      <c r="C72" s="41">
        <v>0.159</v>
      </c>
      <c r="D72" s="38">
        <v>36</v>
      </c>
      <c r="E72" s="38" t="s">
        <v>35</v>
      </c>
      <c r="F72" s="38" t="s">
        <v>80</v>
      </c>
      <c r="G72" s="38">
        <v>84319</v>
      </c>
      <c r="H72" s="43">
        <v>0.14000000000000001</v>
      </c>
      <c r="I72" s="43">
        <v>0.68</v>
      </c>
      <c r="J72" s="38">
        <v>45.9</v>
      </c>
      <c r="K72" s="42">
        <v>10251.207</v>
      </c>
      <c r="L72" s="42">
        <v>3417.07</v>
      </c>
      <c r="M72" s="38">
        <v>0</v>
      </c>
    </row>
    <row r="73" spans="1:13" ht="15" customHeight="1" x14ac:dyDescent="0.3">
      <c r="A73" s="38" t="s">
        <v>221</v>
      </c>
      <c r="B73" s="40">
        <v>17173</v>
      </c>
      <c r="C73" s="41">
        <v>0.221</v>
      </c>
      <c r="D73" s="38">
        <v>36</v>
      </c>
      <c r="E73" s="38" t="s">
        <v>35</v>
      </c>
      <c r="F73" s="38" t="s">
        <v>71</v>
      </c>
      <c r="G73" s="38">
        <v>94093</v>
      </c>
      <c r="H73" s="43">
        <v>0.39</v>
      </c>
      <c r="I73" s="43">
        <v>0.64</v>
      </c>
      <c r="J73" s="38">
        <v>45.8</v>
      </c>
      <c r="K73" s="42">
        <v>11385.699000000001</v>
      </c>
      <c r="L73" s="42">
        <v>3795.23</v>
      </c>
      <c r="M73" s="38">
        <v>0</v>
      </c>
    </row>
    <row r="74" spans="1:13" ht="15" customHeight="1" x14ac:dyDescent="0.3">
      <c r="A74" s="44" t="s">
        <v>223</v>
      </c>
      <c r="B74" s="46">
        <v>38211</v>
      </c>
      <c r="C74" s="47">
        <v>0.193</v>
      </c>
      <c r="D74" s="44">
        <v>60</v>
      </c>
      <c r="E74" s="44" t="s">
        <v>36</v>
      </c>
      <c r="F74" s="44" t="s">
        <v>80</v>
      </c>
      <c r="G74" s="44">
        <v>137894</v>
      </c>
      <c r="H74" s="49">
        <v>0.19</v>
      </c>
      <c r="I74" s="49">
        <v>0.81</v>
      </c>
      <c r="J74" s="44">
        <v>45.7</v>
      </c>
      <c r="K74" s="48">
        <v>36873.614999999998</v>
      </c>
      <c r="L74" s="48">
        <v>-30378.03</v>
      </c>
      <c r="M74" s="44">
        <v>0</v>
      </c>
    </row>
    <row r="75" spans="1:13" ht="15" customHeight="1" x14ac:dyDescent="0.3">
      <c r="A75" s="50" t="s">
        <v>225</v>
      </c>
      <c r="B75" s="52">
        <v>25089</v>
      </c>
      <c r="C75" s="53">
        <v>0.155</v>
      </c>
      <c r="D75" s="50">
        <v>36</v>
      </c>
      <c r="E75" s="50" t="s">
        <v>38</v>
      </c>
      <c r="F75" s="50" t="s">
        <v>83</v>
      </c>
      <c r="G75" s="50">
        <v>123065</v>
      </c>
      <c r="H75" s="55">
        <v>0.35</v>
      </c>
      <c r="I75" s="55">
        <v>0.63</v>
      </c>
      <c r="J75" s="50">
        <v>45.7</v>
      </c>
      <c r="K75" s="54">
        <v>11666.385</v>
      </c>
      <c r="L75" s="54">
        <v>-25089</v>
      </c>
      <c r="M75" s="50">
        <v>1</v>
      </c>
    </row>
    <row r="76" spans="1:13" ht="15" customHeight="1" x14ac:dyDescent="0.3">
      <c r="A76" s="56" t="s">
        <v>227</v>
      </c>
      <c r="B76" s="58">
        <v>34160</v>
      </c>
      <c r="C76" s="59">
        <v>0.159</v>
      </c>
      <c r="D76" s="56">
        <v>36</v>
      </c>
      <c r="E76" s="56" t="s">
        <v>37</v>
      </c>
      <c r="F76" s="56" t="s">
        <v>71</v>
      </c>
      <c r="G76" s="56">
        <v>69613</v>
      </c>
      <c r="H76" s="61">
        <v>0.34</v>
      </c>
      <c r="I76" s="61">
        <v>0.64</v>
      </c>
      <c r="J76" s="56">
        <v>45.5</v>
      </c>
      <c r="K76" s="60">
        <v>16294.32</v>
      </c>
      <c r="L76" s="60">
        <v>-23418.67</v>
      </c>
      <c r="M76" s="56">
        <v>1</v>
      </c>
    </row>
    <row r="77" spans="1:13" ht="15" customHeight="1" x14ac:dyDescent="0.3">
      <c r="A77" s="38" t="s">
        <v>229</v>
      </c>
      <c r="B77" s="40">
        <v>7441</v>
      </c>
      <c r="C77" s="41">
        <v>0.13900000000000001</v>
      </c>
      <c r="D77" s="38">
        <v>60</v>
      </c>
      <c r="E77" s="38" t="s">
        <v>35</v>
      </c>
      <c r="F77" s="38" t="s">
        <v>71</v>
      </c>
      <c r="G77" s="38">
        <v>113424</v>
      </c>
      <c r="H77" s="43">
        <v>0.34</v>
      </c>
      <c r="I77" s="43">
        <v>0.64</v>
      </c>
      <c r="J77" s="38">
        <v>45.5</v>
      </c>
      <c r="K77" s="42">
        <v>5171.4949999999999</v>
      </c>
      <c r="L77" s="42">
        <v>1034.3</v>
      </c>
      <c r="M77" s="38">
        <v>0</v>
      </c>
    </row>
    <row r="78" spans="1:13" ht="15" customHeight="1" x14ac:dyDescent="0.3">
      <c r="A78" s="38" t="s">
        <v>231</v>
      </c>
      <c r="B78" s="40">
        <v>1125</v>
      </c>
      <c r="C78" s="41">
        <v>0.13</v>
      </c>
      <c r="D78" s="38">
        <v>36</v>
      </c>
      <c r="E78" s="38" t="s">
        <v>35</v>
      </c>
      <c r="F78" s="38" t="s">
        <v>71</v>
      </c>
      <c r="G78" s="38">
        <v>139388</v>
      </c>
      <c r="H78" s="43">
        <v>0.37</v>
      </c>
      <c r="I78" s="43">
        <v>0.62</v>
      </c>
      <c r="J78" s="38">
        <v>45.5</v>
      </c>
      <c r="K78" s="42">
        <v>438.75</v>
      </c>
      <c r="L78" s="42">
        <v>146.25</v>
      </c>
      <c r="M78" s="38">
        <v>0</v>
      </c>
    </row>
    <row r="79" spans="1:13" ht="15" customHeight="1" x14ac:dyDescent="0.3">
      <c r="A79" s="44" t="s">
        <v>233</v>
      </c>
      <c r="B79" s="46">
        <v>9264</v>
      </c>
      <c r="C79" s="47">
        <v>5.0999999999999997E-2</v>
      </c>
      <c r="D79" s="44">
        <v>36</v>
      </c>
      <c r="E79" s="44" t="s">
        <v>36</v>
      </c>
      <c r="F79" s="44" t="s">
        <v>80</v>
      </c>
      <c r="G79" s="44">
        <v>50354</v>
      </c>
      <c r="H79" s="49">
        <v>0.13</v>
      </c>
      <c r="I79" s="49">
        <v>0.5</v>
      </c>
      <c r="J79" s="44">
        <v>45.5</v>
      </c>
      <c r="K79" s="48">
        <v>1417.3920000000001</v>
      </c>
      <c r="L79" s="48">
        <v>-6611.14</v>
      </c>
      <c r="M79" s="44">
        <v>0</v>
      </c>
    </row>
    <row r="80" spans="1:13" ht="15" customHeight="1" x14ac:dyDescent="0.3">
      <c r="A80" s="56" t="s">
        <v>235</v>
      </c>
      <c r="B80" s="58">
        <v>1105</v>
      </c>
      <c r="C80" s="59">
        <v>0.14599999999999999</v>
      </c>
      <c r="D80" s="56">
        <v>60</v>
      </c>
      <c r="E80" s="56" t="s">
        <v>37</v>
      </c>
      <c r="F80" s="56" t="s">
        <v>80</v>
      </c>
      <c r="G80" s="56">
        <v>85571</v>
      </c>
      <c r="H80" s="61">
        <v>0.23</v>
      </c>
      <c r="I80" s="61">
        <v>0.7</v>
      </c>
      <c r="J80" s="56">
        <v>45.5</v>
      </c>
      <c r="K80" s="60">
        <v>806.65</v>
      </c>
      <c r="L80" s="60">
        <v>-716.96</v>
      </c>
      <c r="M80" s="56">
        <v>1</v>
      </c>
    </row>
    <row r="81" spans="1:13" ht="15" customHeight="1" x14ac:dyDescent="0.3">
      <c r="A81" s="44" t="s">
        <v>237</v>
      </c>
      <c r="B81" s="46">
        <v>32010</v>
      </c>
      <c r="C81" s="47">
        <v>0.218</v>
      </c>
      <c r="D81" s="44">
        <v>60</v>
      </c>
      <c r="E81" s="44" t="s">
        <v>36</v>
      </c>
      <c r="F81" s="44" t="s">
        <v>60</v>
      </c>
      <c r="G81" s="44">
        <v>143892</v>
      </c>
      <c r="H81" s="49">
        <v>0.38</v>
      </c>
      <c r="I81" s="49">
        <v>0.71</v>
      </c>
      <c r="J81" s="44">
        <v>45.4</v>
      </c>
      <c r="K81" s="48">
        <v>34890.9</v>
      </c>
      <c r="L81" s="48">
        <v>-17381.009999999998</v>
      </c>
      <c r="M81" s="44">
        <v>0</v>
      </c>
    </row>
    <row r="82" spans="1:13" ht="15" customHeight="1" x14ac:dyDescent="0.3">
      <c r="A82" s="56" t="s">
        <v>239</v>
      </c>
      <c r="B82" s="58">
        <v>33117</v>
      </c>
      <c r="C82" s="59">
        <v>0.16500000000000001</v>
      </c>
      <c r="D82" s="56">
        <v>60</v>
      </c>
      <c r="E82" s="56" t="s">
        <v>37</v>
      </c>
      <c r="F82" s="56" t="s">
        <v>80</v>
      </c>
      <c r="G82" s="56">
        <v>40234</v>
      </c>
      <c r="H82" s="61">
        <v>0.1</v>
      </c>
      <c r="I82" s="61">
        <v>0.81</v>
      </c>
      <c r="J82" s="56">
        <v>45.4</v>
      </c>
      <c r="K82" s="60">
        <v>27321.525000000001</v>
      </c>
      <c r="L82" s="60">
        <v>-27879.52</v>
      </c>
      <c r="M82" s="56">
        <v>1</v>
      </c>
    </row>
    <row r="83" spans="1:13" ht="15" customHeight="1" x14ac:dyDescent="0.3">
      <c r="A83" s="50" t="s">
        <v>241</v>
      </c>
      <c r="B83" s="52">
        <v>34723</v>
      </c>
      <c r="C83" s="53">
        <v>0.185</v>
      </c>
      <c r="D83" s="50">
        <v>60</v>
      </c>
      <c r="E83" s="50" t="s">
        <v>39</v>
      </c>
      <c r="F83" s="50" t="s">
        <v>83</v>
      </c>
      <c r="G83" s="50">
        <v>45830</v>
      </c>
      <c r="H83" s="55">
        <v>0.23</v>
      </c>
      <c r="I83" s="55">
        <v>0.52</v>
      </c>
      <c r="J83" s="50">
        <v>45.4</v>
      </c>
      <c r="K83" s="54">
        <v>32118.775000000001</v>
      </c>
      <c r="L83" s="54">
        <v>-34723</v>
      </c>
      <c r="M83" s="50">
        <v>0</v>
      </c>
    </row>
    <row r="84" spans="1:13" ht="15" customHeight="1" x14ac:dyDescent="0.3">
      <c r="A84" s="38" t="s">
        <v>243</v>
      </c>
      <c r="B84" s="40">
        <v>24196</v>
      </c>
      <c r="C84" s="41">
        <v>0.16600000000000001</v>
      </c>
      <c r="D84" s="38">
        <v>60</v>
      </c>
      <c r="E84" s="38" t="s">
        <v>35</v>
      </c>
      <c r="F84" s="38" t="s">
        <v>60</v>
      </c>
      <c r="G84" s="38">
        <v>102391</v>
      </c>
      <c r="H84" s="43">
        <v>0.12</v>
      </c>
      <c r="I84" s="43">
        <v>0.68</v>
      </c>
      <c r="J84" s="38">
        <v>45.3</v>
      </c>
      <c r="K84" s="42">
        <v>20082.68</v>
      </c>
      <c r="L84" s="42">
        <v>4016.54</v>
      </c>
      <c r="M84" s="38">
        <v>0</v>
      </c>
    </row>
    <row r="85" spans="1:13" ht="15" customHeight="1" x14ac:dyDescent="0.3">
      <c r="A85" s="38" t="s">
        <v>245</v>
      </c>
      <c r="B85" s="40">
        <v>8758</v>
      </c>
      <c r="C85" s="41">
        <v>0.20499999999999999</v>
      </c>
      <c r="D85" s="38">
        <v>36</v>
      </c>
      <c r="E85" s="38" t="s">
        <v>35</v>
      </c>
      <c r="F85" s="38" t="s">
        <v>83</v>
      </c>
      <c r="G85" s="38">
        <v>124813</v>
      </c>
      <c r="H85" s="43">
        <v>0.28000000000000003</v>
      </c>
      <c r="I85" s="43">
        <v>0.91</v>
      </c>
      <c r="J85" s="38">
        <v>45.3</v>
      </c>
      <c r="K85" s="42">
        <v>5386.17</v>
      </c>
      <c r="L85" s="42">
        <v>1795.39</v>
      </c>
      <c r="M85" s="38">
        <v>0</v>
      </c>
    </row>
    <row r="86" spans="1:13" ht="15" customHeight="1" x14ac:dyDescent="0.3">
      <c r="A86" s="56" t="s">
        <v>247</v>
      </c>
      <c r="B86" s="58">
        <v>10847</v>
      </c>
      <c r="C86" s="59">
        <v>0.21</v>
      </c>
      <c r="D86" s="56">
        <v>36</v>
      </c>
      <c r="E86" s="56" t="s">
        <v>37</v>
      </c>
      <c r="F86" s="56" t="s">
        <v>71</v>
      </c>
      <c r="G86" s="56">
        <v>61480</v>
      </c>
      <c r="H86" s="61">
        <v>0.32</v>
      </c>
      <c r="I86" s="61">
        <v>0.61</v>
      </c>
      <c r="J86" s="56">
        <v>45.3</v>
      </c>
      <c r="K86" s="60">
        <v>6833.61</v>
      </c>
      <c r="L86" s="60">
        <v>-5998.3</v>
      </c>
      <c r="M86" s="56">
        <v>1</v>
      </c>
    </row>
    <row r="87" spans="1:13" ht="15" customHeight="1" x14ac:dyDescent="0.3">
      <c r="A87" s="56" t="s">
        <v>249</v>
      </c>
      <c r="B87" s="58">
        <v>12556</v>
      </c>
      <c r="C87" s="59">
        <v>0.11</v>
      </c>
      <c r="D87" s="56">
        <v>60</v>
      </c>
      <c r="E87" s="56" t="s">
        <v>37</v>
      </c>
      <c r="F87" s="56" t="s">
        <v>66</v>
      </c>
      <c r="G87" s="56">
        <v>126493</v>
      </c>
      <c r="H87" s="61">
        <v>0.23</v>
      </c>
      <c r="I87" s="61">
        <v>0.52</v>
      </c>
      <c r="J87" s="56">
        <v>45.2</v>
      </c>
      <c r="K87" s="60">
        <v>6905.8</v>
      </c>
      <c r="L87" s="60">
        <v>-9061.33</v>
      </c>
      <c r="M87" s="56">
        <v>1</v>
      </c>
    </row>
    <row r="88" spans="1:13" ht="15" customHeight="1" x14ac:dyDescent="0.3">
      <c r="A88" s="38" t="s">
        <v>251</v>
      </c>
      <c r="B88" s="40">
        <v>7406</v>
      </c>
      <c r="C88" s="41">
        <v>0.11600000000000001</v>
      </c>
      <c r="D88" s="38">
        <v>60</v>
      </c>
      <c r="E88" s="38" t="s">
        <v>35</v>
      </c>
      <c r="F88" s="38" t="s">
        <v>66</v>
      </c>
      <c r="G88" s="38">
        <v>90652</v>
      </c>
      <c r="H88" s="43">
        <v>0.41</v>
      </c>
      <c r="I88" s="43">
        <v>0.87</v>
      </c>
      <c r="J88" s="38">
        <v>45.1</v>
      </c>
      <c r="K88" s="42">
        <v>4295.4799999999996</v>
      </c>
      <c r="L88" s="42">
        <v>859.1</v>
      </c>
      <c r="M88" s="38">
        <v>0</v>
      </c>
    </row>
    <row r="89" spans="1:13" ht="15" customHeight="1" x14ac:dyDescent="0.3">
      <c r="A89" s="38" t="s">
        <v>253</v>
      </c>
      <c r="B89" s="40">
        <v>16646</v>
      </c>
      <c r="C89" s="41">
        <v>0.14000000000000001</v>
      </c>
      <c r="D89" s="38">
        <v>36</v>
      </c>
      <c r="E89" s="38" t="s">
        <v>35</v>
      </c>
      <c r="F89" s="38" t="s">
        <v>60</v>
      </c>
      <c r="G89" s="38">
        <v>124636</v>
      </c>
      <c r="H89" s="43">
        <v>0.33</v>
      </c>
      <c r="I89" s="43">
        <v>0.69</v>
      </c>
      <c r="J89" s="38">
        <v>45.1</v>
      </c>
      <c r="K89" s="42">
        <v>6991.32</v>
      </c>
      <c r="L89" s="42">
        <v>2330.44</v>
      </c>
      <c r="M89" s="38">
        <v>0</v>
      </c>
    </row>
    <row r="90" spans="1:13" ht="15" customHeight="1" x14ac:dyDescent="0.3">
      <c r="A90" s="38" t="s">
        <v>255</v>
      </c>
      <c r="B90" s="40">
        <v>39467</v>
      </c>
      <c r="C90" s="41">
        <v>0.186</v>
      </c>
      <c r="D90" s="38">
        <v>60</v>
      </c>
      <c r="E90" s="38" t="s">
        <v>35</v>
      </c>
      <c r="F90" s="38" t="s">
        <v>257</v>
      </c>
      <c r="G90" s="38">
        <v>91413</v>
      </c>
      <c r="H90" s="43">
        <v>0.42</v>
      </c>
      <c r="I90" s="43">
        <v>0.55000000000000004</v>
      </c>
      <c r="J90" s="38">
        <v>45.1</v>
      </c>
      <c r="K90" s="42">
        <v>36704.31</v>
      </c>
      <c r="L90" s="42">
        <v>7340.86</v>
      </c>
      <c r="M90" s="38">
        <v>0</v>
      </c>
    </row>
    <row r="91" spans="1:13" ht="15" customHeight="1" x14ac:dyDescent="0.3">
      <c r="A91" s="38" t="s">
        <v>258</v>
      </c>
      <c r="B91" s="40">
        <v>6109</v>
      </c>
      <c r="C91" s="41">
        <v>0.10100000000000001</v>
      </c>
      <c r="D91" s="38">
        <v>60</v>
      </c>
      <c r="E91" s="38" t="s">
        <v>35</v>
      </c>
      <c r="F91" s="38" t="s">
        <v>80</v>
      </c>
      <c r="G91" s="38">
        <v>128000</v>
      </c>
      <c r="H91" s="43">
        <v>0.28999999999999998</v>
      </c>
      <c r="I91" s="43">
        <v>0.79</v>
      </c>
      <c r="J91" s="38">
        <v>45</v>
      </c>
      <c r="K91" s="42">
        <v>3085.0450000000001</v>
      </c>
      <c r="L91" s="42">
        <v>617.01</v>
      </c>
      <c r="M91" s="38">
        <v>0</v>
      </c>
    </row>
    <row r="92" spans="1:13" ht="15" customHeight="1" x14ac:dyDescent="0.3">
      <c r="A92" s="44" t="s">
        <v>260</v>
      </c>
      <c r="B92" s="46">
        <v>36993</v>
      </c>
      <c r="C92" s="47">
        <v>0.17699999999999999</v>
      </c>
      <c r="D92" s="44">
        <v>36</v>
      </c>
      <c r="E92" s="44" t="s">
        <v>36</v>
      </c>
      <c r="F92" s="44" t="s">
        <v>83</v>
      </c>
      <c r="G92" s="44">
        <v>137228</v>
      </c>
      <c r="H92" s="49">
        <v>0.46</v>
      </c>
      <c r="I92" s="49">
        <v>0.6</v>
      </c>
      <c r="J92" s="44">
        <v>45</v>
      </c>
      <c r="K92" s="48">
        <v>19643.282999999999</v>
      </c>
      <c r="L92" s="48">
        <v>-32594.49</v>
      </c>
      <c r="M92" s="44">
        <v>0</v>
      </c>
    </row>
    <row r="93" spans="1:13" ht="15" customHeight="1" x14ac:dyDescent="0.3">
      <c r="A93" s="44" t="s">
        <v>262</v>
      </c>
      <c r="B93" s="46">
        <v>28490</v>
      </c>
      <c r="C93" s="47">
        <v>0.14000000000000001</v>
      </c>
      <c r="D93" s="44">
        <v>60</v>
      </c>
      <c r="E93" s="44" t="s">
        <v>36</v>
      </c>
      <c r="F93" s="44" t="s">
        <v>257</v>
      </c>
      <c r="G93" s="44">
        <v>115103</v>
      </c>
      <c r="H93" s="49">
        <v>0.34</v>
      </c>
      <c r="I93" s="49">
        <v>0.89</v>
      </c>
      <c r="J93" s="44">
        <v>45</v>
      </c>
      <c r="K93" s="48">
        <v>19943</v>
      </c>
      <c r="L93" s="48">
        <v>-24043.87</v>
      </c>
      <c r="M93" s="44">
        <v>0</v>
      </c>
    </row>
    <row r="94" spans="1:13" ht="15" customHeight="1" x14ac:dyDescent="0.3">
      <c r="A94" s="56" t="s">
        <v>264</v>
      </c>
      <c r="B94" s="58">
        <v>29380</v>
      </c>
      <c r="C94" s="59">
        <v>0.20799999999999999</v>
      </c>
      <c r="D94" s="56">
        <v>36</v>
      </c>
      <c r="E94" s="56" t="s">
        <v>37</v>
      </c>
      <c r="F94" s="56" t="s">
        <v>71</v>
      </c>
      <c r="G94" s="56">
        <v>55479</v>
      </c>
      <c r="H94" s="61">
        <v>0.22</v>
      </c>
      <c r="I94" s="61">
        <v>0.93</v>
      </c>
      <c r="J94" s="56">
        <v>45</v>
      </c>
      <c r="K94" s="60">
        <v>18333.12</v>
      </c>
      <c r="L94" s="60">
        <v>-19018.53</v>
      </c>
      <c r="M94" s="56">
        <v>1</v>
      </c>
    </row>
    <row r="95" spans="1:13" ht="15" customHeight="1" x14ac:dyDescent="0.3">
      <c r="A95" s="38" t="s">
        <v>266</v>
      </c>
      <c r="B95" s="40">
        <v>16850</v>
      </c>
      <c r="C95" s="41">
        <v>0.10199999999999999</v>
      </c>
      <c r="D95" s="38">
        <v>36</v>
      </c>
      <c r="E95" s="38" t="s">
        <v>35</v>
      </c>
      <c r="F95" s="38" t="s">
        <v>60</v>
      </c>
      <c r="G95" s="38">
        <v>121881</v>
      </c>
      <c r="H95" s="43">
        <v>0.21</v>
      </c>
      <c r="I95" s="43">
        <v>0.81</v>
      </c>
      <c r="J95" s="38">
        <v>45</v>
      </c>
      <c r="K95" s="42">
        <v>5156.1000000000004</v>
      </c>
      <c r="L95" s="42">
        <v>1718.7</v>
      </c>
      <c r="M95" s="38">
        <v>0</v>
      </c>
    </row>
    <row r="96" spans="1:13" ht="15" customHeight="1" x14ac:dyDescent="0.3">
      <c r="A96" s="44" t="s">
        <v>268</v>
      </c>
      <c r="B96" s="46">
        <v>5033</v>
      </c>
      <c r="C96" s="47">
        <v>0.219</v>
      </c>
      <c r="D96" s="44">
        <v>36</v>
      </c>
      <c r="E96" s="44" t="s">
        <v>36</v>
      </c>
      <c r="F96" s="44" t="s">
        <v>60</v>
      </c>
      <c r="G96" s="44">
        <v>133124</v>
      </c>
      <c r="H96" s="49">
        <v>0.39</v>
      </c>
      <c r="I96" s="49">
        <v>0.82</v>
      </c>
      <c r="J96" s="44">
        <v>44.9</v>
      </c>
      <c r="K96" s="48">
        <v>3306.681</v>
      </c>
      <c r="L96" s="48">
        <v>-3927.61</v>
      </c>
      <c r="M96" s="44">
        <v>0</v>
      </c>
    </row>
    <row r="97" spans="1:13" ht="15" customHeight="1" x14ac:dyDescent="0.3">
      <c r="A97" s="38" t="s">
        <v>270</v>
      </c>
      <c r="B97" s="40">
        <v>29602</v>
      </c>
      <c r="C97" s="41">
        <v>0.19500000000000001</v>
      </c>
      <c r="D97" s="38">
        <v>36</v>
      </c>
      <c r="E97" s="38" t="s">
        <v>35</v>
      </c>
      <c r="F97" s="38" t="s">
        <v>80</v>
      </c>
      <c r="G97" s="38">
        <v>89821</v>
      </c>
      <c r="H97" s="43">
        <v>0.49</v>
      </c>
      <c r="I97" s="43">
        <v>0.86</v>
      </c>
      <c r="J97" s="38">
        <v>44.9</v>
      </c>
      <c r="K97" s="42">
        <v>17317.169999999998</v>
      </c>
      <c r="L97" s="42">
        <v>5772.39</v>
      </c>
      <c r="M97" s="38">
        <v>0</v>
      </c>
    </row>
    <row r="98" spans="1:13" ht="15" customHeight="1" x14ac:dyDescent="0.3">
      <c r="A98" s="38" t="s">
        <v>272</v>
      </c>
      <c r="B98" s="40">
        <v>14598</v>
      </c>
      <c r="C98" s="41">
        <v>0.126</v>
      </c>
      <c r="D98" s="38">
        <v>36</v>
      </c>
      <c r="E98" s="38" t="s">
        <v>35</v>
      </c>
      <c r="F98" s="38" t="s">
        <v>83</v>
      </c>
      <c r="G98" s="38">
        <v>87021</v>
      </c>
      <c r="H98" s="43">
        <v>0.4</v>
      </c>
      <c r="I98" s="43">
        <v>0.53</v>
      </c>
      <c r="J98" s="38">
        <v>44.9</v>
      </c>
      <c r="K98" s="42">
        <v>5518.0439999999999</v>
      </c>
      <c r="L98" s="42">
        <v>1839.35</v>
      </c>
      <c r="M98" s="38">
        <v>0</v>
      </c>
    </row>
    <row r="99" spans="1:13" ht="15" customHeight="1" x14ac:dyDescent="0.3">
      <c r="A99" s="56" t="s">
        <v>274</v>
      </c>
      <c r="B99" s="58">
        <v>35447</v>
      </c>
      <c r="C99" s="59">
        <v>0.13</v>
      </c>
      <c r="D99" s="56">
        <v>36</v>
      </c>
      <c r="E99" s="56" t="s">
        <v>37</v>
      </c>
      <c r="F99" s="56" t="s">
        <v>83</v>
      </c>
      <c r="G99" s="56">
        <v>73919</v>
      </c>
      <c r="H99" s="61">
        <v>0.36</v>
      </c>
      <c r="I99" s="61">
        <v>0.88</v>
      </c>
      <c r="J99" s="56">
        <v>44.9</v>
      </c>
      <c r="K99" s="60">
        <v>13824.33</v>
      </c>
      <c r="L99" s="60">
        <v>-27423.85</v>
      </c>
      <c r="M99" s="56">
        <v>1</v>
      </c>
    </row>
    <row r="100" spans="1:13" ht="15" customHeight="1" x14ac:dyDescent="0.3">
      <c r="A100" s="38" t="s">
        <v>276</v>
      </c>
      <c r="B100" s="40">
        <v>17001</v>
      </c>
      <c r="C100" s="41">
        <v>0.17899999999999999</v>
      </c>
      <c r="D100" s="38">
        <v>60</v>
      </c>
      <c r="E100" s="38" t="s">
        <v>35</v>
      </c>
      <c r="F100" s="38" t="s">
        <v>66</v>
      </c>
      <c r="G100" s="38">
        <v>142863</v>
      </c>
      <c r="H100" s="43">
        <v>0.31</v>
      </c>
      <c r="I100" s="43">
        <v>0.61</v>
      </c>
      <c r="J100" s="38">
        <v>44.9</v>
      </c>
      <c r="K100" s="42">
        <v>15215.895</v>
      </c>
      <c r="L100" s="42">
        <v>3043.18</v>
      </c>
      <c r="M100" s="38">
        <v>0</v>
      </c>
    </row>
    <row r="101" spans="1:13" ht="15" customHeight="1" x14ac:dyDescent="0.3">
      <c r="A101" s="38" t="s">
        <v>278</v>
      </c>
      <c r="B101" s="40">
        <v>30781</v>
      </c>
      <c r="C101" s="41">
        <v>0.23100000000000001</v>
      </c>
      <c r="D101" s="38">
        <v>36</v>
      </c>
      <c r="E101" s="38" t="s">
        <v>35</v>
      </c>
      <c r="F101" s="38" t="s">
        <v>60</v>
      </c>
      <c r="G101" s="38">
        <v>94418</v>
      </c>
      <c r="H101" s="43">
        <v>0.23</v>
      </c>
      <c r="I101" s="43">
        <v>0.53</v>
      </c>
      <c r="J101" s="38">
        <v>44.8</v>
      </c>
      <c r="K101" s="42">
        <v>21331.233</v>
      </c>
      <c r="L101" s="42">
        <v>7110.41</v>
      </c>
      <c r="M101" s="38">
        <v>0</v>
      </c>
    </row>
    <row r="102" spans="1:13" ht="15" customHeight="1" x14ac:dyDescent="0.3">
      <c r="A102" s="38" t="s">
        <v>280</v>
      </c>
      <c r="B102" s="40">
        <v>36435</v>
      </c>
      <c r="C102" s="41">
        <v>0.17299999999999999</v>
      </c>
      <c r="D102" s="38">
        <v>36</v>
      </c>
      <c r="E102" s="38" t="s">
        <v>35</v>
      </c>
      <c r="F102" s="38" t="s">
        <v>60</v>
      </c>
      <c r="G102" s="38">
        <v>89049</v>
      </c>
      <c r="H102" s="43">
        <v>0.38</v>
      </c>
      <c r="I102" s="43">
        <v>0.87</v>
      </c>
      <c r="J102" s="38">
        <v>44.8</v>
      </c>
      <c r="K102" s="42">
        <v>18909.764999999999</v>
      </c>
      <c r="L102" s="42">
        <v>6303.26</v>
      </c>
      <c r="M102" s="38">
        <v>0</v>
      </c>
    </row>
    <row r="103" spans="1:13" ht="15" customHeight="1" x14ac:dyDescent="0.3">
      <c r="A103" s="44" t="s">
        <v>282</v>
      </c>
      <c r="B103" s="46">
        <v>33371</v>
      </c>
      <c r="C103" s="47">
        <v>0.17100000000000001</v>
      </c>
      <c r="D103" s="44">
        <v>36</v>
      </c>
      <c r="E103" s="44" t="s">
        <v>36</v>
      </c>
      <c r="F103" s="44" t="s">
        <v>71</v>
      </c>
      <c r="G103" s="44">
        <v>44011</v>
      </c>
      <c r="H103" s="49">
        <v>0.21</v>
      </c>
      <c r="I103" s="49">
        <v>0.89</v>
      </c>
      <c r="J103" s="44">
        <v>44.8</v>
      </c>
      <c r="K103" s="48">
        <v>17119.323</v>
      </c>
      <c r="L103" s="48">
        <v>-31567.21</v>
      </c>
      <c r="M103" s="44">
        <v>0</v>
      </c>
    </row>
    <row r="104" spans="1:13" ht="15" customHeight="1" x14ac:dyDescent="0.3">
      <c r="A104" s="38" t="s">
        <v>284</v>
      </c>
      <c r="B104" s="40">
        <v>10110</v>
      </c>
      <c r="C104" s="41">
        <v>6.3E-2</v>
      </c>
      <c r="D104" s="38">
        <v>60</v>
      </c>
      <c r="E104" s="38" t="s">
        <v>35</v>
      </c>
      <c r="F104" s="38" t="s">
        <v>80</v>
      </c>
      <c r="G104" s="38">
        <v>111972</v>
      </c>
      <c r="H104" s="43">
        <v>0.36</v>
      </c>
      <c r="I104" s="43">
        <v>0.84</v>
      </c>
      <c r="J104" s="38">
        <v>44.8</v>
      </c>
      <c r="K104" s="42">
        <v>3184.65</v>
      </c>
      <c r="L104" s="42">
        <v>636.92999999999995</v>
      </c>
      <c r="M104" s="38">
        <v>0</v>
      </c>
    </row>
    <row r="105" spans="1:13" ht="15" customHeight="1" x14ac:dyDescent="0.3">
      <c r="A105" s="44" t="s">
        <v>286</v>
      </c>
      <c r="B105" s="46">
        <v>29831</v>
      </c>
      <c r="C105" s="47">
        <v>0.17599999999999999</v>
      </c>
      <c r="D105" s="44">
        <v>60</v>
      </c>
      <c r="E105" s="44" t="s">
        <v>36</v>
      </c>
      <c r="F105" s="44" t="s">
        <v>60</v>
      </c>
      <c r="G105" s="44">
        <v>32103</v>
      </c>
      <c r="H105" s="49">
        <v>0.11</v>
      </c>
      <c r="I105" s="49">
        <v>0.87</v>
      </c>
      <c r="J105" s="44">
        <v>44.7</v>
      </c>
      <c r="K105" s="48">
        <v>26251.279999999999</v>
      </c>
      <c r="L105" s="48">
        <v>-26510.66</v>
      </c>
      <c r="M105" s="44">
        <v>0</v>
      </c>
    </row>
    <row r="106" spans="1:13" ht="15" customHeight="1" x14ac:dyDescent="0.3">
      <c r="A106" s="38" t="s">
        <v>288</v>
      </c>
      <c r="B106" s="40">
        <v>38198</v>
      </c>
      <c r="C106" s="41">
        <v>0.19900000000000001</v>
      </c>
      <c r="D106" s="38">
        <v>36</v>
      </c>
      <c r="E106" s="38" t="s">
        <v>35</v>
      </c>
      <c r="F106" s="38" t="s">
        <v>83</v>
      </c>
      <c r="G106" s="38">
        <v>65931</v>
      </c>
      <c r="H106" s="43">
        <v>0.35</v>
      </c>
      <c r="I106" s="43">
        <v>0.76</v>
      </c>
      <c r="J106" s="38">
        <v>44.7</v>
      </c>
      <c r="K106" s="42">
        <v>22804.205999999998</v>
      </c>
      <c r="L106" s="42">
        <v>7601.4</v>
      </c>
      <c r="M106" s="38">
        <v>0</v>
      </c>
    </row>
    <row r="107" spans="1:13" ht="15" customHeight="1" x14ac:dyDescent="0.3">
      <c r="A107" s="38" t="s">
        <v>290</v>
      </c>
      <c r="B107" s="40">
        <v>35080</v>
      </c>
      <c r="C107" s="41">
        <v>0.17499999999999999</v>
      </c>
      <c r="D107" s="38">
        <v>36</v>
      </c>
      <c r="E107" s="38" t="s">
        <v>35</v>
      </c>
      <c r="F107" s="38" t="s">
        <v>83</v>
      </c>
      <c r="G107" s="38">
        <v>91114</v>
      </c>
      <c r="H107" s="43">
        <v>0.46</v>
      </c>
      <c r="I107" s="43">
        <v>0.53</v>
      </c>
      <c r="J107" s="38">
        <v>44.7</v>
      </c>
      <c r="K107" s="42">
        <v>18417</v>
      </c>
      <c r="L107" s="42">
        <v>6139</v>
      </c>
      <c r="M107" s="38">
        <v>0</v>
      </c>
    </row>
    <row r="108" spans="1:13" ht="15" customHeight="1" x14ac:dyDescent="0.3">
      <c r="A108" s="44" t="s">
        <v>292</v>
      </c>
      <c r="B108" s="46">
        <v>16398</v>
      </c>
      <c r="C108" s="47">
        <v>0.21199999999999999</v>
      </c>
      <c r="D108" s="44">
        <v>36</v>
      </c>
      <c r="E108" s="44" t="s">
        <v>36</v>
      </c>
      <c r="F108" s="44" t="s">
        <v>60</v>
      </c>
      <c r="G108" s="44">
        <v>147946</v>
      </c>
      <c r="H108" s="49">
        <v>0.12</v>
      </c>
      <c r="I108" s="49">
        <v>0.6</v>
      </c>
      <c r="J108" s="44">
        <v>44.6</v>
      </c>
      <c r="K108" s="48">
        <v>10429.128000000001</v>
      </c>
      <c r="L108" s="48">
        <v>-14529.81</v>
      </c>
      <c r="M108" s="44">
        <v>0</v>
      </c>
    </row>
    <row r="109" spans="1:13" ht="15" customHeight="1" x14ac:dyDescent="0.3">
      <c r="A109" s="38" t="s">
        <v>294</v>
      </c>
      <c r="B109" s="40">
        <v>26425</v>
      </c>
      <c r="C109" s="41">
        <v>0.13700000000000001</v>
      </c>
      <c r="D109" s="38">
        <v>36</v>
      </c>
      <c r="E109" s="38" t="s">
        <v>35</v>
      </c>
      <c r="F109" s="38" t="s">
        <v>71</v>
      </c>
      <c r="G109" s="38">
        <v>146525</v>
      </c>
      <c r="H109" s="43">
        <v>0.36</v>
      </c>
      <c r="I109" s="43">
        <v>0.87</v>
      </c>
      <c r="J109" s="38">
        <v>44.6</v>
      </c>
      <c r="K109" s="42">
        <v>10860.674999999999</v>
      </c>
      <c r="L109" s="42">
        <v>3620.22</v>
      </c>
      <c r="M109" s="38">
        <v>0</v>
      </c>
    </row>
    <row r="110" spans="1:13" ht="15" customHeight="1" x14ac:dyDescent="0.3">
      <c r="A110" s="38" t="s">
        <v>296</v>
      </c>
      <c r="B110" s="40">
        <v>4713</v>
      </c>
      <c r="C110" s="41">
        <v>0.16700000000000001</v>
      </c>
      <c r="D110" s="38">
        <v>60</v>
      </c>
      <c r="E110" s="38" t="s">
        <v>35</v>
      </c>
      <c r="F110" s="38" t="s">
        <v>83</v>
      </c>
      <c r="G110" s="38">
        <v>125184</v>
      </c>
      <c r="H110" s="43">
        <v>0.47</v>
      </c>
      <c r="I110" s="43">
        <v>0.8</v>
      </c>
      <c r="J110" s="38">
        <v>44.6</v>
      </c>
      <c r="K110" s="42">
        <v>3935.355</v>
      </c>
      <c r="L110" s="42">
        <v>787.07</v>
      </c>
      <c r="M110" s="38">
        <v>0</v>
      </c>
    </row>
    <row r="111" spans="1:13" ht="15" customHeight="1" x14ac:dyDescent="0.3">
      <c r="A111" s="38" t="s">
        <v>298</v>
      </c>
      <c r="B111" s="40">
        <v>39663</v>
      </c>
      <c r="C111" s="41">
        <v>0.185</v>
      </c>
      <c r="D111" s="38">
        <v>36</v>
      </c>
      <c r="E111" s="38" t="s">
        <v>35</v>
      </c>
      <c r="F111" s="38" t="s">
        <v>66</v>
      </c>
      <c r="G111" s="38">
        <v>58378</v>
      </c>
      <c r="H111" s="43">
        <v>0.16</v>
      </c>
      <c r="I111" s="43">
        <v>0.87</v>
      </c>
      <c r="J111" s="38">
        <v>44.5</v>
      </c>
      <c r="K111" s="42">
        <v>22012.965</v>
      </c>
      <c r="L111" s="42">
        <v>7337.66</v>
      </c>
      <c r="M111" s="38">
        <v>0</v>
      </c>
    </row>
    <row r="112" spans="1:13" ht="15" customHeight="1" x14ac:dyDescent="0.3">
      <c r="A112" s="44" t="s">
        <v>300</v>
      </c>
      <c r="B112" s="46">
        <v>4712</v>
      </c>
      <c r="C112" s="47">
        <v>0.125</v>
      </c>
      <c r="D112" s="44">
        <v>36</v>
      </c>
      <c r="E112" s="44" t="s">
        <v>36</v>
      </c>
      <c r="F112" s="44" t="s">
        <v>71</v>
      </c>
      <c r="G112" s="44">
        <v>46279</v>
      </c>
      <c r="H112" s="49">
        <v>0.22</v>
      </c>
      <c r="I112" s="49">
        <v>0.95</v>
      </c>
      <c r="J112" s="44">
        <v>44.5</v>
      </c>
      <c r="K112" s="48">
        <v>1767</v>
      </c>
      <c r="L112" s="48">
        <v>-3699.8</v>
      </c>
      <c r="M112" s="44">
        <v>0</v>
      </c>
    </row>
    <row r="113" spans="1:13" ht="15" customHeight="1" x14ac:dyDescent="0.3">
      <c r="A113" s="44" t="s">
        <v>302</v>
      </c>
      <c r="B113" s="46">
        <v>14178</v>
      </c>
      <c r="C113" s="47">
        <v>0.23100000000000001</v>
      </c>
      <c r="D113" s="44">
        <v>60</v>
      </c>
      <c r="E113" s="44" t="s">
        <v>36</v>
      </c>
      <c r="F113" s="44" t="s">
        <v>60</v>
      </c>
      <c r="G113" s="44">
        <v>80799</v>
      </c>
      <c r="H113" s="49">
        <v>0.15</v>
      </c>
      <c r="I113" s="49">
        <v>0.64</v>
      </c>
      <c r="J113" s="44">
        <v>44.4</v>
      </c>
      <c r="K113" s="48">
        <v>16375.59</v>
      </c>
      <c r="L113" s="48">
        <v>-12230.39</v>
      </c>
      <c r="M113" s="44">
        <v>0</v>
      </c>
    </row>
    <row r="114" spans="1:13" ht="15" customHeight="1" x14ac:dyDescent="0.3">
      <c r="A114" s="44" t="s">
        <v>304</v>
      </c>
      <c r="B114" s="46">
        <v>25826</v>
      </c>
      <c r="C114" s="47">
        <v>0.157</v>
      </c>
      <c r="D114" s="44">
        <v>60</v>
      </c>
      <c r="E114" s="44" t="s">
        <v>36</v>
      </c>
      <c r="F114" s="44" t="s">
        <v>60</v>
      </c>
      <c r="G114" s="44">
        <v>113014</v>
      </c>
      <c r="H114" s="49">
        <v>0.1</v>
      </c>
      <c r="I114" s="49">
        <v>0.53</v>
      </c>
      <c r="J114" s="44">
        <v>44.4</v>
      </c>
      <c r="K114" s="48">
        <v>20273.41</v>
      </c>
      <c r="L114" s="48">
        <v>-22864.76</v>
      </c>
      <c r="M114" s="44">
        <v>0</v>
      </c>
    </row>
    <row r="115" spans="1:13" ht="15" customHeight="1" x14ac:dyDescent="0.3">
      <c r="A115" s="44" t="s">
        <v>306</v>
      </c>
      <c r="B115" s="46">
        <v>5431</v>
      </c>
      <c r="C115" s="47">
        <v>0.17</v>
      </c>
      <c r="D115" s="44">
        <v>60</v>
      </c>
      <c r="E115" s="44" t="s">
        <v>36</v>
      </c>
      <c r="F115" s="44" t="s">
        <v>257</v>
      </c>
      <c r="G115" s="44">
        <v>123095</v>
      </c>
      <c r="H115" s="49">
        <v>0.21</v>
      </c>
      <c r="I115" s="49">
        <v>0.7</v>
      </c>
      <c r="J115" s="44">
        <v>44.3</v>
      </c>
      <c r="K115" s="48">
        <v>4616.3500000000004</v>
      </c>
      <c r="L115" s="48">
        <v>-4840.62</v>
      </c>
      <c r="M115" s="44">
        <v>0</v>
      </c>
    </row>
    <row r="116" spans="1:13" ht="15" customHeight="1" x14ac:dyDescent="0.3">
      <c r="A116" s="44" t="s">
        <v>308</v>
      </c>
      <c r="B116" s="46">
        <v>31659</v>
      </c>
      <c r="C116" s="47">
        <v>0.23899999999999999</v>
      </c>
      <c r="D116" s="44">
        <v>60</v>
      </c>
      <c r="E116" s="44" t="s">
        <v>36</v>
      </c>
      <c r="F116" s="44" t="s">
        <v>60</v>
      </c>
      <c r="G116" s="44">
        <v>39018</v>
      </c>
      <c r="H116" s="49">
        <v>0.39</v>
      </c>
      <c r="I116" s="49">
        <v>0.92</v>
      </c>
      <c r="J116" s="44">
        <v>44.3</v>
      </c>
      <c r="K116" s="48">
        <v>37832.504999999997</v>
      </c>
      <c r="L116" s="48">
        <v>-18378.060000000001</v>
      </c>
      <c r="M116" s="44">
        <v>0</v>
      </c>
    </row>
    <row r="117" spans="1:13" ht="15" customHeight="1" x14ac:dyDescent="0.3">
      <c r="A117" s="38" t="s">
        <v>310</v>
      </c>
      <c r="B117" s="40">
        <v>25596</v>
      </c>
      <c r="C117" s="41">
        <v>7.5999999999999998E-2</v>
      </c>
      <c r="D117" s="38">
        <v>36</v>
      </c>
      <c r="E117" s="38" t="s">
        <v>35</v>
      </c>
      <c r="F117" s="38" t="s">
        <v>71</v>
      </c>
      <c r="G117" s="38">
        <v>109414</v>
      </c>
      <c r="H117" s="43">
        <v>0.2</v>
      </c>
      <c r="I117" s="43">
        <v>0.9</v>
      </c>
      <c r="J117" s="38">
        <v>44.3</v>
      </c>
      <c r="K117" s="42">
        <v>5835.8879999999999</v>
      </c>
      <c r="L117" s="42">
        <v>1945.3</v>
      </c>
      <c r="M117" s="38">
        <v>0</v>
      </c>
    </row>
    <row r="118" spans="1:13" ht="15" customHeight="1" x14ac:dyDescent="0.3">
      <c r="A118" s="56" t="s">
        <v>312</v>
      </c>
      <c r="B118" s="58">
        <v>4810</v>
      </c>
      <c r="C118" s="59">
        <v>8.5999999999999993E-2</v>
      </c>
      <c r="D118" s="56">
        <v>60</v>
      </c>
      <c r="E118" s="56" t="s">
        <v>37</v>
      </c>
      <c r="F118" s="56" t="s">
        <v>71</v>
      </c>
      <c r="G118" s="56">
        <v>79522</v>
      </c>
      <c r="H118" s="61">
        <v>0.33</v>
      </c>
      <c r="I118" s="61">
        <v>0.86</v>
      </c>
      <c r="J118" s="56">
        <v>44.3</v>
      </c>
      <c r="K118" s="60">
        <v>2068.3000000000002</v>
      </c>
      <c r="L118" s="60">
        <v>-4011.94</v>
      </c>
      <c r="M118" s="56">
        <v>1</v>
      </c>
    </row>
    <row r="119" spans="1:13" ht="15" customHeight="1" x14ac:dyDescent="0.3">
      <c r="A119" s="38" t="s">
        <v>314</v>
      </c>
      <c r="B119" s="40">
        <v>39520</v>
      </c>
      <c r="C119" s="41">
        <v>0.23599999999999999</v>
      </c>
      <c r="D119" s="38">
        <v>36</v>
      </c>
      <c r="E119" s="38" t="s">
        <v>35</v>
      </c>
      <c r="F119" s="38" t="s">
        <v>66</v>
      </c>
      <c r="G119" s="38">
        <v>143502</v>
      </c>
      <c r="H119" s="43">
        <v>0.23</v>
      </c>
      <c r="I119" s="43">
        <v>0.77</v>
      </c>
      <c r="J119" s="38">
        <v>44.3</v>
      </c>
      <c r="K119" s="42">
        <v>27980.16</v>
      </c>
      <c r="L119" s="42">
        <v>9326.7199999999993</v>
      </c>
      <c r="M119" s="38">
        <v>0</v>
      </c>
    </row>
    <row r="120" spans="1:13" ht="15" customHeight="1" x14ac:dyDescent="0.3">
      <c r="A120" s="38" t="s">
        <v>316</v>
      </c>
      <c r="B120" s="40">
        <v>31158</v>
      </c>
      <c r="C120" s="41">
        <v>7.5999999999999998E-2</v>
      </c>
      <c r="D120" s="38">
        <v>36</v>
      </c>
      <c r="E120" s="38" t="s">
        <v>35</v>
      </c>
      <c r="F120" s="38" t="s">
        <v>60</v>
      </c>
      <c r="G120" s="38">
        <v>63776</v>
      </c>
      <c r="H120" s="43">
        <v>0.21</v>
      </c>
      <c r="I120" s="43">
        <v>0.71</v>
      </c>
      <c r="J120" s="38">
        <v>44.3</v>
      </c>
      <c r="K120" s="42">
        <v>7104.0240000000003</v>
      </c>
      <c r="L120" s="42">
        <v>2368.0100000000002</v>
      </c>
      <c r="M120" s="38">
        <v>0</v>
      </c>
    </row>
    <row r="121" spans="1:13" ht="15" customHeight="1" x14ac:dyDescent="0.3">
      <c r="A121" s="38" t="s">
        <v>318</v>
      </c>
      <c r="B121" s="40">
        <v>27589</v>
      </c>
      <c r="C121" s="41">
        <v>0.186</v>
      </c>
      <c r="D121" s="38">
        <v>60</v>
      </c>
      <c r="E121" s="38" t="s">
        <v>35</v>
      </c>
      <c r="F121" s="38" t="s">
        <v>60</v>
      </c>
      <c r="G121" s="38">
        <v>55517</v>
      </c>
      <c r="H121" s="43">
        <v>0.21</v>
      </c>
      <c r="I121" s="43">
        <v>0.63</v>
      </c>
      <c r="J121" s="38">
        <v>44.2</v>
      </c>
      <c r="K121" s="42">
        <v>25657.77</v>
      </c>
      <c r="L121" s="42">
        <v>5131.55</v>
      </c>
      <c r="M121" s="38">
        <v>0</v>
      </c>
    </row>
    <row r="122" spans="1:13" ht="15" customHeight="1" x14ac:dyDescent="0.3">
      <c r="A122" s="44" t="s">
        <v>320</v>
      </c>
      <c r="B122" s="46">
        <v>27029</v>
      </c>
      <c r="C122" s="47">
        <v>8.3000000000000004E-2</v>
      </c>
      <c r="D122" s="44">
        <v>36</v>
      </c>
      <c r="E122" s="44" t="s">
        <v>36</v>
      </c>
      <c r="F122" s="44" t="s">
        <v>114</v>
      </c>
      <c r="G122" s="44">
        <v>66182</v>
      </c>
      <c r="H122" s="49">
        <v>0.46</v>
      </c>
      <c r="I122" s="49">
        <v>0.88</v>
      </c>
      <c r="J122" s="44">
        <v>44.2</v>
      </c>
      <c r="K122" s="48">
        <v>6730.2210000000096</v>
      </c>
      <c r="L122" s="48">
        <v>-19035.32</v>
      </c>
      <c r="M122" s="44">
        <v>0</v>
      </c>
    </row>
    <row r="123" spans="1:13" ht="15" customHeight="1" x14ac:dyDescent="0.3">
      <c r="A123" s="44" t="s">
        <v>322</v>
      </c>
      <c r="B123" s="46">
        <v>8629</v>
      </c>
      <c r="C123" s="47">
        <v>0.223</v>
      </c>
      <c r="D123" s="44">
        <v>36</v>
      </c>
      <c r="E123" s="44" t="s">
        <v>36</v>
      </c>
      <c r="F123" s="44" t="s">
        <v>60</v>
      </c>
      <c r="G123" s="44">
        <v>144816</v>
      </c>
      <c r="H123" s="49">
        <v>0.17</v>
      </c>
      <c r="I123" s="49">
        <v>0.87</v>
      </c>
      <c r="J123" s="44">
        <v>44.2</v>
      </c>
      <c r="K123" s="48">
        <v>5772.8010000000004</v>
      </c>
      <c r="L123" s="48">
        <v>-8118.97</v>
      </c>
      <c r="M123" s="44">
        <v>0</v>
      </c>
    </row>
    <row r="124" spans="1:13" ht="15" customHeight="1" x14ac:dyDescent="0.3">
      <c r="A124" s="56" t="s">
        <v>324</v>
      </c>
      <c r="B124" s="58">
        <v>35566</v>
      </c>
      <c r="C124" s="59">
        <v>0.21099999999999999</v>
      </c>
      <c r="D124" s="56">
        <v>36</v>
      </c>
      <c r="E124" s="56" t="s">
        <v>37</v>
      </c>
      <c r="F124" s="56" t="s">
        <v>60</v>
      </c>
      <c r="G124" s="56">
        <v>108840</v>
      </c>
      <c r="H124" s="61">
        <v>0.22</v>
      </c>
      <c r="I124" s="61">
        <v>0.7</v>
      </c>
      <c r="J124" s="56">
        <v>44.1</v>
      </c>
      <c r="K124" s="60">
        <v>22513.277999999998</v>
      </c>
      <c r="L124" s="60">
        <v>-26587.26</v>
      </c>
      <c r="M124" s="56">
        <v>1</v>
      </c>
    </row>
    <row r="125" spans="1:13" ht="15" customHeight="1" x14ac:dyDescent="0.3">
      <c r="A125" s="38" t="s">
        <v>326</v>
      </c>
      <c r="B125" s="40">
        <v>28420</v>
      </c>
      <c r="C125" s="41">
        <v>7.8E-2</v>
      </c>
      <c r="D125" s="38">
        <v>36</v>
      </c>
      <c r="E125" s="38" t="s">
        <v>35</v>
      </c>
      <c r="F125" s="38" t="s">
        <v>257</v>
      </c>
      <c r="G125" s="38">
        <v>97568</v>
      </c>
      <c r="H125" s="43">
        <v>0.28000000000000003</v>
      </c>
      <c r="I125" s="43">
        <v>0.56000000000000005</v>
      </c>
      <c r="J125" s="38">
        <v>44.1</v>
      </c>
      <c r="K125" s="42">
        <v>6650.28</v>
      </c>
      <c r="L125" s="42">
        <v>2216.7600000000002</v>
      </c>
      <c r="M125" s="38">
        <v>0</v>
      </c>
    </row>
    <row r="126" spans="1:13" ht="15" customHeight="1" x14ac:dyDescent="0.3">
      <c r="A126" s="38" t="s">
        <v>328</v>
      </c>
      <c r="B126" s="40">
        <v>28082</v>
      </c>
      <c r="C126" s="41">
        <v>0.22900000000000001</v>
      </c>
      <c r="D126" s="38">
        <v>36</v>
      </c>
      <c r="E126" s="38" t="s">
        <v>35</v>
      </c>
      <c r="F126" s="38" t="s">
        <v>83</v>
      </c>
      <c r="G126" s="38">
        <v>102567</v>
      </c>
      <c r="H126" s="43">
        <v>0.46</v>
      </c>
      <c r="I126" s="43">
        <v>0.59</v>
      </c>
      <c r="J126" s="38">
        <v>44.1</v>
      </c>
      <c r="K126" s="42">
        <v>19292.333999999999</v>
      </c>
      <c r="L126" s="42">
        <v>6430.78</v>
      </c>
      <c r="M126" s="38">
        <v>0</v>
      </c>
    </row>
    <row r="127" spans="1:13" ht="15" customHeight="1" x14ac:dyDescent="0.3">
      <c r="A127" s="44" t="s">
        <v>330</v>
      </c>
      <c r="B127" s="46">
        <v>13875</v>
      </c>
      <c r="C127" s="47">
        <v>0.215</v>
      </c>
      <c r="D127" s="44">
        <v>36</v>
      </c>
      <c r="E127" s="44" t="s">
        <v>36</v>
      </c>
      <c r="F127" s="44" t="s">
        <v>60</v>
      </c>
      <c r="G127" s="44">
        <v>79810</v>
      </c>
      <c r="H127" s="49">
        <v>0.33</v>
      </c>
      <c r="I127" s="49">
        <v>0.7</v>
      </c>
      <c r="J127" s="44">
        <v>44</v>
      </c>
      <c r="K127" s="48">
        <v>8949.375</v>
      </c>
      <c r="L127" s="48">
        <v>-11185.63</v>
      </c>
      <c r="M127" s="44">
        <v>0</v>
      </c>
    </row>
    <row r="128" spans="1:13" ht="15" customHeight="1" x14ac:dyDescent="0.3">
      <c r="A128" s="38" t="s">
        <v>332</v>
      </c>
      <c r="B128" s="40">
        <v>25574</v>
      </c>
      <c r="C128" s="41">
        <v>0.17</v>
      </c>
      <c r="D128" s="38">
        <v>36</v>
      </c>
      <c r="E128" s="38" t="s">
        <v>35</v>
      </c>
      <c r="F128" s="38" t="s">
        <v>80</v>
      </c>
      <c r="G128" s="38">
        <v>132638</v>
      </c>
      <c r="H128" s="43">
        <v>0.17</v>
      </c>
      <c r="I128" s="43">
        <v>0.66</v>
      </c>
      <c r="J128" s="38">
        <v>44</v>
      </c>
      <c r="K128" s="42">
        <v>13042.74</v>
      </c>
      <c r="L128" s="42">
        <v>4347.58</v>
      </c>
      <c r="M128" s="38">
        <v>0</v>
      </c>
    </row>
    <row r="129" spans="1:13" ht="15" customHeight="1" x14ac:dyDescent="0.3">
      <c r="A129" s="44" t="s">
        <v>334</v>
      </c>
      <c r="B129" s="46">
        <v>30259</v>
      </c>
      <c r="C129" s="47">
        <v>5.8999999999999997E-2</v>
      </c>
      <c r="D129" s="44">
        <v>36</v>
      </c>
      <c r="E129" s="44" t="s">
        <v>36</v>
      </c>
      <c r="F129" s="44" t="s">
        <v>80</v>
      </c>
      <c r="G129" s="44">
        <v>102779</v>
      </c>
      <c r="H129" s="49">
        <v>0.37</v>
      </c>
      <c r="I129" s="49">
        <v>0.69</v>
      </c>
      <c r="J129" s="44">
        <v>43.9</v>
      </c>
      <c r="K129" s="48">
        <v>5355.8429999999998</v>
      </c>
      <c r="L129" s="48">
        <v>-27290.67</v>
      </c>
      <c r="M129" s="44">
        <v>0</v>
      </c>
    </row>
    <row r="130" spans="1:13" ht="15" customHeight="1" x14ac:dyDescent="0.3">
      <c r="A130" s="44" t="s">
        <v>336</v>
      </c>
      <c r="B130" s="46">
        <v>28598</v>
      </c>
      <c r="C130" s="47">
        <v>0.115</v>
      </c>
      <c r="D130" s="44">
        <v>60</v>
      </c>
      <c r="E130" s="44" t="s">
        <v>36</v>
      </c>
      <c r="F130" s="44" t="s">
        <v>114</v>
      </c>
      <c r="G130" s="44">
        <v>63885</v>
      </c>
      <c r="H130" s="49">
        <v>0.14000000000000001</v>
      </c>
      <c r="I130" s="49">
        <v>0.7</v>
      </c>
      <c r="J130" s="44">
        <v>43.9</v>
      </c>
      <c r="K130" s="48">
        <v>16443.849999999999</v>
      </c>
      <c r="L130" s="48">
        <v>-23896.55</v>
      </c>
      <c r="M130" s="44">
        <v>0</v>
      </c>
    </row>
    <row r="131" spans="1:13" ht="15" customHeight="1" x14ac:dyDescent="0.3">
      <c r="A131" s="38" t="s">
        <v>338</v>
      </c>
      <c r="B131" s="40">
        <v>39067</v>
      </c>
      <c r="C131" s="41">
        <v>0.16300000000000001</v>
      </c>
      <c r="D131" s="38">
        <v>36</v>
      </c>
      <c r="E131" s="38" t="s">
        <v>35</v>
      </c>
      <c r="F131" s="38" t="s">
        <v>71</v>
      </c>
      <c r="G131" s="38">
        <v>143776</v>
      </c>
      <c r="H131" s="43">
        <v>0.22</v>
      </c>
      <c r="I131" s="43">
        <v>0.51</v>
      </c>
      <c r="J131" s="38">
        <v>43.8</v>
      </c>
      <c r="K131" s="42">
        <v>19103.762999999999</v>
      </c>
      <c r="L131" s="42">
        <v>6367.92</v>
      </c>
      <c r="M131" s="38">
        <v>0</v>
      </c>
    </row>
    <row r="132" spans="1:13" ht="15" customHeight="1" x14ac:dyDescent="0.3">
      <c r="A132" s="44" t="s">
        <v>340</v>
      </c>
      <c r="B132" s="46">
        <v>4631</v>
      </c>
      <c r="C132" s="47">
        <v>0.14199999999999999</v>
      </c>
      <c r="D132" s="44">
        <v>36</v>
      </c>
      <c r="E132" s="44" t="s">
        <v>36</v>
      </c>
      <c r="F132" s="44" t="s">
        <v>83</v>
      </c>
      <c r="G132" s="44">
        <v>132928</v>
      </c>
      <c r="H132" s="49">
        <v>0.45</v>
      </c>
      <c r="I132" s="49">
        <v>0.53</v>
      </c>
      <c r="J132" s="44">
        <v>43.8</v>
      </c>
      <c r="K132" s="48">
        <v>1972.806</v>
      </c>
      <c r="L132" s="48">
        <v>-2928.31</v>
      </c>
      <c r="M132" s="44">
        <v>0</v>
      </c>
    </row>
    <row r="133" spans="1:13" ht="15" customHeight="1" x14ac:dyDescent="0.3">
      <c r="A133" s="38" t="s">
        <v>342</v>
      </c>
      <c r="B133" s="40">
        <v>23534</v>
      </c>
      <c r="C133" s="41">
        <v>0.13400000000000001</v>
      </c>
      <c r="D133" s="38">
        <v>60</v>
      </c>
      <c r="E133" s="38" t="s">
        <v>35</v>
      </c>
      <c r="F133" s="38" t="s">
        <v>83</v>
      </c>
      <c r="G133" s="38">
        <v>73469</v>
      </c>
      <c r="H133" s="43">
        <v>0.2</v>
      </c>
      <c r="I133" s="43">
        <v>0.61</v>
      </c>
      <c r="J133" s="38">
        <v>43.8</v>
      </c>
      <c r="K133" s="42">
        <v>15767.78</v>
      </c>
      <c r="L133" s="42">
        <v>3153.56</v>
      </c>
      <c r="M133" s="38">
        <v>0</v>
      </c>
    </row>
    <row r="134" spans="1:13" ht="15" customHeight="1" x14ac:dyDescent="0.3">
      <c r="A134" s="50" t="s">
        <v>344</v>
      </c>
      <c r="B134" s="52">
        <v>26121</v>
      </c>
      <c r="C134" s="53">
        <v>0.188</v>
      </c>
      <c r="D134" s="50">
        <v>60</v>
      </c>
      <c r="E134" s="50" t="s">
        <v>39</v>
      </c>
      <c r="F134" s="50" t="s">
        <v>80</v>
      </c>
      <c r="G134" s="50">
        <v>59432</v>
      </c>
      <c r="H134" s="55">
        <v>0.15</v>
      </c>
      <c r="I134" s="55">
        <v>0.54</v>
      </c>
      <c r="J134" s="50">
        <v>43.8</v>
      </c>
      <c r="K134" s="54">
        <v>24553.74</v>
      </c>
      <c r="L134" s="54">
        <v>-26121</v>
      </c>
      <c r="M134" s="50">
        <v>0</v>
      </c>
    </row>
    <row r="135" spans="1:13" ht="15" customHeight="1" x14ac:dyDescent="0.3">
      <c r="A135" s="38" t="s">
        <v>346</v>
      </c>
      <c r="B135" s="40">
        <v>11754</v>
      </c>
      <c r="C135" s="41">
        <v>0.104</v>
      </c>
      <c r="D135" s="38">
        <v>60</v>
      </c>
      <c r="E135" s="38" t="s">
        <v>35</v>
      </c>
      <c r="F135" s="38" t="s">
        <v>60</v>
      </c>
      <c r="G135" s="38">
        <v>91576</v>
      </c>
      <c r="H135" s="43">
        <v>0.35</v>
      </c>
      <c r="I135" s="43">
        <v>0.62</v>
      </c>
      <c r="J135" s="38">
        <v>43.7</v>
      </c>
      <c r="K135" s="42">
        <v>6112.08</v>
      </c>
      <c r="L135" s="42">
        <v>1222.42</v>
      </c>
      <c r="M135" s="38">
        <v>0</v>
      </c>
    </row>
    <row r="136" spans="1:13" ht="15" customHeight="1" x14ac:dyDescent="0.3">
      <c r="A136" s="44" t="s">
        <v>348</v>
      </c>
      <c r="B136" s="46">
        <v>30402</v>
      </c>
      <c r="C136" s="47">
        <v>0.22800000000000001</v>
      </c>
      <c r="D136" s="44">
        <v>36</v>
      </c>
      <c r="E136" s="44" t="s">
        <v>36</v>
      </c>
      <c r="F136" s="44" t="s">
        <v>60</v>
      </c>
      <c r="G136" s="44">
        <v>34234</v>
      </c>
      <c r="H136" s="49">
        <v>0.41</v>
      </c>
      <c r="I136" s="49">
        <v>0.55000000000000004</v>
      </c>
      <c r="J136" s="44">
        <v>43.7</v>
      </c>
      <c r="K136" s="48">
        <v>20794.968000000001</v>
      </c>
      <c r="L136" s="48">
        <v>-26588.69</v>
      </c>
      <c r="M136" s="44">
        <v>0</v>
      </c>
    </row>
    <row r="137" spans="1:13" ht="15" customHeight="1" x14ac:dyDescent="0.3">
      <c r="A137" s="38" t="s">
        <v>350</v>
      </c>
      <c r="B137" s="40">
        <v>32910</v>
      </c>
      <c r="C137" s="41">
        <v>5.0999999999999997E-2</v>
      </c>
      <c r="D137" s="38">
        <v>36</v>
      </c>
      <c r="E137" s="38" t="s">
        <v>35</v>
      </c>
      <c r="F137" s="38" t="s">
        <v>71</v>
      </c>
      <c r="G137" s="38">
        <v>39221</v>
      </c>
      <c r="H137" s="43">
        <v>0.47</v>
      </c>
      <c r="I137" s="43">
        <v>0.53</v>
      </c>
      <c r="J137" s="38">
        <v>43.7</v>
      </c>
      <c r="K137" s="42">
        <v>5035.2299999999996</v>
      </c>
      <c r="L137" s="42">
        <v>1678.41</v>
      </c>
      <c r="M137" s="38">
        <v>0</v>
      </c>
    </row>
    <row r="138" spans="1:13" ht="15" customHeight="1" x14ac:dyDescent="0.3">
      <c r="A138" s="38" t="s">
        <v>352</v>
      </c>
      <c r="B138" s="40">
        <v>14669</v>
      </c>
      <c r="C138" s="41">
        <v>0.20200000000000001</v>
      </c>
      <c r="D138" s="38">
        <v>36</v>
      </c>
      <c r="E138" s="38" t="s">
        <v>35</v>
      </c>
      <c r="F138" s="38" t="s">
        <v>80</v>
      </c>
      <c r="G138" s="38">
        <v>114214</v>
      </c>
      <c r="H138" s="43">
        <v>0.35</v>
      </c>
      <c r="I138" s="43">
        <v>0.5</v>
      </c>
      <c r="J138" s="38">
        <v>43.6</v>
      </c>
      <c r="K138" s="42">
        <v>8889.4140000000007</v>
      </c>
      <c r="L138" s="42">
        <v>2963.14</v>
      </c>
      <c r="M138" s="38">
        <v>0</v>
      </c>
    </row>
    <row r="139" spans="1:13" ht="15" customHeight="1" x14ac:dyDescent="0.3">
      <c r="A139" s="44" t="s">
        <v>354</v>
      </c>
      <c r="B139" s="46">
        <v>1956</v>
      </c>
      <c r="C139" s="47">
        <v>8.3000000000000004E-2</v>
      </c>
      <c r="D139" s="44">
        <v>36</v>
      </c>
      <c r="E139" s="44" t="s">
        <v>36</v>
      </c>
      <c r="F139" s="44" t="s">
        <v>83</v>
      </c>
      <c r="G139" s="44">
        <v>134383</v>
      </c>
      <c r="H139" s="49">
        <v>0.24</v>
      </c>
      <c r="I139" s="49">
        <v>0.91</v>
      </c>
      <c r="J139" s="44">
        <v>43.6</v>
      </c>
      <c r="K139" s="48">
        <v>487.04399999999998</v>
      </c>
      <c r="L139" s="48">
        <v>-1056.1300000000001</v>
      </c>
      <c r="M139" s="44">
        <v>0</v>
      </c>
    </row>
    <row r="140" spans="1:13" ht="15" customHeight="1" x14ac:dyDescent="0.3">
      <c r="A140" s="38" t="s">
        <v>356</v>
      </c>
      <c r="B140" s="40">
        <v>28935</v>
      </c>
      <c r="C140" s="41">
        <v>7.1999999999999995E-2</v>
      </c>
      <c r="D140" s="38">
        <v>60</v>
      </c>
      <c r="E140" s="38" t="s">
        <v>35</v>
      </c>
      <c r="F140" s="38" t="s">
        <v>60</v>
      </c>
      <c r="G140" s="38">
        <v>107299</v>
      </c>
      <c r="H140" s="43">
        <v>0.38</v>
      </c>
      <c r="I140" s="43">
        <v>0.83</v>
      </c>
      <c r="J140" s="38">
        <v>43.6</v>
      </c>
      <c r="K140" s="42">
        <v>10416.6</v>
      </c>
      <c r="L140" s="42">
        <v>2083.3200000000002</v>
      </c>
      <c r="M140" s="38">
        <v>0</v>
      </c>
    </row>
    <row r="141" spans="1:13" ht="15" customHeight="1" x14ac:dyDescent="0.3">
      <c r="A141" s="38" t="s">
        <v>358</v>
      </c>
      <c r="B141" s="40">
        <v>16577</v>
      </c>
      <c r="C141" s="41">
        <v>5.1999999999999998E-2</v>
      </c>
      <c r="D141" s="38">
        <v>60</v>
      </c>
      <c r="E141" s="38" t="s">
        <v>35</v>
      </c>
      <c r="F141" s="38" t="s">
        <v>114</v>
      </c>
      <c r="G141" s="38">
        <v>142824</v>
      </c>
      <c r="H141" s="43">
        <v>0.14000000000000001</v>
      </c>
      <c r="I141" s="43">
        <v>0.72</v>
      </c>
      <c r="J141" s="38">
        <v>43.5</v>
      </c>
      <c r="K141" s="42">
        <v>4310.0200000000004</v>
      </c>
      <c r="L141" s="42">
        <v>862</v>
      </c>
      <c r="M141" s="38">
        <v>0</v>
      </c>
    </row>
    <row r="142" spans="1:13" ht="15" customHeight="1" x14ac:dyDescent="0.3">
      <c r="A142" s="44" t="s">
        <v>360</v>
      </c>
      <c r="B142" s="46">
        <v>8227</v>
      </c>
      <c r="C142" s="47">
        <v>0.11700000000000001</v>
      </c>
      <c r="D142" s="44">
        <v>60</v>
      </c>
      <c r="E142" s="44" t="s">
        <v>36</v>
      </c>
      <c r="F142" s="44" t="s">
        <v>71</v>
      </c>
      <c r="G142" s="44">
        <v>87767</v>
      </c>
      <c r="H142" s="49">
        <v>0.27</v>
      </c>
      <c r="I142" s="49">
        <v>0.51</v>
      </c>
      <c r="J142" s="44">
        <v>43.4</v>
      </c>
      <c r="K142" s="48">
        <v>4812.7950000000001</v>
      </c>
      <c r="L142" s="48">
        <v>-5629.2</v>
      </c>
      <c r="M142" s="44">
        <v>0</v>
      </c>
    </row>
    <row r="143" spans="1:13" ht="15" customHeight="1" x14ac:dyDescent="0.3">
      <c r="A143" s="38" t="s">
        <v>362</v>
      </c>
      <c r="B143" s="40">
        <v>10852</v>
      </c>
      <c r="C143" s="41">
        <v>5.6000000000000001E-2</v>
      </c>
      <c r="D143" s="38">
        <v>60</v>
      </c>
      <c r="E143" s="38" t="s">
        <v>35</v>
      </c>
      <c r="F143" s="38" t="s">
        <v>71</v>
      </c>
      <c r="G143" s="38">
        <v>52800</v>
      </c>
      <c r="H143" s="43">
        <v>0.12</v>
      </c>
      <c r="I143" s="43">
        <v>0.79</v>
      </c>
      <c r="J143" s="38">
        <v>43.4</v>
      </c>
      <c r="K143" s="42">
        <v>3038.56</v>
      </c>
      <c r="L143" s="42">
        <v>607.70999999999901</v>
      </c>
      <c r="M143" s="38">
        <v>0</v>
      </c>
    </row>
    <row r="144" spans="1:13" ht="15" customHeight="1" x14ac:dyDescent="0.3">
      <c r="A144" s="44" t="s">
        <v>364</v>
      </c>
      <c r="B144" s="46">
        <v>11699</v>
      </c>
      <c r="C144" s="47">
        <v>0.223</v>
      </c>
      <c r="D144" s="44">
        <v>60</v>
      </c>
      <c r="E144" s="44" t="s">
        <v>36</v>
      </c>
      <c r="F144" s="44" t="s">
        <v>80</v>
      </c>
      <c r="G144" s="44">
        <v>137411</v>
      </c>
      <c r="H144" s="49">
        <v>0.47</v>
      </c>
      <c r="I144" s="49">
        <v>0.85</v>
      </c>
      <c r="J144" s="44">
        <v>43.4</v>
      </c>
      <c r="K144" s="48">
        <v>13044.385</v>
      </c>
      <c r="L144" s="48">
        <v>-9038.4599999999991</v>
      </c>
      <c r="M144" s="44">
        <v>0</v>
      </c>
    </row>
    <row r="145" spans="1:13" ht="15" customHeight="1" x14ac:dyDescent="0.3">
      <c r="A145" s="38" t="s">
        <v>366</v>
      </c>
      <c r="B145" s="40">
        <v>15210</v>
      </c>
      <c r="C145" s="41">
        <v>9.1999999999999998E-2</v>
      </c>
      <c r="D145" s="38">
        <v>60</v>
      </c>
      <c r="E145" s="38" t="s">
        <v>35</v>
      </c>
      <c r="F145" s="38" t="s">
        <v>83</v>
      </c>
      <c r="G145" s="38">
        <v>74757</v>
      </c>
      <c r="H145" s="43">
        <v>0.46</v>
      </c>
      <c r="I145" s="43">
        <v>0.83</v>
      </c>
      <c r="J145" s="38">
        <v>43.3</v>
      </c>
      <c r="K145" s="42">
        <v>6996.6</v>
      </c>
      <c r="L145" s="42">
        <v>1399.32</v>
      </c>
      <c r="M145" s="38">
        <v>0</v>
      </c>
    </row>
    <row r="146" spans="1:13" ht="15" customHeight="1" x14ac:dyDescent="0.3">
      <c r="A146" s="50" t="s">
        <v>368</v>
      </c>
      <c r="B146" s="52">
        <v>15899</v>
      </c>
      <c r="C146" s="53">
        <v>0.19900000000000001</v>
      </c>
      <c r="D146" s="50">
        <v>60</v>
      </c>
      <c r="E146" s="50" t="s">
        <v>39</v>
      </c>
      <c r="F146" s="50" t="s">
        <v>66</v>
      </c>
      <c r="G146" s="50">
        <v>50324</v>
      </c>
      <c r="H146" s="55">
        <v>0.17</v>
      </c>
      <c r="I146" s="55">
        <v>0.62</v>
      </c>
      <c r="J146" s="50">
        <v>43.3</v>
      </c>
      <c r="K146" s="54">
        <v>15819.504999999999</v>
      </c>
      <c r="L146" s="54">
        <v>-15899</v>
      </c>
      <c r="M146" s="50">
        <v>0</v>
      </c>
    </row>
    <row r="147" spans="1:13" ht="15" customHeight="1" x14ac:dyDescent="0.3">
      <c r="A147" s="38" t="s">
        <v>370</v>
      </c>
      <c r="B147" s="40">
        <v>33413</v>
      </c>
      <c r="C147" s="41">
        <v>9.1999999999999998E-2</v>
      </c>
      <c r="D147" s="38">
        <v>36</v>
      </c>
      <c r="E147" s="38" t="s">
        <v>35</v>
      </c>
      <c r="F147" s="38" t="s">
        <v>80</v>
      </c>
      <c r="G147" s="38">
        <v>118031</v>
      </c>
      <c r="H147" s="43">
        <v>0.21</v>
      </c>
      <c r="I147" s="43">
        <v>0.88</v>
      </c>
      <c r="J147" s="38">
        <v>43.3</v>
      </c>
      <c r="K147" s="42">
        <v>9221.9879999999994</v>
      </c>
      <c r="L147" s="42">
        <v>3074</v>
      </c>
      <c r="M147" s="38">
        <v>0</v>
      </c>
    </row>
    <row r="148" spans="1:13" ht="15" customHeight="1" x14ac:dyDescent="0.3">
      <c r="A148" s="38" t="s">
        <v>372</v>
      </c>
      <c r="B148" s="40">
        <v>19440</v>
      </c>
      <c r="C148" s="41">
        <v>0.192</v>
      </c>
      <c r="D148" s="38">
        <v>36</v>
      </c>
      <c r="E148" s="38" t="s">
        <v>35</v>
      </c>
      <c r="F148" s="38" t="s">
        <v>114</v>
      </c>
      <c r="G148" s="38">
        <v>65903</v>
      </c>
      <c r="H148" s="43">
        <v>0.17</v>
      </c>
      <c r="I148" s="43">
        <v>0.89</v>
      </c>
      <c r="J148" s="38">
        <v>43.3</v>
      </c>
      <c r="K148" s="42">
        <v>11197.44</v>
      </c>
      <c r="L148" s="42">
        <v>3732.48</v>
      </c>
      <c r="M148" s="38">
        <v>0</v>
      </c>
    </row>
    <row r="149" spans="1:13" ht="15" customHeight="1" x14ac:dyDescent="0.3">
      <c r="A149" s="44" t="s">
        <v>374</v>
      </c>
      <c r="B149" s="46">
        <v>26519</v>
      </c>
      <c r="C149" s="47">
        <v>0.19600000000000001</v>
      </c>
      <c r="D149" s="44">
        <v>36</v>
      </c>
      <c r="E149" s="44" t="s">
        <v>36</v>
      </c>
      <c r="F149" s="44" t="s">
        <v>60</v>
      </c>
      <c r="G149" s="44">
        <v>125402</v>
      </c>
      <c r="H149" s="49">
        <v>0.12</v>
      </c>
      <c r="I149" s="49">
        <v>0.7</v>
      </c>
      <c r="J149" s="44">
        <v>43.2</v>
      </c>
      <c r="K149" s="48">
        <v>15593.172</v>
      </c>
      <c r="L149" s="48">
        <v>-14905.33</v>
      </c>
      <c r="M149" s="44">
        <v>0</v>
      </c>
    </row>
    <row r="150" spans="1:13" ht="15" customHeight="1" x14ac:dyDescent="0.3">
      <c r="A150" s="38" t="s">
        <v>376</v>
      </c>
      <c r="B150" s="40">
        <v>11106</v>
      </c>
      <c r="C150" s="41">
        <v>0.109</v>
      </c>
      <c r="D150" s="38">
        <v>36</v>
      </c>
      <c r="E150" s="38" t="s">
        <v>35</v>
      </c>
      <c r="F150" s="38" t="s">
        <v>66</v>
      </c>
      <c r="G150" s="38">
        <v>125500</v>
      </c>
      <c r="H150" s="43">
        <v>0.13</v>
      </c>
      <c r="I150" s="43">
        <v>0.56000000000000005</v>
      </c>
      <c r="J150" s="38">
        <v>43.2</v>
      </c>
      <c r="K150" s="42">
        <v>3631.6619999999998</v>
      </c>
      <c r="L150" s="42">
        <v>1210.55</v>
      </c>
      <c r="M150" s="38">
        <v>0</v>
      </c>
    </row>
    <row r="151" spans="1:13" ht="15" customHeight="1" x14ac:dyDescent="0.3">
      <c r="A151" s="38" t="s">
        <v>378</v>
      </c>
      <c r="B151" s="40">
        <v>37142</v>
      </c>
      <c r="C151" s="41">
        <v>0.14000000000000001</v>
      </c>
      <c r="D151" s="38">
        <v>36</v>
      </c>
      <c r="E151" s="38" t="s">
        <v>35</v>
      </c>
      <c r="F151" s="38" t="s">
        <v>83</v>
      </c>
      <c r="G151" s="38">
        <v>116694</v>
      </c>
      <c r="H151" s="43">
        <v>0.43</v>
      </c>
      <c r="I151" s="43">
        <v>0.53</v>
      </c>
      <c r="J151" s="38">
        <v>43.2</v>
      </c>
      <c r="K151" s="42">
        <v>15599.64</v>
      </c>
      <c r="L151" s="42">
        <v>5199.88</v>
      </c>
      <c r="M151" s="38">
        <v>0</v>
      </c>
    </row>
    <row r="152" spans="1:13" ht="15" customHeight="1" x14ac:dyDescent="0.3">
      <c r="A152" s="50" t="s">
        <v>380</v>
      </c>
      <c r="B152" s="52">
        <v>25282</v>
      </c>
      <c r="C152" s="53">
        <v>0.18</v>
      </c>
      <c r="D152" s="50">
        <v>60</v>
      </c>
      <c r="E152" s="50" t="s">
        <v>38</v>
      </c>
      <c r="F152" s="50" t="s">
        <v>83</v>
      </c>
      <c r="G152" s="50">
        <v>92901</v>
      </c>
      <c r="H152" s="55">
        <v>0.12</v>
      </c>
      <c r="I152" s="55">
        <v>0.57999999999999996</v>
      </c>
      <c r="J152" s="50">
        <v>43.2</v>
      </c>
      <c r="K152" s="54">
        <v>22753.8</v>
      </c>
      <c r="L152" s="54">
        <v>-25282</v>
      </c>
      <c r="M152" s="50">
        <v>1</v>
      </c>
    </row>
    <row r="153" spans="1:13" ht="15" customHeight="1" x14ac:dyDescent="0.3">
      <c r="A153" s="44" t="s">
        <v>382</v>
      </c>
      <c r="B153" s="46">
        <v>24895</v>
      </c>
      <c r="C153" s="47">
        <v>6.3E-2</v>
      </c>
      <c r="D153" s="44">
        <v>36</v>
      </c>
      <c r="E153" s="44" t="s">
        <v>36</v>
      </c>
      <c r="F153" s="44" t="s">
        <v>83</v>
      </c>
      <c r="G153" s="44">
        <v>103493</v>
      </c>
      <c r="H153" s="49">
        <v>0.38</v>
      </c>
      <c r="I153" s="49">
        <v>0.88</v>
      </c>
      <c r="J153" s="44">
        <v>43.2</v>
      </c>
      <c r="K153" s="48">
        <v>4705.1549999999997</v>
      </c>
      <c r="L153" s="48">
        <v>-22923.93</v>
      </c>
      <c r="M153" s="44">
        <v>0</v>
      </c>
    </row>
    <row r="154" spans="1:13" ht="15" customHeight="1" x14ac:dyDescent="0.3">
      <c r="A154" s="38" t="s">
        <v>384</v>
      </c>
      <c r="B154" s="40">
        <v>18347</v>
      </c>
      <c r="C154" s="41">
        <v>0.183</v>
      </c>
      <c r="D154" s="38">
        <v>36</v>
      </c>
      <c r="E154" s="38" t="s">
        <v>35</v>
      </c>
      <c r="F154" s="38" t="s">
        <v>114</v>
      </c>
      <c r="G154" s="38">
        <v>104711</v>
      </c>
      <c r="H154" s="43">
        <v>0.28999999999999998</v>
      </c>
      <c r="I154" s="43">
        <v>0.55000000000000004</v>
      </c>
      <c r="J154" s="38">
        <v>43.1</v>
      </c>
      <c r="K154" s="42">
        <v>10072.503000000001</v>
      </c>
      <c r="L154" s="42">
        <v>3357.5</v>
      </c>
      <c r="M154" s="38">
        <v>0</v>
      </c>
    </row>
    <row r="155" spans="1:13" ht="15" customHeight="1" x14ac:dyDescent="0.3">
      <c r="A155" s="38" t="s">
        <v>386</v>
      </c>
      <c r="B155" s="40">
        <v>26821</v>
      </c>
      <c r="C155" s="41">
        <v>7.4999999999999997E-2</v>
      </c>
      <c r="D155" s="38">
        <v>60</v>
      </c>
      <c r="E155" s="38" t="s">
        <v>35</v>
      </c>
      <c r="F155" s="38" t="s">
        <v>83</v>
      </c>
      <c r="G155" s="38">
        <v>35741</v>
      </c>
      <c r="H155" s="43">
        <v>0.44</v>
      </c>
      <c r="I155" s="43">
        <v>0.62</v>
      </c>
      <c r="J155" s="38">
        <v>43.1</v>
      </c>
      <c r="K155" s="42">
        <v>10057.875</v>
      </c>
      <c r="L155" s="42">
        <v>2011.57</v>
      </c>
      <c r="M155" s="38">
        <v>0</v>
      </c>
    </row>
    <row r="156" spans="1:13" ht="15" customHeight="1" x14ac:dyDescent="0.3">
      <c r="A156" s="38" t="s">
        <v>388</v>
      </c>
      <c r="B156" s="40">
        <v>5481</v>
      </c>
      <c r="C156" s="41">
        <v>0.156</v>
      </c>
      <c r="D156" s="38">
        <v>36</v>
      </c>
      <c r="E156" s="38" t="s">
        <v>35</v>
      </c>
      <c r="F156" s="38" t="s">
        <v>114</v>
      </c>
      <c r="G156" s="38">
        <v>125676</v>
      </c>
      <c r="H156" s="43">
        <v>0.27</v>
      </c>
      <c r="I156" s="43">
        <v>0.89</v>
      </c>
      <c r="J156" s="38">
        <v>43</v>
      </c>
      <c r="K156" s="42">
        <v>2565.1080000000002</v>
      </c>
      <c r="L156" s="42">
        <v>855.04</v>
      </c>
      <c r="M156" s="38">
        <v>0</v>
      </c>
    </row>
    <row r="157" spans="1:13" ht="15" customHeight="1" x14ac:dyDescent="0.3">
      <c r="A157" s="38" t="s">
        <v>390</v>
      </c>
      <c r="B157" s="40">
        <v>15561</v>
      </c>
      <c r="C157" s="41">
        <v>0.187</v>
      </c>
      <c r="D157" s="38">
        <v>36</v>
      </c>
      <c r="E157" s="38" t="s">
        <v>35</v>
      </c>
      <c r="F157" s="38" t="s">
        <v>60</v>
      </c>
      <c r="G157" s="38">
        <v>55939</v>
      </c>
      <c r="H157" s="43">
        <v>0.26</v>
      </c>
      <c r="I157" s="43">
        <v>0.66</v>
      </c>
      <c r="J157" s="38">
        <v>43</v>
      </c>
      <c r="K157" s="42">
        <v>8729.7209999999995</v>
      </c>
      <c r="L157" s="42">
        <v>2909.91</v>
      </c>
      <c r="M157" s="38">
        <v>0</v>
      </c>
    </row>
    <row r="158" spans="1:13" ht="15" customHeight="1" x14ac:dyDescent="0.3">
      <c r="A158" s="38" t="s">
        <v>392</v>
      </c>
      <c r="B158" s="40">
        <v>31448</v>
      </c>
      <c r="C158" s="41">
        <v>9.5000000000000001E-2</v>
      </c>
      <c r="D158" s="38">
        <v>36</v>
      </c>
      <c r="E158" s="38" t="s">
        <v>35</v>
      </c>
      <c r="F158" s="38" t="s">
        <v>71</v>
      </c>
      <c r="G158" s="38">
        <v>101246</v>
      </c>
      <c r="H158" s="43">
        <v>0.16</v>
      </c>
      <c r="I158" s="43">
        <v>0.81</v>
      </c>
      <c r="J158" s="38">
        <v>43</v>
      </c>
      <c r="K158" s="42">
        <v>8962.68</v>
      </c>
      <c r="L158" s="42">
        <v>2987.56</v>
      </c>
      <c r="M158" s="38">
        <v>0</v>
      </c>
    </row>
    <row r="159" spans="1:13" ht="15" customHeight="1" x14ac:dyDescent="0.3">
      <c r="A159" s="44" t="s">
        <v>394</v>
      </c>
      <c r="B159" s="46">
        <v>8906</v>
      </c>
      <c r="C159" s="47">
        <v>0.06</v>
      </c>
      <c r="D159" s="44">
        <v>36</v>
      </c>
      <c r="E159" s="44" t="s">
        <v>36</v>
      </c>
      <c r="F159" s="44" t="s">
        <v>80</v>
      </c>
      <c r="G159" s="44">
        <v>95901</v>
      </c>
      <c r="H159" s="49">
        <v>0.5</v>
      </c>
      <c r="I159" s="49">
        <v>0.72</v>
      </c>
      <c r="J159" s="44">
        <v>43</v>
      </c>
      <c r="K159" s="48">
        <v>1603.08</v>
      </c>
      <c r="L159" s="48">
        <v>-5934.24</v>
      </c>
      <c r="M159" s="44">
        <v>0</v>
      </c>
    </row>
    <row r="160" spans="1:13" ht="15" customHeight="1" x14ac:dyDescent="0.3">
      <c r="A160" s="50" t="s">
        <v>396</v>
      </c>
      <c r="B160" s="52">
        <v>1968</v>
      </c>
      <c r="C160" s="53">
        <v>0.17899999999999999</v>
      </c>
      <c r="D160" s="50">
        <v>36</v>
      </c>
      <c r="E160" s="50" t="s">
        <v>38</v>
      </c>
      <c r="F160" s="50" t="s">
        <v>83</v>
      </c>
      <c r="G160" s="50">
        <v>139373</v>
      </c>
      <c r="H160" s="55">
        <v>0.28000000000000003</v>
      </c>
      <c r="I160" s="55">
        <v>0.7</v>
      </c>
      <c r="J160" s="50">
        <v>42.9</v>
      </c>
      <c r="K160" s="54">
        <v>1056.816</v>
      </c>
      <c r="L160" s="54">
        <v>-1968</v>
      </c>
      <c r="M160" s="50">
        <v>1</v>
      </c>
    </row>
    <row r="161" spans="1:13" ht="15" customHeight="1" x14ac:dyDescent="0.3">
      <c r="A161" s="38" t="s">
        <v>398</v>
      </c>
      <c r="B161" s="40">
        <v>12722</v>
      </c>
      <c r="C161" s="41">
        <v>7.3999999999999996E-2</v>
      </c>
      <c r="D161" s="38">
        <v>60</v>
      </c>
      <c r="E161" s="38" t="s">
        <v>35</v>
      </c>
      <c r="F161" s="38" t="s">
        <v>66</v>
      </c>
      <c r="G161" s="38">
        <v>46999</v>
      </c>
      <c r="H161" s="43">
        <v>0.19</v>
      </c>
      <c r="I161" s="43">
        <v>0.88</v>
      </c>
      <c r="J161" s="38">
        <v>42.9</v>
      </c>
      <c r="K161" s="42">
        <v>4707.1400000000003</v>
      </c>
      <c r="L161" s="42">
        <v>941.43</v>
      </c>
      <c r="M161" s="38">
        <v>0</v>
      </c>
    </row>
    <row r="162" spans="1:13" ht="15" customHeight="1" x14ac:dyDescent="0.3">
      <c r="A162" s="38" t="s">
        <v>400</v>
      </c>
      <c r="B162" s="40">
        <v>37766</v>
      </c>
      <c r="C162" s="41">
        <v>0.20799999999999999</v>
      </c>
      <c r="D162" s="38">
        <v>60</v>
      </c>
      <c r="E162" s="38" t="s">
        <v>35</v>
      </c>
      <c r="F162" s="38" t="s">
        <v>80</v>
      </c>
      <c r="G162" s="38">
        <v>66607</v>
      </c>
      <c r="H162" s="43">
        <v>0.34</v>
      </c>
      <c r="I162" s="43">
        <v>0.67</v>
      </c>
      <c r="J162" s="38">
        <v>42.9</v>
      </c>
      <c r="K162" s="42">
        <v>39276.639999999999</v>
      </c>
      <c r="L162" s="42">
        <v>7855.33</v>
      </c>
      <c r="M162" s="38">
        <v>0</v>
      </c>
    </row>
    <row r="163" spans="1:13" ht="15" customHeight="1" x14ac:dyDescent="0.3">
      <c r="A163" s="44" t="s">
        <v>402</v>
      </c>
      <c r="B163" s="46">
        <v>12138</v>
      </c>
      <c r="C163" s="47">
        <v>0.186</v>
      </c>
      <c r="D163" s="44">
        <v>60</v>
      </c>
      <c r="E163" s="44" t="s">
        <v>36</v>
      </c>
      <c r="F163" s="44" t="s">
        <v>66</v>
      </c>
      <c r="G163" s="44">
        <v>84195</v>
      </c>
      <c r="H163" s="49">
        <v>0.44</v>
      </c>
      <c r="I163" s="49">
        <v>0.87</v>
      </c>
      <c r="J163" s="44">
        <v>42.9</v>
      </c>
      <c r="K163" s="48">
        <v>11288.34</v>
      </c>
      <c r="L163" s="48">
        <v>-8668.75</v>
      </c>
      <c r="M163" s="44">
        <v>0</v>
      </c>
    </row>
    <row r="164" spans="1:13" ht="15" customHeight="1" x14ac:dyDescent="0.3">
      <c r="A164" s="38" t="s">
        <v>404</v>
      </c>
      <c r="B164" s="40">
        <v>9533</v>
      </c>
      <c r="C164" s="41">
        <v>0.223</v>
      </c>
      <c r="D164" s="38">
        <v>36</v>
      </c>
      <c r="E164" s="38" t="s">
        <v>35</v>
      </c>
      <c r="F164" s="38" t="s">
        <v>83</v>
      </c>
      <c r="G164" s="38">
        <v>85021</v>
      </c>
      <c r="H164" s="43">
        <v>0.19</v>
      </c>
      <c r="I164" s="43">
        <v>0.76</v>
      </c>
      <c r="J164" s="38">
        <v>42.8</v>
      </c>
      <c r="K164" s="42">
        <v>6377.5770000000002</v>
      </c>
      <c r="L164" s="42">
        <v>2125.86</v>
      </c>
      <c r="M164" s="38">
        <v>0</v>
      </c>
    </row>
    <row r="165" spans="1:13" ht="15" customHeight="1" x14ac:dyDescent="0.3">
      <c r="A165" s="38" t="s">
        <v>406</v>
      </c>
      <c r="B165" s="40">
        <v>12303</v>
      </c>
      <c r="C165" s="41">
        <v>0.22600000000000001</v>
      </c>
      <c r="D165" s="38">
        <v>60</v>
      </c>
      <c r="E165" s="38" t="s">
        <v>35</v>
      </c>
      <c r="F165" s="38" t="s">
        <v>71</v>
      </c>
      <c r="G165" s="38">
        <v>93344</v>
      </c>
      <c r="H165" s="43">
        <v>0.14000000000000001</v>
      </c>
      <c r="I165" s="43">
        <v>0.88</v>
      </c>
      <c r="J165" s="38">
        <v>42.8</v>
      </c>
      <c r="K165" s="42">
        <v>13902.39</v>
      </c>
      <c r="L165" s="42">
        <v>2780.48</v>
      </c>
      <c r="M165" s="38">
        <v>0</v>
      </c>
    </row>
    <row r="166" spans="1:13" ht="15" customHeight="1" x14ac:dyDescent="0.3">
      <c r="A166" s="38" t="s">
        <v>408</v>
      </c>
      <c r="B166" s="40">
        <v>21017</v>
      </c>
      <c r="C166" s="41">
        <v>0.155</v>
      </c>
      <c r="D166" s="38">
        <v>36</v>
      </c>
      <c r="E166" s="38" t="s">
        <v>35</v>
      </c>
      <c r="F166" s="38" t="s">
        <v>71</v>
      </c>
      <c r="G166" s="38">
        <v>55380</v>
      </c>
      <c r="H166" s="43">
        <v>0.41</v>
      </c>
      <c r="I166" s="43">
        <v>0.64</v>
      </c>
      <c r="J166" s="38">
        <v>42.7</v>
      </c>
      <c r="K166" s="42">
        <v>9772.9050000000007</v>
      </c>
      <c r="L166" s="42">
        <v>3257.64</v>
      </c>
      <c r="M166" s="38">
        <v>0</v>
      </c>
    </row>
    <row r="167" spans="1:13" ht="15" customHeight="1" x14ac:dyDescent="0.3">
      <c r="A167" s="38" t="s">
        <v>410</v>
      </c>
      <c r="B167" s="40">
        <v>18764</v>
      </c>
      <c r="C167" s="41">
        <v>9.5000000000000001E-2</v>
      </c>
      <c r="D167" s="38">
        <v>36</v>
      </c>
      <c r="E167" s="38" t="s">
        <v>35</v>
      </c>
      <c r="F167" s="38" t="s">
        <v>114</v>
      </c>
      <c r="G167" s="38">
        <v>108278</v>
      </c>
      <c r="H167" s="43">
        <v>0.24</v>
      </c>
      <c r="I167" s="43">
        <v>0.76</v>
      </c>
      <c r="J167" s="38">
        <v>42.7</v>
      </c>
      <c r="K167" s="42">
        <v>5347.74</v>
      </c>
      <c r="L167" s="42">
        <v>1782.58</v>
      </c>
      <c r="M167" s="38">
        <v>0</v>
      </c>
    </row>
    <row r="168" spans="1:13" ht="15" customHeight="1" x14ac:dyDescent="0.3">
      <c r="A168" s="44" t="s">
        <v>412</v>
      </c>
      <c r="B168" s="46">
        <v>1060</v>
      </c>
      <c r="C168" s="47">
        <v>0.17299999999999999</v>
      </c>
      <c r="D168" s="44">
        <v>60</v>
      </c>
      <c r="E168" s="44" t="s">
        <v>36</v>
      </c>
      <c r="F168" s="44" t="s">
        <v>83</v>
      </c>
      <c r="G168" s="44">
        <v>54123</v>
      </c>
      <c r="H168" s="49">
        <v>0.49</v>
      </c>
      <c r="I168" s="49">
        <v>0.59</v>
      </c>
      <c r="J168" s="44">
        <v>42.7</v>
      </c>
      <c r="K168" s="48">
        <v>916.9</v>
      </c>
      <c r="L168" s="48">
        <v>-720.45</v>
      </c>
      <c r="M168" s="44">
        <v>0</v>
      </c>
    </row>
    <row r="169" spans="1:13" ht="15" customHeight="1" x14ac:dyDescent="0.3">
      <c r="A169" s="44" t="s">
        <v>414</v>
      </c>
      <c r="B169" s="46">
        <v>10074</v>
      </c>
      <c r="C169" s="47">
        <v>0.13700000000000001</v>
      </c>
      <c r="D169" s="44">
        <v>36</v>
      </c>
      <c r="E169" s="44" t="s">
        <v>36</v>
      </c>
      <c r="F169" s="44" t="s">
        <v>60</v>
      </c>
      <c r="G169" s="44">
        <v>85161</v>
      </c>
      <c r="H169" s="49">
        <v>0.45</v>
      </c>
      <c r="I169" s="49">
        <v>0.89</v>
      </c>
      <c r="J169" s="44">
        <v>42.7</v>
      </c>
      <c r="K169" s="48">
        <v>4140.4139999999998</v>
      </c>
      <c r="L169" s="48">
        <v>-5722.65</v>
      </c>
      <c r="M169" s="44">
        <v>0</v>
      </c>
    </row>
    <row r="170" spans="1:13" ht="15" customHeight="1" x14ac:dyDescent="0.3">
      <c r="A170" s="44" t="s">
        <v>416</v>
      </c>
      <c r="B170" s="46">
        <v>32238</v>
      </c>
      <c r="C170" s="47">
        <v>0.23</v>
      </c>
      <c r="D170" s="44">
        <v>60</v>
      </c>
      <c r="E170" s="44" t="s">
        <v>36</v>
      </c>
      <c r="F170" s="44" t="s">
        <v>80</v>
      </c>
      <c r="G170" s="44">
        <v>48395</v>
      </c>
      <c r="H170" s="49">
        <v>0.48</v>
      </c>
      <c r="I170" s="49">
        <v>0.66</v>
      </c>
      <c r="J170" s="44">
        <v>42.6</v>
      </c>
      <c r="K170" s="48">
        <v>37073.699999999997</v>
      </c>
      <c r="L170" s="48">
        <v>-28628.06</v>
      </c>
      <c r="M170" s="44">
        <v>0</v>
      </c>
    </row>
    <row r="171" spans="1:13" ht="15" customHeight="1" x14ac:dyDescent="0.3">
      <c r="A171" s="56" t="s">
        <v>418</v>
      </c>
      <c r="B171" s="58">
        <v>13595</v>
      </c>
      <c r="C171" s="59">
        <v>0.222</v>
      </c>
      <c r="D171" s="56">
        <v>36</v>
      </c>
      <c r="E171" s="56" t="s">
        <v>37</v>
      </c>
      <c r="F171" s="56" t="s">
        <v>257</v>
      </c>
      <c r="G171" s="56">
        <v>36901</v>
      </c>
      <c r="H171" s="61">
        <v>0.32</v>
      </c>
      <c r="I171" s="61">
        <v>0.73</v>
      </c>
      <c r="J171" s="56">
        <v>42.5</v>
      </c>
      <c r="K171" s="60">
        <v>9054.27</v>
      </c>
      <c r="L171" s="60">
        <v>-11389.88</v>
      </c>
      <c r="M171" s="56">
        <v>1</v>
      </c>
    </row>
    <row r="172" spans="1:13" ht="15" customHeight="1" x14ac:dyDescent="0.3">
      <c r="A172" s="38" t="s">
        <v>420</v>
      </c>
      <c r="B172" s="40">
        <v>24150</v>
      </c>
      <c r="C172" s="41">
        <v>6.7000000000000004E-2</v>
      </c>
      <c r="D172" s="38">
        <v>60</v>
      </c>
      <c r="E172" s="38" t="s">
        <v>35</v>
      </c>
      <c r="F172" s="38" t="s">
        <v>71</v>
      </c>
      <c r="G172" s="38">
        <v>77937</v>
      </c>
      <c r="H172" s="43">
        <v>0.12</v>
      </c>
      <c r="I172" s="43">
        <v>0.87</v>
      </c>
      <c r="J172" s="38">
        <v>42.5</v>
      </c>
      <c r="K172" s="42">
        <v>8090.25</v>
      </c>
      <c r="L172" s="42">
        <v>1618.05</v>
      </c>
      <c r="M172" s="38">
        <v>0</v>
      </c>
    </row>
    <row r="173" spans="1:13" ht="15" customHeight="1" x14ac:dyDescent="0.3">
      <c r="A173" s="56" t="s">
        <v>422</v>
      </c>
      <c r="B173" s="58">
        <v>19311</v>
      </c>
      <c r="C173" s="59">
        <v>0.104</v>
      </c>
      <c r="D173" s="56">
        <v>36</v>
      </c>
      <c r="E173" s="56" t="s">
        <v>37</v>
      </c>
      <c r="F173" s="56" t="s">
        <v>80</v>
      </c>
      <c r="G173" s="56">
        <v>144879</v>
      </c>
      <c r="H173" s="61">
        <v>0.2</v>
      </c>
      <c r="I173" s="61">
        <v>0.56000000000000005</v>
      </c>
      <c r="J173" s="56">
        <v>42.5</v>
      </c>
      <c r="K173" s="60">
        <v>6025.0320000000002</v>
      </c>
      <c r="L173" s="60">
        <v>-16065.08</v>
      </c>
      <c r="M173" s="56">
        <v>1</v>
      </c>
    </row>
    <row r="174" spans="1:13" ht="15" customHeight="1" x14ac:dyDescent="0.3">
      <c r="A174" s="38" t="s">
        <v>424</v>
      </c>
      <c r="B174" s="40">
        <v>37877</v>
      </c>
      <c r="C174" s="41">
        <v>0.17</v>
      </c>
      <c r="D174" s="38">
        <v>36</v>
      </c>
      <c r="E174" s="38" t="s">
        <v>35</v>
      </c>
      <c r="F174" s="38" t="s">
        <v>60</v>
      </c>
      <c r="G174" s="38">
        <v>132274</v>
      </c>
      <c r="H174" s="43">
        <v>0.45</v>
      </c>
      <c r="I174" s="43">
        <v>0.53</v>
      </c>
      <c r="J174" s="38">
        <v>42.4</v>
      </c>
      <c r="K174" s="42">
        <v>19317.27</v>
      </c>
      <c r="L174" s="42">
        <v>6439.09</v>
      </c>
      <c r="M174" s="38">
        <v>0</v>
      </c>
    </row>
    <row r="175" spans="1:13" ht="15" customHeight="1" x14ac:dyDescent="0.3">
      <c r="A175" s="38" t="s">
        <v>426</v>
      </c>
      <c r="B175" s="40">
        <v>4040</v>
      </c>
      <c r="C175" s="41">
        <v>6.8000000000000005E-2</v>
      </c>
      <c r="D175" s="38">
        <v>36</v>
      </c>
      <c r="E175" s="38" t="s">
        <v>35</v>
      </c>
      <c r="F175" s="38" t="s">
        <v>80</v>
      </c>
      <c r="G175" s="38">
        <v>120020</v>
      </c>
      <c r="H175" s="43">
        <v>0.35</v>
      </c>
      <c r="I175" s="43">
        <v>0.85</v>
      </c>
      <c r="J175" s="38">
        <v>42.3</v>
      </c>
      <c r="K175" s="42">
        <v>824.16</v>
      </c>
      <c r="L175" s="42">
        <v>274.72000000000003</v>
      </c>
      <c r="M175" s="38">
        <v>0</v>
      </c>
    </row>
    <row r="176" spans="1:13" ht="15" customHeight="1" x14ac:dyDescent="0.3">
      <c r="A176" s="38" t="s">
        <v>428</v>
      </c>
      <c r="B176" s="40">
        <v>26963</v>
      </c>
      <c r="C176" s="41">
        <v>0.20799999999999999</v>
      </c>
      <c r="D176" s="38">
        <v>36</v>
      </c>
      <c r="E176" s="38" t="s">
        <v>35</v>
      </c>
      <c r="F176" s="38" t="s">
        <v>66</v>
      </c>
      <c r="G176" s="38">
        <v>107694</v>
      </c>
      <c r="H176" s="43">
        <v>0.23</v>
      </c>
      <c r="I176" s="43">
        <v>0.53</v>
      </c>
      <c r="J176" s="38">
        <v>42.3</v>
      </c>
      <c r="K176" s="42">
        <v>16824.912</v>
      </c>
      <c r="L176" s="42">
        <v>5608.3</v>
      </c>
      <c r="M176" s="38">
        <v>0</v>
      </c>
    </row>
    <row r="177" spans="1:13" ht="15" customHeight="1" x14ac:dyDescent="0.3">
      <c r="A177" s="38" t="s">
        <v>430</v>
      </c>
      <c r="B177" s="40">
        <v>24253</v>
      </c>
      <c r="C177" s="41">
        <v>0.10100000000000001</v>
      </c>
      <c r="D177" s="38">
        <v>60</v>
      </c>
      <c r="E177" s="38" t="s">
        <v>35</v>
      </c>
      <c r="F177" s="38" t="s">
        <v>60</v>
      </c>
      <c r="G177" s="38">
        <v>131607</v>
      </c>
      <c r="H177" s="43">
        <v>0.43</v>
      </c>
      <c r="I177" s="43">
        <v>0.92</v>
      </c>
      <c r="J177" s="38">
        <v>42.3</v>
      </c>
      <c r="K177" s="42">
        <v>12247.764999999999</v>
      </c>
      <c r="L177" s="42">
        <v>2449.5500000000002</v>
      </c>
      <c r="M177" s="38">
        <v>0</v>
      </c>
    </row>
    <row r="178" spans="1:13" ht="15" customHeight="1" x14ac:dyDescent="0.3">
      <c r="A178" s="38" t="s">
        <v>432</v>
      </c>
      <c r="B178" s="40">
        <v>27911</v>
      </c>
      <c r="C178" s="41">
        <v>0.1</v>
      </c>
      <c r="D178" s="38">
        <v>60</v>
      </c>
      <c r="E178" s="38" t="s">
        <v>35</v>
      </c>
      <c r="F178" s="38" t="s">
        <v>83</v>
      </c>
      <c r="G178" s="38">
        <v>85863</v>
      </c>
      <c r="H178" s="43">
        <v>0.34</v>
      </c>
      <c r="I178" s="43">
        <v>0.54</v>
      </c>
      <c r="J178" s="38">
        <v>42.3</v>
      </c>
      <c r="K178" s="42">
        <v>13955.5</v>
      </c>
      <c r="L178" s="42">
        <v>2791.1</v>
      </c>
      <c r="M178" s="38">
        <v>0</v>
      </c>
    </row>
    <row r="179" spans="1:13" ht="15" customHeight="1" x14ac:dyDescent="0.3">
      <c r="A179" s="44" t="s">
        <v>434</v>
      </c>
      <c r="B179" s="46">
        <v>17653</v>
      </c>
      <c r="C179" s="47">
        <v>8.3000000000000004E-2</v>
      </c>
      <c r="D179" s="44">
        <v>36</v>
      </c>
      <c r="E179" s="44" t="s">
        <v>36</v>
      </c>
      <c r="F179" s="44" t="s">
        <v>80</v>
      </c>
      <c r="G179" s="44">
        <v>73856</v>
      </c>
      <c r="H179" s="49">
        <v>0.21</v>
      </c>
      <c r="I179" s="49">
        <v>0.55000000000000004</v>
      </c>
      <c r="J179" s="44">
        <v>42.2</v>
      </c>
      <c r="K179" s="48">
        <v>4395.5969999999998</v>
      </c>
      <c r="L179" s="48">
        <v>-16542.91</v>
      </c>
      <c r="M179" s="44">
        <v>0</v>
      </c>
    </row>
    <row r="180" spans="1:13" ht="15" customHeight="1" x14ac:dyDescent="0.3">
      <c r="A180" s="38" t="s">
        <v>436</v>
      </c>
      <c r="B180" s="40">
        <v>32552</v>
      </c>
      <c r="C180" s="41">
        <v>0.129</v>
      </c>
      <c r="D180" s="38">
        <v>36</v>
      </c>
      <c r="E180" s="38" t="s">
        <v>35</v>
      </c>
      <c r="F180" s="38" t="s">
        <v>66</v>
      </c>
      <c r="G180" s="38">
        <v>81493</v>
      </c>
      <c r="H180" s="43">
        <v>0.21</v>
      </c>
      <c r="I180" s="43">
        <v>0.75</v>
      </c>
      <c r="J180" s="38">
        <v>42.2</v>
      </c>
      <c r="K180" s="42">
        <v>12597.624</v>
      </c>
      <c r="L180" s="42">
        <v>4199.21</v>
      </c>
      <c r="M180" s="38">
        <v>0</v>
      </c>
    </row>
    <row r="181" spans="1:13" ht="15" customHeight="1" x14ac:dyDescent="0.3">
      <c r="A181" s="44" t="s">
        <v>438</v>
      </c>
      <c r="B181" s="46">
        <v>11361</v>
      </c>
      <c r="C181" s="47">
        <v>7.5999999999999998E-2</v>
      </c>
      <c r="D181" s="44">
        <v>60</v>
      </c>
      <c r="E181" s="44" t="s">
        <v>36</v>
      </c>
      <c r="F181" s="44" t="s">
        <v>66</v>
      </c>
      <c r="G181" s="44">
        <v>39076</v>
      </c>
      <c r="H181" s="49">
        <v>0.25</v>
      </c>
      <c r="I181" s="49">
        <v>0.66</v>
      </c>
      <c r="J181" s="44">
        <v>42.2</v>
      </c>
      <c r="K181" s="48">
        <v>4317.18</v>
      </c>
      <c r="L181" s="48">
        <v>-8699.31</v>
      </c>
      <c r="M181" s="44">
        <v>0</v>
      </c>
    </row>
    <row r="182" spans="1:13" ht="15" customHeight="1" x14ac:dyDescent="0.3">
      <c r="A182" s="38" t="s">
        <v>440</v>
      </c>
      <c r="B182" s="40">
        <v>32290</v>
      </c>
      <c r="C182" s="41">
        <v>8.7999999999999995E-2</v>
      </c>
      <c r="D182" s="38">
        <v>36</v>
      </c>
      <c r="E182" s="38" t="s">
        <v>35</v>
      </c>
      <c r="F182" s="38" t="s">
        <v>83</v>
      </c>
      <c r="G182" s="38">
        <v>144589</v>
      </c>
      <c r="H182" s="43">
        <v>0.25</v>
      </c>
      <c r="I182" s="43">
        <v>0.63</v>
      </c>
      <c r="J182" s="38">
        <v>42</v>
      </c>
      <c r="K182" s="42">
        <v>8524.56</v>
      </c>
      <c r="L182" s="42">
        <v>2841.52</v>
      </c>
      <c r="M182" s="38">
        <v>0</v>
      </c>
    </row>
    <row r="183" spans="1:13" ht="15" customHeight="1" x14ac:dyDescent="0.3">
      <c r="A183" s="38" t="s">
        <v>442</v>
      </c>
      <c r="B183" s="40">
        <v>31874</v>
      </c>
      <c r="C183" s="41">
        <v>0.192</v>
      </c>
      <c r="D183" s="38">
        <v>36</v>
      </c>
      <c r="E183" s="38" t="s">
        <v>35</v>
      </c>
      <c r="F183" s="38" t="s">
        <v>83</v>
      </c>
      <c r="G183" s="38">
        <v>69019</v>
      </c>
      <c r="H183" s="43">
        <v>0.15</v>
      </c>
      <c r="I183" s="43">
        <v>0.64</v>
      </c>
      <c r="J183" s="38">
        <v>42</v>
      </c>
      <c r="K183" s="42">
        <v>18359.423999999999</v>
      </c>
      <c r="L183" s="42">
        <v>6119.81</v>
      </c>
      <c r="M183" s="38">
        <v>0</v>
      </c>
    </row>
    <row r="184" spans="1:13" ht="15" customHeight="1" x14ac:dyDescent="0.3">
      <c r="A184" s="50" t="s">
        <v>444</v>
      </c>
      <c r="B184" s="52">
        <v>23473</v>
      </c>
      <c r="C184" s="53">
        <v>0.124</v>
      </c>
      <c r="D184" s="50">
        <v>60</v>
      </c>
      <c r="E184" s="50" t="s">
        <v>38</v>
      </c>
      <c r="F184" s="50" t="s">
        <v>66</v>
      </c>
      <c r="G184" s="50">
        <v>55805</v>
      </c>
      <c r="H184" s="55">
        <v>0.23</v>
      </c>
      <c r="I184" s="55">
        <v>0.5</v>
      </c>
      <c r="J184" s="50">
        <v>42</v>
      </c>
      <c r="K184" s="54">
        <v>14553.26</v>
      </c>
      <c r="L184" s="54">
        <v>-23473</v>
      </c>
      <c r="M184" s="50">
        <v>1</v>
      </c>
    </row>
    <row r="185" spans="1:13" ht="15" customHeight="1" x14ac:dyDescent="0.3">
      <c r="A185" s="38" t="s">
        <v>446</v>
      </c>
      <c r="B185" s="40">
        <v>33913</v>
      </c>
      <c r="C185" s="41">
        <v>0.154</v>
      </c>
      <c r="D185" s="38">
        <v>36</v>
      </c>
      <c r="E185" s="38" t="s">
        <v>35</v>
      </c>
      <c r="F185" s="38" t="s">
        <v>114</v>
      </c>
      <c r="G185" s="38">
        <v>74948</v>
      </c>
      <c r="H185" s="43">
        <v>0.23</v>
      </c>
      <c r="I185" s="43">
        <v>0.64</v>
      </c>
      <c r="J185" s="38">
        <v>41.9</v>
      </c>
      <c r="K185" s="42">
        <v>15667.806</v>
      </c>
      <c r="L185" s="42">
        <v>5222.6000000000004</v>
      </c>
      <c r="M185" s="38">
        <v>0</v>
      </c>
    </row>
    <row r="186" spans="1:13" ht="15" customHeight="1" x14ac:dyDescent="0.3">
      <c r="A186" s="38" t="s">
        <v>448</v>
      </c>
      <c r="B186" s="40">
        <v>7960</v>
      </c>
      <c r="C186" s="41">
        <v>0.248</v>
      </c>
      <c r="D186" s="38">
        <v>60</v>
      </c>
      <c r="E186" s="38" t="s">
        <v>35</v>
      </c>
      <c r="F186" s="38" t="s">
        <v>80</v>
      </c>
      <c r="G186" s="38">
        <v>119211</v>
      </c>
      <c r="H186" s="43">
        <v>0.46</v>
      </c>
      <c r="I186" s="43">
        <v>0.75</v>
      </c>
      <c r="J186" s="38">
        <v>41.8</v>
      </c>
      <c r="K186" s="42">
        <v>9870.4</v>
      </c>
      <c r="L186" s="42">
        <v>1974.08</v>
      </c>
      <c r="M186" s="38">
        <v>0</v>
      </c>
    </row>
    <row r="187" spans="1:13" ht="15" customHeight="1" x14ac:dyDescent="0.3">
      <c r="A187" s="44" t="s">
        <v>450</v>
      </c>
      <c r="B187" s="46">
        <v>29706</v>
      </c>
      <c r="C187" s="47">
        <v>6.6000000000000003E-2</v>
      </c>
      <c r="D187" s="44">
        <v>36</v>
      </c>
      <c r="E187" s="44" t="s">
        <v>36</v>
      </c>
      <c r="F187" s="44" t="s">
        <v>60</v>
      </c>
      <c r="G187" s="44">
        <v>74825</v>
      </c>
      <c r="H187" s="49">
        <v>0.3</v>
      </c>
      <c r="I187" s="49">
        <v>0.76</v>
      </c>
      <c r="J187" s="44">
        <v>41.8</v>
      </c>
      <c r="K187" s="48">
        <v>5881.7879999999996</v>
      </c>
      <c r="L187" s="48">
        <v>-16916.62</v>
      </c>
      <c r="M187" s="44">
        <v>0</v>
      </c>
    </row>
    <row r="188" spans="1:13" ht="15" customHeight="1" x14ac:dyDescent="0.3">
      <c r="A188" s="44" t="s">
        <v>452</v>
      </c>
      <c r="B188" s="46">
        <v>28345</v>
      </c>
      <c r="C188" s="47">
        <v>0.14399999999999999</v>
      </c>
      <c r="D188" s="44">
        <v>36</v>
      </c>
      <c r="E188" s="44" t="s">
        <v>36</v>
      </c>
      <c r="F188" s="44" t="s">
        <v>83</v>
      </c>
      <c r="G188" s="44">
        <v>97165</v>
      </c>
      <c r="H188" s="49">
        <v>0.11</v>
      </c>
      <c r="I188" s="49">
        <v>0.78</v>
      </c>
      <c r="J188" s="44">
        <v>41.8</v>
      </c>
      <c r="K188" s="48">
        <v>12245.04</v>
      </c>
      <c r="L188" s="48">
        <v>-16290.94</v>
      </c>
      <c r="M188" s="44">
        <v>0</v>
      </c>
    </row>
    <row r="189" spans="1:13" ht="15" customHeight="1" x14ac:dyDescent="0.3">
      <c r="A189" s="38" t="s">
        <v>454</v>
      </c>
      <c r="B189" s="40">
        <v>22874</v>
      </c>
      <c r="C189" s="41">
        <v>0.24399999999999999</v>
      </c>
      <c r="D189" s="38">
        <v>60</v>
      </c>
      <c r="E189" s="38" t="s">
        <v>35</v>
      </c>
      <c r="F189" s="38" t="s">
        <v>71</v>
      </c>
      <c r="G189" s="38">
        <v>68759</v>
      </c>
      <c r="H189" s="43">
        <v>0.2</v>
      </c>
      <c r="I189" s="43">
        <v>0.78</v>
      </c>
      <c r="J189" s="38">
        <v>41.8</v>
      </c>
      <c r="K189" s="42">
        <v>27906.28</v>
      </c>
      <c r="L189" s="42">
        <v>5581.26</v>
      </c>
      <c r="M189" s="38">
        <v>0</v>
      </c>
    </row>
    <row r="190" spans="1:13" ht="15" customHeight="1" x14ac:dyDescent="0.3">
      <c r="A190" s="38" t="s">
        <v>456</v>
      </c>
      <c r="B190" s="40">
        <v>27292</v>
      </c>
      <c r="C190" s="41">
        <v>0.24299999999999999</v>
      </c>
      <c r="D190" s="38">
        <v>36</v>
      </c>
      <c r="E190" s="38" t="s">
        <v>35</v>
      </c>
      <c r="F190" s="38" t="s">
        <v>83</v>
      </c>
      <c r="G190" s="38">
        <v>36644</v>
      </c>
      <c r="H190" s="43">
        <v>0.48</v>
      </c>
      <c r="I190" s="43">
        <v>0.84</v>
      </c>
      <c r="J190" s="38">
        <v>41.7</v>
      </c>
      <c r="K190" s="42">
        <v>19895.867999999999</v>
      </c>
      <c r="L190" s="42">
        <v>6631.96</v>
      </c>
      <c r="M190" s="38">
        <v>0</v>
      </c>
    </row>
    <row r="191" spans="1:13" ht="15" customHeight="1" x14ac:dyDescent="0.3">
      <c r="A191" s="38" t="s">
        <v>458</v>
      </c>
      <c r="B191" s="40">
        <v>4762</v>
      </c>
      <c r="C191" s="41">
        <v>6.4000000000000001E-2</v>
      </c>
      <c r="D191" s="38">
        <v>60</v>
      </c>
      <c r="E191" s="38" t="s">
        <v>35</v>
      </c>
      <c r="F191" s="38" t="s">
        <v>83</v>
      </c>
      <c r="G191" s="38">
        <v>135686</v>
      </c>
      <c r="H191" s="43">
        <v>0.46</v>
      </c>
      <c r="I191" s="43">
        <v>0.8</v>
      </c>
      <c r="J191" s="38">
        <v>41.7</v>
      </c>
      <c r="K191" s="42">
        <v>1523.84</v>
      </c>
      <c r="L191" s="42">
        <v>304.77</v>
      </c>
      <c r="M191" s="38">
        <v>0</v>
      </c>
    </row>
    <row r="192" spans="1:13" ht="15" customHeight="1" x14ac:dyDescent="0.3">
      <c r="A192" s="44" t="s">
        <v>460</v>
      </c>
      <c r="B192" s="46">
        <v>32497</v>
      </c>
      <c r="C192" s="47">
        <v>0.14099999999999999</v>
      </c>
      <c r="D192" s="44">
        <v>36</v>
      </c>
      <c r="E192" s="44" t="s">
        <v>36</v>
      </c>
      <c r="F192" s="44" t="s">
        <v>83</v>
      </c>
      <c r="G192" s="44">
        <v>40377</v>
      </c>
      <c r="H192" s="49">
        <v>0.14000000000000001</v>
      </c>
      <c r="I192" s="49">
        <v>0.65</v>
      </c>
      <c r="J192" s="44">
        <v>41.6</v>
      </c>
      <c r="K192" s="48">
        <v>13746.231</v>
      </c>
      <c r="L192" s="48">
        <v>-20713.509999999998</v>
      </c>
      <c r="M192" s="44">
        <v>0</v>
      </c>
    </row>
    <row r="193" spans="1:13" ht="15" customHeight="1" x14ac:dyDescent="0.3">
      <c r="A193" s="44" t="s">
        <v>462</v>
      </c>
      <c r="B193" s="46">
        <v>23668</v>
      </c>
      <c r="C193" s="47">
        <v>0.17799999999999999</v>
      </c>
      <c r="D193" s="44">
        <v>36</v>
      </c>
      <c r="E193" s="44" t="s">
        <v>36</v>
      </c>
      <c r="F193" s="44" t="s">
        <v>60</v>
      </c>
      <c r="G193" s="44">
        <v>45549</v>
      </c>
      <c r="H193" s="49">
        <v>0.38</v>
      </c>
      <c r="I193" s="49">
        <v>0.94</v>
      </c>
      <c r="J193" s="44">
        <v>41.6</v>
      </c>
      <c r="K193" s="48">
        <v>12638.712</v>
      </c>
      <c r="L193" s="48">
        <v>-17246.509999999998</v>
      </c>
      <c r="M193" s="44">
        <v>0</v>
      </c>
    </row>
    <row r="194" spans="1:13" ht="15" customHeight="1" x14ac:dyDescent="0.3">
      <c r="A194" s="44" t="s">
        <v>464</v>
      </c>
      <c r="B194" s="46">
        <v>1661</v>
      </c>
      <c r="C194" s="47">
        <v>0.14299999999999999</v>
      </c>
      <c r="D194" s="44">
        <v>60</v>
      </c>
      <c r="E194" s="44" t="s">
        <v>36</v>
      </c>
      <c r="F194" s="44" t="s">
        <v>114</v>
      </c>
      <c r="G194" s="44">
        <v>31961</v>
      </c>
      <c r="H194" s="49">
        <v>0.28000000000000003</v>
      </c>
      <c r="I194" s="49">
        <v>0.68</v>
      </c>
      <c r="J194" s="44">
        <v>41.6</v>
      </c>
      <c r="K194" s="48">
        <v>1187.615</v>
      </c>
      <c r="L194" s="48">
        <v>-1463.78</v>
      </c>
      <c r="M194" s="44">
        <v>0</v>
      </c>
    </row>
    <row r="195" spans="1:13" ht="15" customHeight="1" x14ac:dyDescent="0.3">
      <c r="A195" s="44" t="s">
        <v>466</v>
      </c>
      <c r="B195" s="46">
        <v>3050</v>
      </c>
      <c r="C195" s="47">
        <v>0.189</v>
      </c>
      <c r="D195" s="44">
        <v>60</v>
      </c>
      <c r="E195" s="44" t="s">
        <v>36</v>
      </c>
      <c r="F195" s="44" t="s">
        <v>60</v>
      </c>
      <c r="G195" s="44">
        <v>108976</v>
      </c>
      <c r="H195" s="49">
        <v>0.18</v>
      </c>
      <c r="I195" s="49">
        <v>0.92</v>
      </c>
      <c r="J195" s="44">
        <v>41.5</v>
      </c>
      <c r="K195" s="48">
        <v>2882.25</v>
      </c>
      <c r="L195" s="48">
        <v>-2705.46</v>
      </c>
      <c r="M195" s="44">
        <v>0</v>
      </c>
    </row>
    <row r="196" spans="1:13" ht="15" customHeight="1" x14ac:dyDescent="0.3">
      <c r="A196" s="38" t="s">
        <v>468</v>
      </c>
      <c r="B196" s="40">
        <v>11756</v>
      </c>
      <c r="C196" s="41">
        <v>0.16</v>
      </c>
      <c r="D196" s="38">
        <v>36</v>
      </c>
      <c r="E196" s="38" t="s">
        <v>35</v>
      </c>
      <c r="F196" s="38" t="s">
        <v>60</v>
      </c>
      <c r="G196" s="38">
        <v>129555</v>
      </c>
      <c r="H196" s="43">
        <v>0.41</v>
      </c>
      <c r="I196" s="43">
        <v>0.61</v>
      </c>
      <c r="J196" s="38">
        <v>41.5</v>
      </c>
      <c r="K196" s="42">
        <v>5642.88</v>
      </c>
      <c r="L196" s="42">
        <v>1880.96</v>
      </c>
      <c r="M196" s="38">
        <v>0</v>
      </c>
    </row>
    <row r="197" spans="1:13" ht="15" customHeight="1" x14ac:dyDescent="0.3">
      <c r="A197" s="38" t="s">
        <v>470</v>
      </c>
      <c r="B197" s="40">
        <v>38641</v>
      </c>
      <c r="C197" s="41">
        <v>0.187</v>
      </c>
      <c r="D197" s="38">
        <v>60</v>
      </c>
      <c r="E197" s="38" t="s">
        <v>35</v>
      </c>
      <c r="F197" s="38" t="s">
        <v>71</v>
      </c>
      <c r="G197" s="38">
        <v>50176</v>
      </c>
      <c r="H197" s="43">
        <v>0.23</v>
      </c>
      <c r="I197" s="43">
        <v>0.64</v>
      </c>
      <c r="J197" s="38">
        <v>41.4</v>
      </c>
      <c r="K197" s="42">
        <v>36129.334999999999</v>
      </c>
      <c r="L197" s="42">
        <v>7225.87</v>
      </c>
      <c r="M197" s="38">
        <v>0</v>
      </c>
    </row>
    <row r="198" spans="1:13" ht="15" customHeight="1" x14ac:dyDescent="0.3">
      <c r="A198" s="38" t="s">
        <v>472</v>
      </c>
      <c r="B198" s="40">
        <v>35594</v>
      </c>
      <c r="C198" s="41">
        <v>0.15</v>
      </c>
      <c r="D198" s="38">
        <v>60</v>
      </c>
      <c r="E198" s="38" t="s">
        <v>35</v>
      </c>
      <c r="F198" s="38" t="s">
        <v>83</v>
      </c>
      <c r="G198" s="38">
        <v>97766</v>
      </c>
      <c r="H198" s="43">
        <v>0.31</v>
      </c>
      <c r="I198" s="43">
        <v>0.76</v>
      </c>
      <c r="J198" s="38">
        <v>41.4</v>
      </c>
      <c r="K198" s="42">
        <v>26695.5</v>
      </c>
      <c r="L198" s="42">
        <v>5339.1</v>
      </c>
      <c r="M198" s="38">
        <v>0</v>
      </c>
    </row>
    <row r="199" spans="1:13" ht="15" customHeight="1" x14ac:dyDescent="0.3">
      <c r="A199" s="38" t="s">
        <v>474</v>
      </c>
      <c r="B199" s="40">
        <v>10130</v>
      </c>
      <c r="C199" s="41">
        <v>8.1000000000000003E-2</v>
      </c>
      <c r="D199" s="38">
        <v>60</v>
      </c>
      <c r="E199" s="38" t="s">
        <v>35</v>
      </c>
      <c r="F199" s="38" t="s">
        <v>80</v>
      </c>
      <c r="G199" s="38">
        <v>117923</v>
      </c>
      <c r="H199" s="43">
        <v>0.2</v>
      </c>
      <c r="I199" s="43">
        <v>0.71</v>
      </c>
      <c r="J199" s="38">
        <v>41.4</v>
      </c>
      <c r="K199" s="42">
        <v>4102.6499999999996</v>
      </c>
      <c r="L199" s="42">
        <v>820.530000000001</v>
      </c>
      <c r="M199" s="38">
        <v>0</v>
      </c>
    </row>
    <row r="200" spans="1:13" ht="15" customHeight="1" x14ac:dyDescent="0.3">
      <c r="A200" s="38" t="s">
        <v>476</v>
      </c>
      <c r="B200" s="40">
        <v>5703</v>
      </c>
      <c r="C200" s="41">
        <v>9.7000000000000003E-2</v>
      </c>
      <c r="D200" s="38">
        <v>36</v>
      </c>
      <c r="E200" s="38" t="s">
        <v>35</v>
      </c>
      <c r="F200" s="38" t="s">
        <v>114</v>
      </c>
      <c r="G200" s="38">
        <v>74673</v>
      </c>
      <c r="H200" s="43">
        <v>0.34</v>
      </c>
      <c r="I200" s="43">
        <v>0.9</v>
      </c>
      <c r="J200" s="38">
        <v>41.3</v>
      </c>
      <c r="K200" s="42">
        <v>1659.5730000000001</v>
      </c>
      <c r="L200" s="42">
        <v>553.19000000000005</v>
      </c>
      <c r="M200" s="38">
        <v>0</v>
      </c>
    </row>
    <row r="201" spans="1:13" ht="15" customHeight="1" x14ac:dyDescent="0.3">
      <c r="A201" s="44" t="s">
        <v>478</v>
      </c>
      <c r="B201" s="46">
        <v>38129</v>
      </c>
      <c r="C201" s="47">
        <v>0.14699999999999999</v>
      </c>
      <c r="D201" s="44">
        <v>36</v>
      </c>
      <c r="E201" s="44" t="s">
        <v>36</v>
      </c>
      <c r="F201" s="44" t="s">
        <v>66</v>
      </c>
      <c r="G201" s="44">
        <v>106280</v>
      </c>
      <c r="H201" s="49">
        <v>0.26</v>
      </c>
      <c r="I201" s="49">
        <v>0.51</v>
      </c>
      <c r="J201" s="44">
        <v>41.3</v>
      </c>
      <c r="K201" s="48">
        <v>16814.888999999999</v>
      </c>
      <c r="L201" s="48">
        <v>-27675.26</v>
      </c>
      <c r="M201" s="44">
        <v>0</v>
      </c>
    </row>
    <row r="202" spans="1:13" ht="15" customHeight="1" x14ac:dyDescent="0.3">
      <c r="A202" s="38" t="s">
        <v>480</v>
      </c>
      <c r="B202" s="40">
        <v>32463</v>
      </c>
      <c r="C202" s="41">
        <v>0.17899999999999999</v>
      </c>
      <c r="D202" s="38">
        <v>36</v>
      </c>
      <c r="E202" s="38" t="s">
        <v>35</v>
      </c>
      <c r="F202" s="38" t="s">
        <v>257</v>
      </c>
      <c r="G202" s="38">
        <v>79850</v>
      </c>
      <c r="H202" s="43">
        <v>0.23</v>
      </c>
      <c r="I202" s="43">
        <v>0.87</v>
      </c>
      <c r="J202" s="38">
        <v>41.3</v>
      </c>
      <c r="K202" s="42">
        <v>17432.631000000001</v>
      </c>
      <c r="L202" s="42">
        <v>5810.88</v>
      </c>
      <c r="M202" s="38">
        <v>0</v>
      </c>
    </row>
    <row r="203" spans="1:13" ht="15" customHeight="1" x14ac:dyDescent="0.3">
      <c r="A203" s="44" t="s">
        <v>482</v>
      </c>
      <c r="B203" s="46">
        <v>33921</v>
      </c>
      <c r="C203" s="47">
        <v>0.114</v>
      </c>
      <c r="D203" s="44">
        <v>36</v>
      </c>
      <c r="E203" s="44" t="s">
        <v>36</v>
      </c>
      <c r="F203" s="44" t="s">
        <v>66</v>
      </c>
      <c r="G203" s="44">
        <v>142309</v>
      </c>
      <c r="H203" s="49">
        <v>0.46</v>
      </c>
      <c r="I203" s="49">
        <v>0.8</v>
      </c>
      <c r="J203" s="44">
        <v>41.2</v>
      </c>
      <c r="K203" s="48">
        <v>11600.982</v>
      </c>
      <c r="L203" s="48">
        <v>-19690.91</v>
      </c>
      <c r="M203" s="44">
        <v>0</v>
      </c>
    </row>
    <row r="204" spans="1:13" ht="15" customHeight="1" x14ac:dyDescent="0.3">
      <c r="A204" s="38" t="s">
        <v>484</v>
      </c>
      <c r="B204" s="40">
        <v>20426</v>
      </c>
      <c r="C204" s="41">
        <v>0.106</v>
      </c>
      <c r="D204" s="38">
        <v>36</v>
      </c>
      <c r="E204" s="38" t="s">
        <v>35</v>
      </c>
      <c r="F204" s="38" t="s">
        <v>71</v>
      </c>
      <c r="G204" s="38">
        <v>96025</v>
      </c>
      <c r="H204" s="43">
        <v>0.47</v>
      </c>
      <c r="I204" s="43">
        <v>0.91</v>
      </c>
      <c r="J204" s="38">
        <v>41.2</v>
      </c>
      <c r="K204" s="42">
        <v>6495.4679999999998</v>
      </c>
      <c r="L204" s="42">
        <v>2165.16</v>
      </c>
      <c r="M204" s="38">
        <v>0</v>
      </c>
    </row>
    <row r="205" spans="1:13" ht="15" customHeight="1" x14ac:dyDescent="0.3">
      <c r="A205" s="38" t="s">
        <v>486</v>
      </c>
      <c r="B205" s="40">
        <v>12362</v>
      </c>
      <c r="C205" s="41">
        <v>6.0999999999999999E-2</v>
      </c>
      <c r="D205" s="38">
        <v>36</v>
      </c>
      <c r="E205" s="38" t="s">
        <v>35</v>
      </c>
      <c r="F205" s="38" t="s">
        <v>60</v>
      </c>
      <c r="G205" s="38">
        <v>55183</v>
      </c>
      <c r="H205" s="43">
        <v>0.45</v>
      </c>
      <c r="I205" s="43">
        <v>0.64</v>
      </c>
      <c r="J205" s="38">
        <v>41.2</v>
      </c>
      <c r="K205" s="42">
        <v>2262.2460000000001</v>
      </c>
      <c r="L205" s="42">
        <v>754.08</v>
      </c>
      <c r="M205" s="38">
        <v>0</v>
      </c>
    </row>
    <row r="206" spans="1:13" ht="15" customHeight="1" x14ac:dyDescent="0.3">
      <c r="A206" s="50" t="s">
        <v>488</v>
      </c>
      <c r="B206" s="52">
        <v>34768</v>
      </c>
      <c r="C206" s="53">
        <v>0.14799999999999999</v>
      </c>
      <c r="D206" s="50">
        <v>36</v>
      </c>
      <c r="E206" s="50" t="s">
        <v>38</v>
      </c>
      <c r="F206" s="50" t="s">
        <v>60</v>
      </c>
      <c r="G206" s="50">
        <v>99504</v>
      </c>
      <c r="H206" s="55">
        <v>0.27</v>
      </c>
      <c r="I206" s="55">
        <v>0.79</v>
      </c>
      <c r="J206" s="50">
        <v>41</v>
      </c>
      <c r="K206" s="54">
        <v>15436.992</v>
      </c>
      <c r="L206" s="54">
        <v>-34768</v>
      </c>
      <c r="M206" s="50">
        <v>1</v>
      </c>
    </row>
    <row r="207" spans="1:13" ht="15" customHeight="1" x14ac:dyDescent="0.3">
      <c r="A207" s="44" t="s">
        <v>490</v>
      </c>
      <c r="B207" s="46">
        <v>12916</v>
      </c>
      <c r="C207" s="47">
        <v>0.23200000000000001</v>
      </c>
      <c r="D207" s="44">
        <v>60</v>
      </c>
      <c r="E207" s="44" t="s">
        <v>36</v>
      </c>
      <c r="F207" s="44" t="s">
        <v>83</v>
      </c>
      <c r="G207" s="44">
        <v>86683</v>
      </c>
      <c r="H207" s="49">
        <v>0.4</v>
      </c>
      <c r="I207" s="49">
        <v>0.61</v>
      </c>
      <c r="J207" s="44">
        <v>40.9</v>
      </c>
      <c r="K207" s="48">
        <v>14982.56</v>
      </c>
      <c r="L207" s="48">
        <v>-11501.76</v>
      </c>
      <c r="M207" s="44">
        <v>0</v>
      </c>
    </row>
    <row r="208" spans="1:13" ht="15" customHeight="1" x14ac:dyDescent="0.3">
      <c r="A208" s="44" t="s">
        <v>492</v>
      </c>
      <c r="B208" s="46">
        <v>36433</v>
      </c>
      <c r="C208" s="47">
        <v>0.19400000000000001</v>
      </c>
      <c r="D208" s="44">
        <v>60</v>
      </c>
      <c r="E208" s="44" t="s">
        <v>36</v>
      </c>
      <c r="F208" s="44" t="s">
        <v>60</v>
      </c>
      <c r="G208" s="44">
        <v>34567</v>
      </c>
      <c r="H208" s="49">
        <v>0.41</v>
      </c>
      <c r="I208" s="49">
        <v>0.95</v>
      </c>
      <c r="J208" s="44">
        <v>40.9</v>
      </c>
      <c r="K208" s="48">
        <v>35340.01</v>
      </c>
      <c r="L208" s="48">
        <v>-19726.62</v>
      </c>
      <c r="M208" s="44">
        <v>0</v>
      </c>
    </row>
    <row r="209" spans="1:13" ht="15" customHeight="1" x14ac:dyDescent="0.3">
      <c r="A209" s="50" t="s">
        <v>494</v>
      </c>
      <c r="B209" s="52">
        <v>27745</v>
      </c>
      <c r="C209" s="53">
        <v>0.156</v>
      </c>
      <c r="D209" s="50">
        <v>36</v>
      </c>
      <c r="E209" s="50" t="s">
        <v>38</v>
      </c>
      <c r="F209" s="50" t="s">
        <v>60</v>
      </c>
      <c r="G209" s="50">
        <v>105831</v>
      </c>
      <c r="H209" s="55">
        <v>0.12</v>
      </c>
      <c r="I209" s="55">
        <v>0.61</v>
      </c>
      <c r="J209" s="50">
        <v>40.9</v>
      </c>
      <c r="K209" s="54">
        <v>12984.66</v>
      </c>
      <c r="L209" s="54">
        <v>-27745</v>
      </c>
      <c r="M209" s="50">
        <v>1</v>
      </c>
    </row>
    <row r="210" spans="1:13" ht="15" customHeight="1" x14ac:dyDescent="0.3">
      <c r="A210" s="44" t="s">
        <v>496</v>
      </c>
      <c r="B210" s="46">
        <v>10127</v>
      </c>
      <c r="C210" s="47">
        <v>0.23</v>
      </c>
      <c r="D210" s="44">
        <v>36</v>
      </c>
      <c r="E210" s="44" t="s">
        <v>36</v>
      </c>
      <c r="F210" s="44" t="s">
        <v>71</v>
      </c>
      <c r="G210" s="44">
        <v>145945</v>
      </c>
      <c r="H210" s="49">
        <v>0.47</v>
      </c>
      <c r="I210" s="49">
        <v>0.92</v>
      </c>
      <c r="J210" s="44">
        <v>40.9</v>
      </c>
      <c r="K210" s="48">
        <v>6987.63</v>
      </c>
      <c r="L210" s="48">
        <v>-6778.16</v>
      </c>
      <c r="M210" s="44">
        <v>0</v>
      </c>
    </row>
    <row r="211" spans="1:13" ht="15" customHeight="1" x14ac:dyDescent="0.3">
      <c r="A211" s="44" t="s">
        <v>498</v>
      </c>
      <c r="B211" s="46">
        <v>27212</v>
      </c>
      <c r="C211" s="47">
        <v>0.14899999999999999</v>
      </c>
      <c r="D211" s="44">
        <v>60</v>
      </c>
      <c r="E211" s="44" t="s">
        <v>36</v>
      </c>
      <c r="F211" s="44" t="s">
        <v>71</v>
      </c>
      <c r="G211" s="44">
        <v>44683</v>
      </c>
      <c r="H211" s="49">
        <v>0.26</v>
      </c>
      <c r="I211" s="49">
        <v>0.54</v>
      </c>
      <c r="J211" s="44">
        <v>40.9</v>
      </c>
      <c r="K211" s="48">
        <v>20272.939999999999</v>
      </c>
      <c r="L211" s="48">
        <v>-24391.4</v>
      </c>
      <c r="M211" s="44">
        <v>0</v>
      </c>
    </row>
    <row r="212" spans="1:13" ht="15" customHeight="1" x14ac:dyDescent="0.3">
      <c r="A212" s="38" t="s">
        <v>500</v>
      </c>
      <c r="B212" s="40">
        <v>12023</v>
      </c>
      <c r="C212" s="41">
        <v>0.16300000000000001</v>
      </c>
      <c r="D212" s="38">
        <v>36</v>
      </c>
      <c r="E212" s="38" t="s">
        <v>35</v>
      </c>
      <c r="F212" s="38" t="s">
        <v>80</v>
      </c>
      <c r="G212" s="38">
        <v>105033</v>
      </c>
      <c r="H212" s="43">
        <v>0.49</v>
      </c>
      <c r="I212" s="43">
        <v>0.65</v>
      </c>
      <c r="J212" s="38">
        <v>40.799999999999997</v>
      </c>
      <c r="K212" s="42">
        <v>5879.2470000000003</v>
      </c>
      <c r="L212" s="42">
        <v>1959.75</v>
      </c>
      <c r="M212" s="38">
        <v>0</v>
      </c>
    </row>
    <row r="213" spans="1:13" ht="15" customHeight="1" x14ac:dyDescent="0.3">
      <c r="A213" s="38" t="s">
        <v>502</v>
      </c>
      <c r="B213" s="40">
        <v>13857</v>
      </c>
      <c r="C213" s="41">
        <v>7.5999999999999998E-2</v>
      </c>
      <c r="D213" s="38">
        <v>60</v>
      </c>
      <c r="E213" s="38" t="s">
        <v>35</v>
      </c>
      <c r="F213" s="38" t="s">
        <v>60</v>
      </c>
      <c r="G213" s="38">
        <v>113055</v>
      </c>
      <c r="H213" s="43">
        <v>0.28999999999999998</v>
      </c>
      <c r="I213" s="43">
        <v>0.52</v>
      </c>
      <c r="J213" s="38">
        <v>40.799999999999997</v>
      </c>
      <c r="K213" s="42">
        <v>5265.66</v>
      </c>
      <c r="L213" s="42">
        <v>1053.1300000000001</v>
      </c>
      <c r="M213" s="38">
        <v>0</v>
      </c>
    </row>
    <row r="214" spans="1:13" ht="15" customHeight="1" x14ac:dyDescent="0.3">
      <c r="A214" s="44" t="s">
        <v>504</v>
      </c>
      <c r="B214" s="46">
        <v>30629</v>
      </c>
      <c r="C214" s="47">
        <v>0.22500000000000001</v>
      </c>
      <c r="D214" s="44">
        <v>60</v>
      </c>
      <c r="E214" s="44" t="s">
        <v>36</v>
      </c>
      <c r="F214" s="44" t="s">
        <v>60</v>
      </c>
      <c r="G214" s="44">
        <v>141249</v>
      </c>
      <c r="H214" s="49">
        <v>0.31</v>
      </c>
      <c r="I214" s="49">
        <v>0.74</v>
      </c>
      <c r="J214" s="44">
        <v>40.799999999999997</v>
      </c>
      <c r="K214" s="48">
        <v>34457.625</v>
      </c>
      <c r="L214" s="48">
        <v>-27366.22</v>
      </c>
      <c r="M214" s="44">
        <v>0</v>
      </c>
    </row>
    <row r="215" spans="1:13" ht="15" customHeight="1" x14ac:dyDescent="0.3">
      <c r="A215" s="38" t="s">
        <v>506</v>
      </c>
      <c r="B215" s="40">
        <v>34397</v>
      </c>
      <c r="C215" s="41">
        <v>0.23599999999999999</v>
      </c>
      <c r="D215" s="38">
        <v>60</v>
      </c>
      <c r="E215" s="38" t="s">
        <v>35</v>
      </c>
      <c r="F215" s="38" t="s">
        <v>60</v>
      </c>
      <c r="G215" s="38">
        <v>135996</v>
      </c>
      <c r="H215" s="43">
        <v>0.42</v>
      </c>
      <c r="I215" s="43">
        <v>0.62</v>
      </c>
      <c r="J215" s="38">
        <v>40.6</v>
      </c>
      <c r="K215" s="42">
        <v>40588.46</v>
      </c>
      <c r="L215" s="42">
        <v>8117.69</v>
      </c>
      <c r="M215" s="38">
        <v>0</v>
      </c>
    </row>
    <row r="216" spans="1:13" ht="15" customHeight="1" x14ac:dyDescent="0.3">
      <c r="A216" s="44" t="s">
        <v>508</v>
      </c>
      <c r="B216" s="46">
        <v>17393</v>
      </c>
      <c r="C216" s="47">
        <v>0.19700000000000001</v>
      </c>
      <c r="D216" s="44">
        <v>60</v>
      </c>
      <c r="E216" s="44" t="s">
        <v>36</v>
      </c>
      <c r="F216" s="44" t="s">
        <v>83</v>
      </c>
      <c r="G216" s="44">
        <v>58810</v>
      </c>
      <c r="H216" s="49">
        <v>0.15</v>
      </c>
      <c r="I216" s="49">
        <v>0.71</v>
      </c>
      <c r="J216" s="44">
        <v>40.6</v>
      </c>
      <c r="K216" s="48">
        <v>17132.105</v>
      </c>
      <c r="L216" s="48">
        <v>-14991.9</v>
      </c>
      <c r="M216" s="44">
        <v>0</v>
      </c>
    </row>
    <row r="217" spans="1:13" ht="15" customHeight="1" x14ac:dyDescent="0.3">
      <c r="A217" s="38" t="s">
        <v>510</v>
      </c>
      <c r="B217" s="40">
        <v>6295</v>
      </c>
      <c r="C217" s="41">
        <v>0.221</v>
      </c>
      <c r="D217" s="38">
        <v>36</v>
      </c>
      <c r="E217" s="38" t="s">
        <v>35</v>
      </c>
      <c r="F217" s="38" t="s">
        <v>80</v>
      </c>
      <c r="G217" s="38">
        <v>104842</v>
      </c>
      <c r="H217" s="43">
        <v>0.31</v>
      </c>
      <c r="I217" s="43">
        <v>0.89</v>
      </c>
      <c r="J217" s="38">
        <v>40.6</v>
      </c>
      <c r="K217" s="42">
        <v>4173.585</v>
      </c>
      <c r="L217" s="42">
        <v>1391.2</v>
      </c>
      <c r="M217" s="38">
        <v>0</v>
      </c>
    </row>
    <row r="218" spans="1:13" ht="15" customHeight="1" x14ac:dyDescent="0.3">
      <c r="A218" s="56" t="s">
        <v>512</v>
      </c>
      <c r="B218" s="58">
        <v>1207</v>
      </c>
      <c r="C218" s="59">
        <v>0.23300000000000001</v>
      </c>
      <c r="D218" s="56">
        <v>60</v>
      </c>
      <c r="E218" s="56" t="s">
        <v>37</v>
      </c>
      <c r="F218" s="56" t="s">
        <v>66</v>
      </c>
      <c r="G218" s="56">
        <v>43255</v>
      </c>
      <c r="H218" s="61">
        <v>0.22</v>
      </c>
      <c r="I218" s="61">
        <v>0.59</v>
      </c>
      <c r="J218" s="56">
        <v>40.5</v>
      </c>
      <c r="K218" s="60">
        <v>1406.155</v>
      </c>
      <c r="L218" s="60">
        <v>-698.37</v>
      </c>
      <c r="M218" s="56">
        <v>1</v>
      </c>
    </row>
    <row r="219" spans="1:13" ht="15" customHeight="1" x14ac:dyDescent="0.3">
      <c r="A219" s="38" t="s">
        <v>514</v>
      </c>
      <c r="B219" s="40">
        <v>34174</v>
      </c>
      <c r="C219" s="41">
        <v>0.16900000000000001</v>
      </c>
      <c r="D219" s="38">
        <v>36</v>
      </c>
      <c r="E219" s="38" t="s">
        <v>35</v>
      </c>
      <c r="F219" s="38" t="s">
        <v>80</v>
      </c>
      <c r="G219" s="38">
        <v>135296</v>
      </c>
      <c r="H219" s="43">
        <v>0.36</v>
      </c>
      <c r="I219" s="43">
        <v>0.78</v>
      </c>
      <c r="J219" s="38">
        <v>40.5</v>
      </c>
      <c r="K219" s="42">
        <v>17326.218000000001</v>
      </c>
      <c r="L219" s="42">
        <v>5775.41</v>
      </c>
      <c r="M219" s="38">
        <v>0</v>
      </c>
    </row>
    <row r="220" spans="1:13" ht="15" customHeight="1" x14ac:dyDescent="0.3">
      <c r="A220" s="38" t="s">
        <v>516</v>
      </c>
      <c r="B220" s="40">
        <v>4654</v>
      </c>
      <c r="C220" s="41">
        <v>0.23400000000000001</v>
      </c>
      <c r="D220" s="38">
        <v>36</v>
      </c>
      <c r="E220" s="38" t="s">
        <v>35</v>
      </c>
      <c r="F220" s="38" t="s">
        <v>114</v>
      </c>
      <c r="G220" s="38">
        <v>99327</v>
      </c>
      <c r="H220" s="43">
        <v>0.41</v>
      </c>
      <c r="I220" s="43">
        <v>0.91</v>
      </c>
      <c r="J220" s="38">
        <v>40.5</v>
      </c>
      <c r="K220" s="42">
        <v>3267.1080000000002</v>
      </c>
      <c r="L220" s="42">
        <v>1089.04</v>
      </c>
      <c r="M220" s="38">
        <v>0</v>
      </c>
    </row>
    <row r="221" spans="1:13" ht="15" customHeight="1" x14ac:dyDescent="0.3">
      <c r="A221" s="44" t="s">
        <v>518</v>
      </c>
      <c r="B221" s="46">
        <v>5133</v>
      </c>
      <c r="C221" s="47">
        <v>0.13600000000000001</v>
      </c>
      <c r="D221" s="44">
        <v>60</v>
      </c>
      <c r="E221" s="44" t="s">
        <v>36</v>
      </c>
      <c r="F221" s="44" t="s">
        <v>83</v>
      </c>
      <c r="G221" s="44">
        <v>105403</v>
      </c>
      <c r="H221" s="49">
        <v>0.21</v>
      </c>
      <c r="I221" s="49">
        <v>0.62</v>
      </c>
      <c r="J221" s="44">
        <v>40.4</v>
      </c>
      <c r="K221" s="48">
        <v>3490.44</v>
      </c>
      <c r="L221" s="48">
        <v>-4411</v>
      </c>
      <c r="M221" s="44">
        <v>0</v>
      </c>
    </row>
    <row r="222" spans="1:13" ht="15" customHeight="1" x14ac:dyDescent="0.3">
      <c r="A222" s="38" t="s">
        <v>520</v>
      </c>
      <c r="B222" s="40">
        <v>14409</v>
      </c>
      <c r="C222" s="41">
        <v>0.125</v>
      </c>
      <c r="D222" s="38">
        <v>36</v>
      </c>
      <c r="E222" s="38" t="s">
        <v>35</v>
      </c>
      <c r="F222" s="38" t="s">
        <v>83</v>
      </c>
      <c r="G222" s="38">
        <v>148028</v>
      </c>
      <c r="H222" s="43">
        <v>0.42</v>
      </c>
      <c r="I222" s="43">
        <v>0.86</v>
      </c>
      <c r="J222" s="38">
        <v>40.4</v>
      </c>
      <c r="K222" s="42">
        <v>5403.375</v>
      </c>
      <c r="L222" s="42">
        <v>1801.12</v>
      </c>
      <c r="M222" s="38">
        <v>0</v>
      </c>
    </row>
    <row r="223" spans="1:13" ht="15" customHeight="1" x14ac:dyDescent="0.3">
      <c r="A223" s="44" t="s">
        <v>522</v>
      </c>
      <c r="B223" s="46">
        <v>6319</v>
      </c>
      <c r="C223" s="47">
        <v>0.20100000000000001</v>
      </c>
      <c r="D223" s="44">
        <v>36</v>
      </c>
      <c r="E223" s="44" t="s">
        <v>36</v>
      </c>
      <c r="F223" s="44" t="s">
        <v>114</v>
      </c>
      <c r="G223" s="44">
        <v>89197</v>
      </c>
      <c r="H223" s="49">
        <v>0.45</v>
      </c>
      <c r="I223" s="49">
        <v>0.7</v>
      </c>
      <c r="J223" s="44">
        <v>40.4</v>
      </c>
      <c r="K223" s="48">
        <v>3810.357</v>
      </c>
      <c r="L223" s="48">
        <v>-4668.5600000000004</v>
      </c>
      <c r="M223" s="44">
        <v>0</v>
      </c>
    </row>
    <row r="224" spans="1:13" ht="15" customHeight="1" x14ac:dyDescent="0.3">
      <c r="A224" s="38" t="s">
        <v>524</v>
      </c>
      <c r="B224" s="40">
        <v>36941</v>
      </c>
      <c r="C224" s="41">
        <v>7.6999999999999999E-2</v>
      </c>
      <c r="D224" s="38">
        <v>60</v>
      </c>
      <c r="E224" s="38" t="s">
        <v>35</v>
      </c>
      <c r="F224" s="38" t="s">
        <v>66</v>
      </c>
      <c r="G224" s="38">
        <v>103648</v>
      </c>
      <c r="H224" s="43">
        <v>0.33</v>
      </c>
      <c r="I224" s="43">
        <v>0.64</v>
      </c>
      <c r="J224" s="38">
        <v>40.299999999999997</v>
      </c>
      <c r="K224" s="42">
        <v>14222.285</v>
      </c>
      <c r="L224" s="42">
        <v>2844.46</v>
      </c>
      <c r="M224" s="38">
        <v>0</v>
      </c>
    </row>
    <row r="225" spans="1:13" ht="15" customHeight="1" x14ac:dyDescent="0.3">
      <c r="A225" s="38" t="s">
        <v>526</v>
      </c>
      <c r="B225" s="40">
        <v>27987</v>
      </c>
      <c r="C225" s="41">
        <v>0.192</v>
      </c>
      <c r="D225" s="38">
        <v>60</v>
      </c>
      <c r="E225" s="38" t="s">
        <v>35</v>
      </c>
      <c r="F225" s="38" t="s">
        <v>60</v>
      </c>
      <c r="G225" s="38">
        <v>77764</v>
      </c>
      <c r="H225" s="43">
        <v>0.24</v>
      </c>
      <c r="I225" s="43">
        <v>0.78</v>
      </c>
      <c r="J225" s="38">
        <v>40.299999999999997</v>
      </c>
      <c r="K225" s="42">
        <v>26867.52</v>
      </c>
      <c r="L225" s="42">
        <v>5373.5</v>
      </c>
      <c r="M225" s="38">
        <v>0</v>
      </c>
    </row>
    <row r="226" spans="1:13" ht="15" customHeight="1" x14ac:dyDescent="0.3">
      <c r="A226" s="38" t="s">
        <v>528</v>
      </c>
      <c r="B226" s="40">
        <v>12653</v>
      </c>
      <c r="C226" s="41">
        <v>0.10299999999999999</v>
      </c>
      <c r="D226" s="38">
        <v>60</v>
      </c>
      <c r="E226" s="38" t="s">
        <v>35</v>
      </c>
      <c r="F226" s="38" t="s">
        <v>60</v>
      </c>
      <c r="G226" s="38">
        <v>99681</v>
      </c>
      <c r="H226" s="43">
        <v>0.27</v>
      </c>
      <c r="I226" s="43">
        <v>0.79</v>
      </c>
      <c r="J226" s="38">
        <v>40.299999999999997</v>
      </c>
      <c r="K226" s="42">
        <v>6516.2950000000001</v>
      </c>
      <c r="L226" s="42">
        <v>1303.26</v>
      </c>
      <c r="M226" s="38">
        <v>0</v>
      </c>
    </row>
    <row r="227" spans="1:13" ht="15" customHeight="1" x14ac:dyDescent="0.3">
      <c r="A227" s="38" t="s">
        <v>530</v>
      </c>
      <c r="B227" s="40">
        <v>11724</v>
      </c>
      <c r="C227" s="41">
        <v>0.17799999999999999</v>
      </c>
      <c r="D227" s="38">
        <v>60</v>
      </c>
      <c r="E227" s="38" t="s">
        <v>35</v>
      </c>
      <c r="F227" s="38" t="s">
        <v>83</v>
      </c>
      <c r="G227" s="38">
        <v>43900</v>
      </c>
      <c r="H227" s="43">
        <v>0.4</v>
      </c>
      <c r="I227" s="43">
        <v>0.56000000000000005</v>
      </c>
      <c r="J227" s="38">
        <v>40.200000000000003</v>
      </c>
      <c r="K227" s="42">
        <v>10434.36</v>
      </c>
      <c r="L227" s="42">
        <v>2086.87</v>
      </c>
      <c r="M227" s="38">
        <v>0</v>
      </c>
    </row>
    <row r="228" spans="1:13" ht="15" customHeight="1" x14ac:dyDescent="0.3">
      <c r="A228" s="38" t="s">
        <v>532</v>
      </c>
      <c r="B228" s="40">
        <v>28042</v>
      </c>
      <c r="C228" s="41">
        <v>0.21199999999999999</v>
      </c>
      <c r="D228" s="38">
        <v>60</v>
      </c>
      <c r="E228" s="38" t="s">
        <v>35</v>
      </c>
      <c r="F228" s="38" t="s">
        <v>71</v>
      </c>
      <c r="G228" s="38">
        <v>43682</v>
      </c>
      <c r="H228" s="43">
        <v>0.12</v>
      </c>
      <c r="I228" s="43">
        <v>0.71</v>
      </c>
      <c r="J228" s="38">
        <v>40.200000000000003</v>
      </c>
      <c r="K228" s="42">
        <v>29724.52</v>
      </c>
      <c r="L228" s="42">
        <v>5944.9</v>
      </c>
      <c r="M228" s="38">
        <v>0</v>
      </c>
    </row>
    <row r="229" spans="1:13" ht="15" customHeight="1" x14ac:dyDescent="0.3">
      <c r="A229" s="38" t="s">
        <v>534</v>
      </c>
      <c r="B229" s="40">
        <v>15056</v>
      </c>
      <c r="C229" s="41">
        <v>0.11</v>
      </c>
      <c r="D229" s="38">
        <v>60</v>
      </c>
      <c r="E229" s="38" t="s">
        <v>35</v>
      </c>
      <c r="F229" s="38" t="s">
        <v>60</v>
      </c>
      <c r="G229" s="38">
        <v>35454</v>
      </c>
      <c r="H229" s="43">
        <v>0.28999999999999998</v>
      </c>
      <c r="I229" s="43">
        <v>0.56000000000000005</v>
      </c>
      <c r="J229" s="38">
        <v>40.200000000000003</v>
      </c>
      <c r="K229" s="42">
        <v>8280.7999999999993</v>
      </c>
      <c r="L229" s="42">
        <v>1656.16</v>
      </c>
      <c r="M229" s="38">
        <v>0</v>
      </c>
    </row>
    <row r="230" spans="1:13" ht="15" customHeight="1" x14ac:dyDescent="0.3">
      <c r="A230" s="56" t="s">
        <v>536</v>
      </c>
      <c r="B230" s="58">
        <v>26426</v>
      </c>
      <c r="C230" s="59">
        <v>7.5999999999999998E-2</v>
      </c>
      <c r="D230" s="56">
        <v>36</v>
      </c>
      <c r="E230" s="56" t="s">
        <v>37</v>
      </c>
      <c r="F230" s="56" t="s">
        <v>83</v>
      </c>
      <c r="G230" s="56">
        <v>129214</v>
      </c>
      <c r="H230" s="61">
        <v>0.15</v>
      </c>
      <c r="I230" s="61">
        <v>0.57999999999999996</v>
      </c>
      <c r="J230" s="56">
        <v>40.1</v>
      </c>
      <c r="K230" s="60">
        <v>6025.1279999999997</v>
      </c>
      <c r="L230" s="60">
        <v>-17850.03</v>
      </c>
      <c r="M230" s="56">
        <v>1</v>
      </c>
    </row>
    <row r="231" spans="1:13" ht="15" customHeight="1" x14ac:dyDescent="0.3">
      <c r="A231" s="38" t="s">
        <v>538</v>
      </c>
      <c r="B231" s="40">
        <v>22792</v>
      </c>
      <c r="C231" s="41">
        <v>0.245</v>
      </c>
      <c r="D231" s="38">
        <v>60</v>
      </c>
      <c r="E231" s="38" t="s">
        <v>35</v>
      </c>
      <c r="F231" s="38" t="s">
        <v>71</v>
      </c>
      <c r="G231" s="38">
        <v>79683</v>
      </c>
      <c r="H231" s="43">
        <v>0.28000000000000003</v>
      </c>
      <c r="I231" s="43">
        <v>0.8</v>
      </c>
      <c r="J231" s="38">
        <v>40</v>
      </c>
      <c r="K231" s="42">
        <v>27920.2</v>
      </c>
      <c r="L231" s="42">
        <v>5584.04</v>
      </c>
      <c r="M231" s="38">
        <v>0</v>
      </c>
    </row>
    <row r="232" spans="1:13" ht="15" customHeight="1" x14ac:dyDescent="0.3">
      <c r="A232" s="44" t="s">
        <v>540</v>
      </c>
      <c r="B232" s="46">
        <v>35054</v>
      </c>
      <c r="C232" s="47">
        <v>0.16300000000000001</v>
      </c>
      <c r="D232" s="44">
        <v>36</v>
      </c>
      <c r="E232" s="44" t="s">
        <v>36</v>
      </c>
      <c r="F232" s="44" t="s">
        <v>80</v>
      </c>
      <c r="G232" s="44">
        <v>65554</v>
      </c>
      <c r="H232" s="49">
        <v>0.43</v>
      </c>
      <c r="I232" s="49">
        <v>0.74</v>
      </c>
      <c r="J232" s="44">
        <v>40</v>
      </c>
      <c r="K232" s="48">
        <v>17141.405999999999</v>
      </c>
      <c r="L232" s="48">
        <v>-24698.58</v>
      </c>
      <c r="M232" s="44">
        <v>0</v>
      </c>
    </row>
    <row r="233" spans="1:13" ht="15" customHeight="1" x14ac:dyDescent="0.3">
      <c r="A233" s="38" t="s">
        <v>542</v>
      </c>
      <c r="B233" s="40">
        <v>32750</v>
      </c>
      <c r="C233" s="41">
        <v>0.17699999999999999</v>
      </c>
      <c r="D233" s="38">
        <v>36</v>
      </c>
      <c r="E233" s="38" t="s">
        <v>35</v>
      </c>
      <c r="F233" s="38" t="s">
        <v>60</v>
      </c>
      <c r="G233" s="38">
        <v>56177</v>
      </c>
      <c r="H233" s="43">
        <v>0.15</v>
      </c>
      <c r="I233" s="43">
        <v>0.92</v>
      </c>
      <c r="J233" s="38">
        <v>40</v>
      </c>
      <c r="K233" s="42">
        <v>17390.25</v>
      </c>
      <c r="L233" s="42">
        <v>5796.75</v>
      </c>
      <c r="M233" s="38">
        <v>0</v>
      </c>
    </row>
    <row r="234" spans="1:13" ht="15" customHeight="1" x14ac:dyDescent="0.3">
      <c r="A234" s="56" t="s">
        <v>544</v>
      </c>
      <c r="B234" s="58">
        <v>27588</v>
      </c>
      <c r="C234" s="59">
        <v>9.5000000000000001E-2</v>
      </c>
      <c r="D234" s="56">
        <v>36</v>
      </c>
      <c r="E234" s="56" t="s">
        <v>37</v>
      </c>
      <c r="F234" s="56" t="s">
        <v>71</v>
      </c>
      <c r="G234" s="56">
        <v>74386</v>
      </c>
      <c r="H234" s="61">
        <v>0.11</v>
      </c>
      <c r="I234" s="61">
        <v>0.92</v>
      </c>
      <c r="J234" s="56">
        <v>39.9</v>
      </c>
      <c r="K234" s="60">
        <v>7862.5799999999899</v>
      </c>
      <c r="L234" s="60">
        <v>-21460.240000000002</v>
      </c>
      <c r="M234" s="56">
        <v>1</v>
      </c>
    </row>
    <row r="235" spans="1:13" ht="15" customHeight="1" x14ac:dyDescent="0.3">
      <c r="A235" s="38" t="s">
        <v>546</v>
      </c>
      <c r="B235" s="40">
        <v>4093</v>
      </c>
      <c r="C235" s="41">
        <v>0.221</v>
      </c>
      <c r="D235" s="38">
        <v>36</v>
      </c>
      <c r="E235" s="38" t="s">
        <v>35</v>
      </c>
      <c r="F235" s="38" t="s">
        <v>80</v>
      </c>
      <c r="G235" s="38">
        <v>48062</v>
      </c>
      <c r="H235" s="43">
        <v>0.5</v>
      </c>
      <c r="I235" s="43">
        <v>0.7</v>
      </c>
      <c r="J235" s="38">
        <v>39.9</v>
      </c>
      <c r="K235" s="42">
        <v>2713.6590000000001</v>
      </c>
      <c r="L235" s="42">
        <v>904.55</v>
      </c>
      <c r="M235" s="38">
        <v>0</v>
      </c>
    </row>
    <row r="236" spans="1:13" ht="15" customHeight="1" x14ac:dyDescent="0.3">
      <c r="A236" s="44" t="s">
        <v>548</v>
      </c>
      <c r="B236" s="46">
        <v>19155</v>
      </c>
      <c r="C236" s="47">
        <v>0.191</v>
      </c>
      <c r="D236" s="44">
        <v>36</v>
      </c>
      <c r="E236" s="44" t="s">
        <v>36</v>
      </c>
      <c r="F236" s="44" t="s">
        <v>71</v>
      </c>
      <c r="G236" s="44">
        <v>142701</v>
      </c>
      <c r="H236" s="49">
        <v>0.18</v>
      </c>
      <c r="I236" s="49">
        <v>0.69</v>
      </c>
      <c r="J236" s="44">
        <v>39.9</v>
      </c>
      <c r="K236" s="48">
        <v>10975.815000000001</v>
      </c>
      <c r="L236" s="48">
        <v>-15227.21</v>
      </c>
      <c r="M236" s="44">
        <v>0</v>
      </c>
    </row>
    <row r="237" spans="1:13" ht="15" customHeight="1" x14ac:dyDescent="0.3">
      <c r="A237" s="38" t="s">
        <v>550</v>
      </c>
      <c r="B237" s="40">
        <v>8761</v>
      </c>
      <c r="C237" s="41">
        <v>0.113</v>
      </c>
      <c r="D237" s="38">
        <v>36</v>
      </c>
      <c r="E237" s="38" t="s">
        <v>35</v>
      </c>
      <c r="F237" s="38" t="s">
        <v>60</v>
      </c>
      <c r="G237" s="38">
        <v>114899</v>
      </c>
      <c r="H237" s="43">
        <v>0.39</v>
      </c>
      <c r="I237" s="43">
        <v>0.84</v>
      </c>
      <c r="J237" s="38">
        <v>39.799999999999997</v>
      </c>
      <c r="K237" s="42">
        <v>2969.9789999999998</v>
      </c>
      <c r="L237" s="42">
        <v>989.99</v>
      </c>
      <c r="M237" s="38">
        <v>0</v>
      </c>
    </row>
    <row r="238" spans="1:13" ht="15" customHeight="1" x14ac:dyDescent="0.3">
      <c r="A238" s="56" t="s">
        <v>552</v>
      </c>
      <c r="B238" s="58">
        <v>33556</v>
      </c>
      <c r="C238" s="59">
        <v>0.159</v>
      </c>
      <c r="D238" s="56">
        <v>60</v>
      </c>
      <c r="E238" s="56" t="s">
        <v>37</v>
      </c>
      <c r="F238" s="56" t="s">
        <v>66</v>
      </c>
      <c r="G238" s="56">
        <v>59932</v>
      </c>
      <c r="H238" s="61">
        <v>0.49</v>
      </c>
      <c r="I238" s="61">
        <v>0.84</v>
      </c>
      <c r="J238" s="56">
        <v>39.799999999999997</v>
      </c>
      <c r="K238" s="60">
        <v>26677.02</v>
      </c>
      <c r="L238" s="60">
        <v>-24329.14</v>
      </c>
      <c r="M238" s="56">
        <v>1</v>
      </c>
    </row>
    <row r="239" spans="1:13" ht="15" customHeight="1" x14ac:dyDescent="0.3">
      <c r="A239" s="38" t="s">
        <v>554</v>
      </c>
      <c r="B239" s="40">
        <v>26892</v>
      </c>
      <c r="C239" s="41">
        <v>0.22800000000000001</v>
      </c>
      <c r="D239" s="38">
        <v>36</v>
      </c>
      <c r="E239" s="38" t="s">
        <v>35</v>
      </c>
      <c r="F239" s="38" t="s">
        <v>60</v>
      </c>
      <c r="G239" s="38">
        <v>65303</v>
      </c>
      <c r="H239" s="43">
        <v>0.23</v>
      </c>
      <c r="I239" s="43">
        <v>0.92</v>
      </c>
      <c r="J239" s="38">
        <v>39.799999999999997</v>
      </c>
      <c r="K239" s="42">
        <v>18394.128000000001</v>
      </c>
      <c r="L239" s="42">
        <v>6131.38</v>
      </c>
      <c r="M239" s="38">
        <v>0</v>
      </c>
    </row>
    <row r="240" spans="1:13" ht="15" customHeight="1" x14ac:dyDescent="0.3">
      <c r="A240" s="44" t="s">
        <v>556</v>
      </c>
      <c r="B240" s="46">
        <v>30373</v>
      </c>
      <c r="C240" s="47">
        <v>0.182</v>
      </c>
      <c r="D240" s="44">
        <v>60</v>
      </c>
      <c r="E240" s="44" t="s">
        <v>36</v>
      </c>
      <c r="F240" s="44" t="s">
        <v>60</v>
      </c>
      <c r="G240" s="44">
        <v>71153</v>
      </c>
      <c r="H240" s="49">
        <v>0.22</v>
      </c>
      <c r="I240" s="49">
        <v>0.83</v>
      </c>
      <c r="J240" s="44">
        <v>39.700000000000003</v>
      </c>
      <c r="K240" s="48">
        <v>27639.43</v>
      </c>
      <c r="L240" s="48">
        <v>-22128.17</v>
      </c>
      <c r="M240" s="44">
        <v>0</v>
      </c>
    </row>
    <row r="241" spans="1:13" ht="15" customHeight="1" x14ac:dyDescent="0.3">
      <c r="A241" s="38" t="s">
        <v>558</v>
      </c>
      <c r="B241" s="40">
        <v>21670</v>
      </c>
      <c r="C241" s="41">
        <v>8.6999999999999994E-2</v>
      </c>
      <c r="D241" s="38">
        <v>60</v>
      </c>
      <c r="E241" s="38" t="s">
        <v>35</v>
      </c>
      <c r="F241" s="38" t="s">
        <v>71</v>
      </c>
      <c r="G241" s="38">
        <v>131154</v>
      </c>
      <c r="H241" s="43">
        <v>0.23</v>
      </c>
      <c r="I241" s="43">
        <v>0.71</v>
      </c>
      <c r="J241" s="38">
        <v>39.700000000000003</v>
      </c>
      <c r="K241" s="42">
        <v>9426.4500000000007</v>
      </c>
      <c r="L241" s="42">
        <v>1885.29</v>
      </c>
      <c r="M241" s="38">
        <v>0</v>
      </c>
    </row>
    <row r="242" spans="1:13" ht="15" customHeight="1" x14ac:dyDescent="0.3">
      <c r="A242" s="38" t="s">
        <v>560</v>
      </c>
      <c r="B242" s="40">
        <v>27685</v>
      </c>
      <c r="C242" s="41">
        <v>0.23699999999999999</v>
      </c>
      <c r="D242" s="38">
        <v>60</v>
      </c>
      <c r="E242" s="38" t="s">
        <v>35</v>
      </c>
      <c r="F242" s="38" t="s">
        <v>71</v>
      </c>
      <c r="G242" s="38">
        <v>63457</v>
      </c>
      <c r="H242" s="43">
        <v>0.31</v>
      </c>
      <c r="I242" s="43">
        <v>0.55000000000000004</v>
      </c>
      <c r="J242" s="38">
        <v>39.700000000000003</v>
      </c>
      <c r="K242" s="42">
        <v>32806.724999999999</v>
      </c>
      <c r="L242" s="42">
        <v>6561.34</v>
      </c>
      <c r="M242" s="38">
        <v>0</v>
      </c>
    </row>
    <row r="243" spans="1:13" ht="15" customHeight="1" x14ac:dyDescent="0.3">
      <c r="A243" s="38" t="s">
        <v>562</v>
      </c>
      <c r="B243" s="40">
        <v>28376</v>
      </c>
      <c r="C243" s="41">
        <v>0.19</v>
      </c>
      <c r="D243" s="38">
        <v>60</v>
      </c>
      <c r="E243" s="38" t="s">
        <v>35</v>
      </c>
      <c r="F243" s="38" t="s">
        <v>83</v>
      </c>
      <c r="G243" s="38">
        <v>33748</v>
      </c>
      <c r="H243" s="43">
        <v>0.24</v>
      </c>
      <c r="I243" s="43">
        <v>0.73</v>
      </c>
      <c r="J243" s="38">
        <v>39.700000000000003</v>
      </c>
      <c r="K243" s="42">
        <v>26957.200000000001</v>
      </c>
      <c r="L243" s="42">
        <v>5391.44</v>
      </c>
      <c r="M243" s="38">
        <v>0</v>
      </c>
    </row>
    <row r="244" spans="1:13" ht="15" customHeight="1" x14ac:dyDescent="0.3">
      <c r="A244" s="50" t="s">
        <v>564</v>
      </c>
      <c r="B244" s="52">
        <v>36046</v>
      </c>
      <c r="C244" s="53">
        <v>5.8999999999999997E-2</v>
      </c>
      <c r="D244" s="50">
        <v>36</v>
      </c>
      <c r="E244" s="50" t="s">
        <v>38</v>
      </c>
      <c r="F244" s="50" t="s">
        <v>80</v>
      </c>
      <c r="G244" s="50">
        <v>63455</v>
      </c>
      <c r="H244" s="55">
        <v>0.28999999999999998</v>
      </c>
      <c r="I244" s="55">
        <v>0.84</v>
      </c>
      <c r="J244" s="50">
        <v>39.6</v>
      </c>
      <c r="K244" s="54">
        <v>6380.1419999999998</v>
      </c>
      <c r="L244" s="54">
        <v>-36046</v>
      </c>
      <c r="M244" s="50">
        <v>1</v>
      </c>
    </row>
    <row r="245" spans="1:13" ht="15" customHeight="1" x14ac:dyDescent="0.3">
      <c r="A245" s="44" t="s">
        <v>566</v>
      </c>
      <c r="B245" s="46">
        <v>9711</v>
      </c>
      <c r="C245" s="47">
        <v>0.10100000000000001</v>
      </c>
      <c r="D245" s="44">
        <v>36</v>
      </c>
      <c r="E245" s="44" t="s">
        <v>36</v>
      </c>
      <c r="F245" s="44" t="s">
        <v>80</v>
      </c>
      <c r="G245" s="44">
        <v>132412</v>
      </c>
      <c r="H245" s="49">
        <v>0.14000000000000001</v>
      </c>
      <c r="I245" s="49">
        <v>0.95</v>
      </c>
      <c r="J245" s="44">
        <v>39.5</v>
      </c>
      <c r="K245" s="48">
        <v>2942.433</v>
      </c>
      <c r="L245" s="48">
        <v>-7034.37</v>
      </c>
      <c r="M245" s="44">
        <v>0</v>
      </c>
    </row>
    <row r="246" spans="1:13" ht="15" customHeight="1" x14ac:dyDescent="0.3">
      <c r="A246" s="38" t="s">
        <v>568</v>
      </c>
      <c r="B246" s="40">
        <v>37041</v>
      </c>
      <c r="C246" s="41">
        <v>0.156</v>
      </c>
      <c r="D246" s="38">
        <v>60</v>
      </c>
      <c r="E246" s="38" t="s">
        <v>35</v>
      </c>
      <c r="F246" s="38" t="s">
        <v>66</v>
      </c>
      <c r="G246" s="38">
        <v>105319</v>
      </c>
      <c r="H246" s="43">
        <v>0.46</v>
      </c>
      <c r="I246" s="43">
        <v>0.81</v>
      </c>
      <c r="J246" s="38">
        <v>39.5</v>
      </c>
      <c r="K246" s="42">
        <v>28891.98</v>
      </c>
      <c r="L246" s="42">
        <v>5778.4</v>
      </c>
      <c r="M246" s="38">
        <v>0</v>
      </c>
    </row>
    <row r="247" spans="1:13" ht="15" customHeight="1" x14ac:dyDescent="0.3">
      <c r="A247" s="44" t="s">
        <v>570</v>
      </c>
      <c r="B247" s="46">
        <v>17035</v>
      </c>
      <c r="C247" s="47">
        <v>0.249</v>
      </c>
      <c r="D247" s="44">
        <v>36</v>
      </c>
      <c r="E247" s="44" t="s">
        <v>36</v>
      </c>
      <c r="F247" s="44" t="s">
        <v>80</v>
      </c>
      <c r="G247" s="44">
        <v>141205</v>
      </c>
      <c r="H247" s="49">
        <v>0.47</v>
      </c>
      <c r="I247" s="49">
        <v>0.61</v>
      </c>
      <c r="J247" s="44">
        <v>39.4</v>
      </c>
      <c r="K247" s="48">
        <v>12725.145</v>
      </c>
      <c r="L247" s="48">
        <v>-15002.92</v>
      </c>
      <c r="M247" s="44">
        <v>0</v>
      </c>
    </row>
    <row r="248" spans="1:13" ht="15" customHeight="1" x14ac:dyDescent="0.3">
      <c r="A248" s="44" t="s">
        <v>572</v>
      </c>
      <c r="B248" s="46">
        <v>36153</v>
      </c>
      <c r="C248" s="47">
        <v>0.155</v>
      </c>
      <c r="D248" s="44">
        <v>36</v>
      </c>
      <c r="E248" s="44" t="s">
        <v>36</v>
      </c>
      <c r="F248" s="44" t="s">
        <v>60</v>
      </c>
      <c r="G248" s="44">
        <v>141862</v>
      </c>
      <c r="H248" s="49">
        <v>0.23</v>
      </c>
      <c r="I248" s="49">
        <v>0.85</v>
      </c>
      <c r="J248" s="44">
        <v>39.4</v>
      </c>
      <c r="K248" s="48">
        <v>16811.145</v>
      </c>
      <c r="L248" s="48">
        <v>-29171.7</v>
      </c>
      <c r="M248" s="44">
        <v>0</v>
      </c>
    </row>
    <row r="249" spans="1:13" ht="15" customHeight="1" x14ac:dyDescent="0.3">
      <c r="A249" s="38" t="s">
        <v>574</v>
      </c>
      <c r="B249" s="40">
        <v>25262</v>
      </c>
      <c r="C249" s="41">
        <v>0.248</v>
      </c>
      <c r="D249" s="38">
        <v>36</v>
      </c>
      <c r="E249" s="38" t="s">
        <v>35</v>
      </c>
      <c r="F249" s="38" t="s">
        <v>60</v>
      </c>
      <c r="G249" s="38">
        <v>79145</v>
      </c>
      <c r="H249" s="43">
        <v>0.15</v>
      </c>
      <c r="I249" s="43">
        <v>0.81</v>
      </c>
      <c r="J249" s="38">
        <v>39.4</v>
      </c>
      <c r="K249" s="42">
        <v>18794.928</v>
      </c>
      <c r="L249" s="42">
        <v>6264.98</v>
      </c>
      <c r="M249" s="38">
        <v>0</v>
      </c>
    </row>
    <row r="250" spans="1:13" ht="15" customHeight="1" x14ac:dyDescent="0.3">
      <c r="A250" s="38" t="s">
        <v>576</v>
      </c>
      <c r="B250" s="40">
        <v>21953</v>
      </c>
      <c r="C250" s="41">
        <v>0.106</v>
      </c>
      <c r="D250" s="38">
        <v>36</v>
      </c>
      <c r="E250" s="38" t="s">
        <v>35</v>
      </c>
      <c r="F250" s="38" t="s">
        <v>71</v>
      </c>
      <c r="G250" s="38">
        <v>44211</v>
      </c>
      <c r="H250" s="43">
        <v>0.4</v>
      </c>
      <c r="I250" s="43">
        <v>0.73</v>
      </c>
      <c r="J250" s="38">
        <v>39.299999999999997</v>
      </c>
      <c r="K250" s="42">
        <v>6981.0540000000001</v>
      </c>
      <c r="L250" s="42">
        <v>2327.02</v>
      </c>
      <c r="M250" s="38">
        <v>0</v>
      </c>
    </row>
    <row r="251" spans="1:13" ht="15" customHeight="1" x14ac:dyDescent="0.3">
      <c r="A251" s="50" t="s">
        <v>578</v>
      </c>
      <c r="B251" s="52">
        <v>10078</v>
      </c>
      <c r="C251" s="53">
        <v>5.3999999999999999E-2</v>
      </c>
      <c r="D251" s="50">
        <v>60</v>
      </c>
      <c r="E251" s="50" t="s">
        <v>39</v>
      </c>
      <c r="F251" s="50" t="s">
        <v>83</v>
      </c>
      <c r="G251" s="50">
        <v>44715</v>
      </c>
      <c r="H251" s="55">
        <v>0.33</v>
      </c>
      <c r="I251" s="55">
        <v>0.92</v>
      </c>
      <c r="J251" s="50">
        <v>39.299999999999997</v>
      </c>
      <c r="K251" s="54">
        <v>2721.06</v>
      </c>
      <c r="L251" s="54">
        <v>-10078</v>
      </c>
      <c r="M251" s="50">
        <v>0</v>
      </c>
    </row>
    <row r="252" spans="1:13" ht="15" customHeight="1" x14ac:dyDescent="0.3">
      <c r="A252" s="38" t="s">
        <v>580</v>
      </c>
      <c r="B252" s="40">
        <v>2058</v>
      </c>
      <c r="C252" s="41">
        <v>8.1000000000000003E-2</v>
      </c>
      <c r="D252" s="38">
        <v>60</v>
      </c>
      <c r="E252" s="38" t="s">
        <v>35</v>
      </c>
      <c r="F252" s="38" t="s">
        <v>60</v>
      </c>
      <c r="G252" s="38">
        <v>101045</v>
      </c>
      <c r="H252" s="43">
        <v>0.49</v>
      </c>
      <c r="I252" s="43">
        <v>0.76</v>
      </c>
      <c r="J252" s="38">
        <v>39.200000000000003</v>
      </c>
      <c r="K252" s="42">
        <v>833.49</v>
      </c>
      <c r="L252" s="42">
        <v>166.7</v>
      </c>
      <c r="M252" s="38">
        <v>0</v>
      </c>
    </row>
    <row r="253" spans="1:13" ht="15" customHeight="1" x14ac:dyDescent="0.3">
      <c r="A253" s="44" t="s">
        <v>582</v>
      </c>
      <c r="B253" s="46">
        <v>22510</v>
      </c>
      <c r="C253" s="47">
        <v>0.105</v>
      </c>
      <c r="D253" s="44">
        <v>60</v>
      </c>
      <c r="E253" s="44" t="s">
        <v>36</v>
      </c>
      <c r="F253" s="44" t="s">
        <v>80</v>
      </c>
      <c r="G253" s="44">
        <v>49610</v>
      </c>
      <c r="H253" s="49">
        <v>0.47</v>
      </c>
      <c r="I253" s="49">
        <v>0.84</v>
      </c>
      <c r="J253" s="44">
        <v>39.200000000000003</v>
      </c>
      <c r="K253" s="48">
        <v>11817.75</v>
      </c>
      <c r="L253" s="48">
        <v>-12962.67</v>
      </c>
      <c r="M253" s="44">
        <v>0</v>
      </c>
    </row>
    <row r="254" spans="1:13" ht="15" customHeight="1" x14ac:dyDescent="0.3">
      <c r="A254" s="44" t="s">
        <v>584</v>
      </c>
      <c r="B254" s="46">
        <v>22400</v>
      </c>
      <c r="C254" s="47">
        <v>0.187</v>
      </c>
      <c r="D254" s="44">
        <v>36</v>
      </c>
      <c r="E254" s="44" t="s">
        <v>36</v>
      </c>
      <c r="F254" s="44" t="s">
        <v>71</v>
      </c>
      <c r="G254" s="44">
        <v>121198</v>
      </c>
      <c r="H254" s="49">
        <v>0.16</v>
      </c>
      <c r="I254" s="49">
        <v>0.91</v>
      </c>
      <c r="J254" s="44">
        <v>39.1</v>
      </c>
      <c r="K254" s="48">
        <v>12566.4</v>
      </c>
      <c r="L254" s="48">
        <v>-11825.08</v>
      </c>
      <c r="M254" s="44">
        <v>0</v>
      </c>
    </row>
    <row r="255" spans="1:13" ht="15" customHeight="1" x14ac:dyDescent="0.3">
      <c r="A255" s="56" t="s">
        <v>586</v>
      </c>
      <c r="B255" s="58">
        <v>14350</v>
      </c>
      <c r="C255" s="59">
        <v>7.1999999999999995E-2</v>
      </c>
      <c r="D255" s="56">
        <v>60</v>
      </c>
      <c r="E255" s="56" t="s">
        <v>37</v>
      </c>
      <c r="F255" s="56" t="s">
        <v>83</v>
      </c>
      <c r="G255" s="56">
        <v>123305</v>
      </c>
      <c r="H255" s="61">
        <v>0.43</v>
      </c>
      <c r="I255" s="61">
        <v>0.67</v>
      </c>
      <c r="J255" s="56">
        <v>39.1</v>
      </c>
      <c r="K255" s="60">
        <v>5166</v>
      </c>
      <c r="L255" s="60">
        <v>-10970.16</v>
      </c>
      <c r="M255" s="56">
        <v>1</v>
      </c>
    </row>
    <row r="256" spans="1:13" ht="15" customHeight="1" x14ac:dyDescent="0.3">
      <c r="A256" s="38" t="s">
        <v>588</v>
      </c>
      <c r="B256" s="40">
        <v>36737</v>
      </c>
      <c r="C256" s="41">
        <v>0.06</v>
      </c>
      <c r="D256" s="38">
        <v>60</v>
      </c>
      <c r="E256" s="38" t="s">
        <v>35</v>
      </c>
      <c r="F256" s="38" t="s">
        <v>83</v>
      </c>
      <c r="G256" s="38">
        <v>53185</v>
      </c>
      <c r="H256" s="43">
        <v>0.27</v>
      </c>
      <c r="I256" s="43">
        <v>0.59</v>
      </c>
      <c r="J256" s="38">
        <v>38.9</v>
      </c>
      <c r="K256" s="42">
        <v>11021.1</v>
      </c>
      <c r="L256" s="42">
        <v>2204.2199999999998</v>
      </c>
      <c r="M256" s="38">
        <v>0</v>
      </c>
    </row>
    <row r="257" spans="1:13" ht="15" customHeight="1" x14ac:dyDescent="0.3">
      <c r="A257" s="38" t="s">
        <v>590</v>
      </c>
      <c r="B257" s="40">
        <v>37378</v>
      </c>
      <c r="C257" s="41">
        <v>0.24</v>
      </c>
      <c r="D257" s="38">
        <v>36</v>
      </c>
      <c r="E257" s="38" t="s">
        <v>35</v>
      </c>
      <c r="F257" s="38" t="s">
        <v>60</v>
      </c>
      <c r="G257" s="38">
        <v>73391</v>
      </c>
      <c r="H257" s="43">
        <v>0.17</v>
      </c>
      <c r="I257" s="43">
        <v>0.63</v>
      </c>
      <c r="J257" s="38">
        <v>38.9</v>
      </c>
      <c r="K257" s="42">
        <v>26912.16</v>
      </c>
      <c r="L257" s="42">
        <v>8970.7199999999993</v>
      </c>
      <c r="M257" s="38">
        <v>0</v>
      </c>
    </row>
    <row r="258" spans="1:13" ht="15" customHeight="1" x14ac:dyDescent="0.3">
      <c r="A258" s="56" t="s">
        <v>592</v>
      </c>
      <c r="B258" s="58">
        <v>9905</v>
      </c>
      <c r="C258" s="59">
        <v>6.2E-2</v>
      </c>
      <c r="D258" s="56">
        <v>36</v>
      </c>
      <c r="E258" s="56" t="s">
        <v>37</v>
      </c>
      <c r="F258" s="56" t="s">
        <v>71</v>
      </c>
      <c r="G258" s="56">
        <v>72788</v>
      </c>
      <c r="H258" s="61">
        <v>0.39</v>
      </c>
      <c r="I258" s="61">
        <v>0.62</v>
      </c>
      <c r="J258" s="56">
        <v>38.799999999999997</v>
      </c>
      <c r="K258" s="60">
        <v>1842.33</v>
      </c>
      <c r="L258" s="60">
        <v>-5972.95</v>
      </c>
      <c r="M258" s="56">
        <v>1</v>
      </c>
    </row>
    <row r="259" spans="1:13" ht="15" customHeight="1" x14ac:dyDescent="0.3">
      <c r="A259" s="56" t="s">
        <v>594</v>
      </c>
      <c r="B259" s="58">
        <v>8314</v>
      </c>
      <c r="C259" s="59">
        <v>0.246</v>
      </c>
      <c r="D259" s="56">
        <v>60</v>
      </c>
      <c r="E259" s="56" t="s">
        <v>37</v>
      </c>
      <c r="F259" s="56" t="s">
        <v>60</v>
      </c>
      <c r="G259" s="56">
        <v>100130</v>
      </c>
      <c r="H259" s="61">
        <v>0.41</v>
      </c>
      <c r="I259" s="61">
        <v>0.8</v>
      </c>
      <c r="J259" s="56">
        <v>38.799999999999997</v>
      </c>
      <c r="K259" s="60">
        <v>10226.219999999999</v>
      </c>
      <c r="L259" s="60">
        <v>-4217.7</v>
      </c>
      <c r="M259" s="56">
        <v>1</v>
      </c>
    </row>
    <row r="260" spans="1:13" ht="15" customHeight="1" x14ac:dyDescent="0.3">
      <c r="A260" s="38" t="s">
        <v>596</v>
      </c>
      <c r="B260" s="40">
        <v>33733</v>
      </c>
      <c r="C260" s="41">
        <v>0.17699999999999999</v>
      </c>
      <c r="D260" s="38">
        <v>60</v>
      </c>
      <c r="E260" s="38" t="s">
        <v>35</v>
      </c>
      <c r="F260" s="38" t="s">
        <v>83</v>
      </c>
      <c r="G260" s="38">
        <v>123405</v>
      </c>
      <c r="H260" s="43">
        <v>0.14000000000000001</v>
      </c>
      <c r="I260" s="43">
        <v>0.83</v>
      </c>
      <c r="J260" s="38">
        <v>38.799999999999997</v>
      </c>
      <c r="K260" s="42">
        <v>29853.705000000002</v>
      </c>
      <c r="L260" s="42">
        <v>5970.74</v>
      </c>
      <c r="M260" s="38">
        <v>0</v>
      </c>
    </row>
    <row r="261" spans="1:13" ht="15" customHeight="1" x14ac:dyDescent="0.3">
      <c r="A261" s="44" t="s">
        <v>598</v>
      </c>
      <c r="B261" s="46">
        <v>9125</v>
      </c>
      <c r="C261" s="47">
        <v>0.16900000000000001</v>
      </c>
      <c r="D261" s="44">
        <v>60</v>
      </c>
      <c r="E261" s="44" t="s">
        <v>36</v>
      </c>
      <c r="F261" s="44" t="s">
        <v>114</v>
      </c>
      <c r="G261" s="44">
        <v>122446</v>
      </c>
      <c r="H261" s="49">
        <v>0.42</v>
      </c>
      <c r="I261" s="49">
        <v>0.89</v>
      </c>
      <c r="J261" s="44">
        <v>38.799999999999997</v>
      </c>
      <c r="K261" s="48">
        <v>7710.625</v>
      </c>
      <c r="L261" s="48">
        <v>-5440.49</v>
      </c>
      <c r="M261" s="44">
        <v>0</v>
      </c>
    </row>
    <row r="262" spans="1:13" ht="15" customHeight="1" x14ac:dyDescent="0.3">
      <c r="A262" s="44" t="s">
        <v>600</v>
      </c>
      <c r="B262" s="46">
        <v>10903</v>
      </c>
      <c r="C262" s="47">
        <v>0.17399999999999999</v>
      </c>
      <c r="D262" s="44">
        <v>36</v>
      </c>
      <c r="E262" s="44" t="s">
        <v>36</v>
      </c>
      <c r="F262" s="44" t="s">
        <v>60</v>
      </c>
      <c r="G262" s="44">
        <v>44908</v>
      </c>
      <c r="H262" s="49">
        <v>0.28999999999999998</v>
      </c>
      <c r="I262" s="49">
        <v>0.86</v>
      </c>
      <c r="J262" s="44">
        <v>38.700000000000003</v>
      </c>
      <c r="K262" s="48">
        <v>5691.366</v>
      </c>
      <c r="L262" s="48">
        <v>-8859.2999999999993</v>
      </c>
      <c r="M262" s="44">
        <v>0</v>
      </c>
    </row>
    <row r="263" spans="1:13" ht="15" customHeight="1" x14ac:dyDescent="0.3">
      <c r="A263" s="38" t="s">
        <v>602</v>
      </c>
      <c r="B263" s="40">
        <v>26709</v>
      </c>
      <c r="C263" s="41">
        <v>0.23599999999999999</v>
      </c>
      <c r="D263" s="38">
        <v>60</v>
      </c>
      <c r="E263" s="38" t="s">
        <v>35</v>
      </c>
      <c r="F263" s="38" t="s">
        <v>71</v>
      </c>
      <c r="G263" s="38">
        <v>134188</v>
      </c>
      <c r="H263" s="43">
        <v>0.12</v>
      </c>
      <c r="I263" s="43">
        <v>0.81</v>
      </c>
      <c r="J263" s="38">
        <v>38.6</v>
      </c>
      <c r="K263" s="42">
        <v>31516.62</v>
      </c>
      <c r="L263" s="42">
        <v>6303.32</v>
      </c>
      <c r="M263" s="38">
        <v>0</v>
      </c>
    </row>
    <row r="264" spans="1:13" ht="15" customHeight="1" x14ac:dyDescent="0.3">
      <c r="A264" s="38" t="s">
        <v>604</v>
      </c>
      <c r="B264" s="40">
        <v>4224</v>
      </c>
      <c r="C264" s="41">
        <v>0.19800000000000001</v>
      </c>
      <c r="D264" s="38">
        <v>36</v>
      </c>
      <c r="E264" s="38" t="s">
        <v>35</v>
      </c>
      <c r="F264" s="38" t="s">
        <v>114</v>
      </c>
      <c r="G264" s="38">
        <v>52439</v>
      </c>
      <c r="H264" s="43">
        <v>0.31</v>
      </c>
      <c r="I264" s="43">
        <v>0.65</v>
      </c>
      <c r="J264" s="38">
        <v>38.6</v>
      </c>
      <c r="K264" s="42">
        <v>2509.056</v>
      </c>
      <c r="L264" s="42">
        <v>836.35</v>
      </c>
      <c r="M264" s="38">
        <v>0</v>
      </c>
    </row>
    <row r="265" spans="1:13" ht="15" customHeight="1" x14ac:dyDescent="0.3">
      <c r="A265" s="56" t="s">
        <v>606</v>
      </c>
      <c r="B265" s="58">
        <v>19268</v>
      </c>
      <c r="C265" s="59">
        <v>0.11600000000000001</v>
      </c>
      <c r="D265" s="56">
        <v>36</v>
      </c>
      <c r="E265" s="56" t="s">
        <v>37</v>
      </c>
      <c r="F265" s="56" t="s">
        <v>60</v>
      </c>
      <c r="G265" s="56">
        <v>148747</v>
      </c>
      <c r="H265" s="61">
        <v>0.22</v>
      </c>
      <c r="I265" s="61">
        <v>0.52</v>
      </c>
      <c r="J265" s="56">
        <v>38.6</v>
      </c>
      <c r="K265" s="60">
        <v>6705.2640000000001</v>
      </c>
      <c r="L265" s="60">
        <v>-9641.4599999999991</v>
      </c>
      <c r="M265" s="56">
        <v>1</v>
      </c>
    </row>
    <row r="266" spans="1:13" ht="15" customHeight="1" x14ac:dyDescent="0.3">
      <c r="A266" s="44" t="s">
        <v>608</v>
      </c>
      <c r="B266" s="46">
        <v>21733</v>
      </c>
      <c r="C266" s="47">
        <v>0.10299999999999999</v>
      </c>
      <c r="D266" s="44">
        <v>36</v>
      </c>
      <c r="E266" s="44" t="s">
        <v>36</v>
      </c>
      <c r="F266" s="44" t="s">
        <v>80</v>
      </c>
      <c r="G266" s="44">
        <v>98309</v>
      </c>
      <c r="H266" s="49">
        <v>0.13</v>
      </c>
      <c r="I266" s="49">
        <v>0.55000000000000004</v>
      </c>
      <c r="J266" s="44">
        <v>38.6</v>
      </c>
      <c r="K266" s="48">
        <v>6715.4970000000003</v>
      </c>
      <c r="L266" s="48">
        <v>-17170.23</v>
      </c>
      <c r="M266" s="44">
        <v>0</v>
      </c>
    </row>
    <row r="267" spans="1:13" ht="15" customHeight="1" x14ac:dyDescent="0.3">
      <c r="A267" s="38" t="s">
        <v>610</v>
      </c>
      <c r="B267" s="40">
        <v>33007</v>
      </c>
      <c r="C267" s="41">
        <v>0.155</v>
      </c>
      <c r="D267" s="38">
        <v>60</v>
      </c>
      <c r="E267" s="38" t="s">
        <v>35</v>
      </c>
      <c r="F267" s="38" t="s">
        <v>80</v>
      </c>
      <c r="G267" s="38">
        <v>34992</v>
      </c>
      <c r="H267" s="43">
        <v>0.1</v>
      </c>
      <c r="I267" s="43">
        <v>0.59</v>
      </c>
      <c r="J267" s="38">
        <v>38.5</v>
      </c>
      <c r="K267" s="42">
        <v>25580.424999999999</v>
      </c>
      <c r="L267" s="42">
        <v>5116.08</v>
      </c>
      <c r="M267" s="38">
        <v>0</v>
      </c>
    </row>
    <row r="268" spans="1:13" ht="15" customHeight="1" x14ac:dyDescent="0.3">
      <c r="A268" s="44" t="s">
        <v>612</v>
      </c>
      <c r="B268" s="46">
        <v>2750</v>
      </c>
      <c r="C268" s="47">
        <v>6.0999999999999999E-2</v>
      </c>
      <c r="D268" s="44">
        <v>60</v>
      </c>
      <c r="E268" s="44" t="s">
        <v>36</v>
      </c>
      <c r="F268" s="44" t="s">
        <v>71</v>
      </c>
      <c r="G268" s="44">
        <v>98975</v>
      </c>
      <c r="H268" s="49">
        <v>0.46</v>
      </c>
      <c r="I268" s="49">
        <v>0.82</v>
      </c>
      <c r="J268" s="44">
        <v>38.5</v>
      </c>
      <c r="K268" s="48">
        <v>838.75</v>
      </c>
      <c r="L268" s="48">
        <v>-2573.08</v>
      </c>
      <c r="M268" s="44">
        <v>0</v>
      </c>
    </row>
    <row r="269" spans="1:13" ht="15" customHeight="1" x14ac:dyDescent="0.3">
      <c r="A269" s="44" t="s">
        <v>614</v>
      </c>
      <c r="B269" s="46">
        <v>11816</v>
      </c>
      <c r="C269" s="47">
        <v>0.114</v>
      </c>
      <c r="D269" s="44">
        <v>36</v>
      </c>
      <c r="E269" s="44" t="s">
        <v>36</v>
      </c>
      <c r="F269" s="44" t="s">
        <v>66</v>
      </c>
      <c r="G269" s="44">
        <v>42226</v>
      </c>
      <c r="H269" s="49">
        <v>0.2</v>
      </c>
      <c r="I269" s="49">
        <v>0.56000000000000005</v>
      </c>
      <c r="J269" s="44">
        <v>38.299999999999997</v>
      </c>
      <c r="K269" s="48">
        <v>4041.0720000000001</v>
      </c>
      <c r="L269" s="48">
        <v>-8791.8799999999992</v>
      </c>
      <c r="M269" s="44">
        <v>0</v>
      </c>
    </row>
    <row r="270" spans="1:13" ht="15" customHeight="1" x14ac:dyDescent="0.3">
      <c r="A270" s="44" t="s">
        <v>616</v>
      </c>
      <c r="B270" s="46">
        <v>21587</v>
      </c>
      <c r="C270" s="47">
        <v>0.16</v>
      </c>
      <c r="D270" s="44">
        <v>36</v>
      </c>
      <c r="E270" s="44" t="s">
        <v>36</v>
      </c>
      <c r="F270" s="44" t="s">
        <v>114</v>
      </c>
      <c r="G270" s="44">
        <v>98842</v>
      </c>
      <c r="H270" s="49">
        <v>0.23</v>
      </c>
      <c r="I270" s="49">
        <v>0.69</v>
      </c>
      <c r="J270" s="44">
        <v>38.299999999999997</v>
      </c>
      <c r="K270" s="48">
        <v>10361.76</v>
      </c>
      <c r="L270" s="48">
        <v>-16036.02</v>
      </c>
      <c r="M270" s="44">
        <v>0</v>
      </c>
    </row>
    <row r="271" spans="1:13" ht="15" customHeight="1" x14ac:dyDescent="0.3">
      <c r="A271" s="44" t="s">
        <v>618</v>
      </c>
      <c r="B271" s="46">
        <v>34893</v>
      </c>
      <c r="C271" s="47">
        <v>0.218</v>
      </c>
      <c r="D271" s="44">
        <v>60</v>
      </c>
      <c r="E271" s="44" t="s">
        <v>36</v>
      </c>
      <c r="F271" s="44" t="s">
        <v>60</v>
      </c>
      <c r="G271" s="44">
        <v>140529</v>
      </c>
      <c r="H271" s="49">
        <v>0.41</v>
      </c>
      <c r="I271" s="49">
        <v>0.56000000000000005</v>
      </c>
      <c r="J271" s="44">
        <v>38.299999999999997</v>
      </c>
      <c r="K271" s="48">
        <v>38033.370000000003</v>
      </c>
      <c r="L271" s="48">
        <v>-26110.36</v>
      </c>
      <c r="M271" s="44">
        <v>0</v>
      </c>
    </row>
    <row r="272" spans="1:13" ht="15" customHeight="1" x14ac:dyDescent="0.3">
      <c r="A272" s="44" t="s">
        <v>620</v>
      </c>
      <c r="B272" s="46">
        <v>21421</v>
      </c>
      <c r="C272" s="47">
        <v>0.23599999999999999</v>
      </c>
      <c r="D272" s="44">
        <v>36</v>
      </c>
      <c r="E272" s="44" t="s">
        <v>36</v>
      </c>
      <c r="F272" s="44" t="s">
        <v>60</v>
      </c>
      <c r="G272" s="44">
        <v>61349</v>
      </c>
      <c r="H272" s="49">
        <v>0.22</v>
      </c>
      <c r="I272" s="49">
        <v>0.65</v>
      </c>
      <c r="J272" s="44">
        <v>38.1</v>
      </c>
      <c r="K272" s="48">
        <v>15166.067999999999</v>
      </c>
      <c r="L272" s="48">
        <v>-17779.53</v>
      </c>
      <c r="M272" s="44">
        <v>0</v>
      </c>
    </row>
    <row r="273" spans="1:13" ht="15" customHeight="1" x14ac:dyDescent="0.3">
      <c r="A273" s="38" t="s">
        <v>622</v>
      </c>
      <c r="B273" s="40">
        <v>3139</v>
      </c>
      <c r="C273" s="41">
        <v>0.19500000000000001</v>
      </c>
      <c r="D273" s="38">
        <v>36</v>
      </c>
      <c r="E273" s="38" t="s">
        <v>35</v>
      </c>
      <c r="F273" s="38" t="s">
        <v>83</v>
      </c>
      <c r="G273" s="38">
        <v>109818</v>
      </c>
      <c r="H273" s="43">
        <v>0.1</v>
      </c>
      <c r="I273" s="43">
        <v>0.57999999999999996</v>
      </c>
      <c r="J273" s="38">
        <v>38.1</v>
      </c>
      <c r="K273" s="42">
        <v>1836.3150000000001</v>
      </c>
      <c r="L273" s="42">
        <v>612.1</v>
      </c>
      <c r="M273" s="38">
        <v>0</v>
      </c>
    </row>
    <row r="274" spans="1:13" ht="15" customHeight="1" x14ac:dyDescent="0.3">
      <c r="A274" s="38" t="s">
        <v>624</v>
      </c>
      <c r="B274" s="40">
        <v>13178</v>
      </c>
      <c r="C274" s="41">
        <v>0.24399999999999999</v>
      </c>
      <c r="D274" s="38">
        <v>60</v>
      </c>
      <c r="E274" s="38" t="s">
        <v>35</v>
      </c>
      <c r="F274" s="38" t="s">
        <v>66</v>
      </c>
      <c r="G274" s="38">
        <v>121911</v>
      </c>
      <c r="H274" s="43">
        <v>0.23</v>
      </c>
      <c r="I274" s="43">
        <v>0.94</v>
      </c>
      <c r="J274" s="38">
        <v>38</v>
      </c>
      <c r="K274" s="42">
        <v>16077.16</v>
      </c>
      <c r="L274" s="42">
        <v>3215.43</v>
      </c>
      <c r="M274" s="38">
        <v>0</v>
      </c>
    </row>
    <row r="275" spans="1:13" ht="15" customHeight="1" x14ac:dyDescent="0.3">
      <c r="A275" s="56" t="s">
        <v>626</v>
      </c>
      <c r="B275" s="58">
        <v>17661</v>
      </c>
      <c r="C275" s="59">
        <v>0.10100000000000001</v>
      </c>
      <c r="D275" s="56">
        <v>60</v>
      </c>
      <c r="E275" s="56" t="s">
        <v>37</v>
      </c>
      <c r="F275" s="56" t="s">
        <v>66</v>
      </c>
      <c r="G275" s="56">
        <v>147275</v>
      </c>
      <c r="H275" s="61">
        <v>0.41</v>
      </c>
      <c r="I275" s="61">
        <v>0.69</v>
      </c>
      <c r="J275" s="56">
        <v>38</v>
      </c>
      <c r="K275" s="60">
        <v>8918.8050000000003</v>
      </c>
      <c r="L275" s="60">
        <v>-14644.73</v>
      </c>
      <c r="M275" s="56">
        <v>1</v>
      </c>
    </row>
    <row r="276" spans="1:13" ht="15" customHeight="1" x14ac:dyDescent="0.3">
      <c r="A276" s="38" t="s">
        <v>628</v>
      </c>
      <c r="B276" s="40">
        <v>12421</v>
      </c>
      <c r="C276" s="41">
        <v>0.127</v>
      </c>
      <c r="D276" s="38">
        <v>60</v>
      </c>
      <c r="E276" s="38" t="s">
        <v>35</v>
      </c>
      <c r="F276" s="38" t="s">
        <v>71</v>
      </c>
      <c r="G276" s="38">
        <v>36511</v>
      </c>
      <c r="H276" s="43">
        <v>0.17</v>
      </c>
      <c r="I276" s="43">
        <v>0.66</v>
      </c>
      <c r="J276" s="38">
        <v>37.700000000000003</v>
      </c>
      <c r="K276" s="42">
        <v>7887.335</v>
      </c>
      <c r="L276" s="42">
        <v>1577.47</v>
      </c>
      <c r="M276" s="38">
        <v>0</v>
      </c>
    </row>
    <row r="277" spans="1:13" ht="15" customHeight="1" x14ac:dyDescent="0.3">
      <c r="A277" s="38" t="s">
        <v>630</v>
      </c>
      <c r="B277" s="40">
        <v>35406</v>
      </c>
      <c r="C277" s="41">
        <v>0.17799999999999999</v>
      </c>
      <c r="D277" s="38">
        <v>60</v>
      </c>
      <c r="E277" s="38" t="s">
        <v>35</v>
      </c>
      <c r="F277" s="38" t="s">
        <v>66</v>
      </c>
      <c r="G277" s="38">
        <v>50922</v>
      </c>
      <c r="H277" s="43">
        <v>0.12</v>
      </c>
      <c r="I277" s="43">
        <v>0.54</v>
      </c>
      <c r="J277" s="38">
        <v>37.700000000000003</v>
      </c>
      <c r="K277" s="42">
        <v>31511.34</v>
      </c>
      <c r="L277" s="42">
        <v>6302.27</v>
      </c>
      <c r="M277" s="38">
        <v>0</v>
      </c>
    </row>
    <row r="278" spans="1:13" ht="15" customHeight="1" x14ac:dyDescent="0.3">
      <c r="A278" s="44" t="s">
        <v>632</v>
      </c>
      <c r="B278" s="46">
        <v>27660</v>
      </c>
      <c r="C278" s="47">
        <v>0.182</v>
      </c>
      <c r="D278" s="44">
        <v>36</v>
      </c>
      <c r="E278" s="44" t="s">
        <v>36</v>
      </c>
      <c r="F278" s="44" t="s">
        <v>66</v>
      </c>
      <c r="G278" s="44">
        <v>141585</v>
      </c>
      <c r="H278" s="49">
        <v>0.5</v>
      </c>
      <c r="I278" s="49">
        <v>0.57999999999999996</v>
      </c>
      <c r="J278" s="44">
        <v>37.700000000000003</v>
      </c>
      <c r="K278" s="48">
        <v>15102.36</v>
      </c>
      <c r="L278" s="48">
        <v>-19485.810000000001</v>
      </c>
      <c r="M278" s="44">
        <v>0</v>
      </c>
    </row>
    <row r="279" spans="1:13" ht="15" customHeight="1" x14ac:dyDescent="0.3">
      <c r="A279" s="44" t="s">
        <v>634</v>
      </c>
      <c r="B279" s="46">
        <v>8151</v>
      </c>
      <c r="C279" s="47">
        <v>0.14299999999999999</v>
      </c>
      <c r="D279" s="44">
        <v>36</v>
      </c>
      <c r="E279" s="44" t="s">
        <v>36</v>
      </c>
      <c r="F279" s="44" t="s">
        <v>114</v>
      </c>
      <c r="G279" s="44">
        <v>134926</v>
      </c>
      <c r="H279" s="49">
        <v>0.22</v>
      </c>
      <c r="I279" s="49">
        <v>0.54</v>
      </c>
      <c r="J279" s="44">
        <v>37.6</v>
      </c>
      <c r="K279" s="48">
        <v>3496.779</v>
      </c>
      <c r="L279" s="48">
        <v>-4558.4799999999996</v>
      </c>
      <c r="M279" s="44">
        <v>0</v>
      </c>
    </row>
    <row r="280" spans="1:13" ht="15" customHeight="1" x14ac:dyDescent="0.3">
      <c r="A280" s="38" t="s">
        <v>636</v>
      </c>
      <c r="B280" s="40">
        <v>30077</v>
      </c>
      <c r="C280" s="41">
        <v>0.20599999999999999</v>
      </c>
      <c r="D280" s="38">
        <v>60</v>
      </c>
      <c r="E280" s="38" t="s">
        <v>35</v>
      </c>
      <c r="F280" s="38" t="s">
        <v>60</v>
      </c>
      <c r="G280" s="38">
        <v>120101</v>
      </c>
      <c r="H280" s="43">
        <v>0.46</v>
      </c>
      <c r="I280" s="43">
        <v>0.87</v>
      </c>
      <c r="J280" s="38">
        <v>37.6</v>
      </c>
      <c r="K280" s="42">
        <v>30979.31</v>
      </c>
      <c r="L280" s="42">
        <v>6195.86</v>
      </c>
      <c r="M280" s="38">
        <v>0</v>
      </c>
    </row>
    <row r="281" spans="1:13" ht="15" customHeight="1" x14ac:dyDescent="0.3">
      <c r="A281" s="38" t="s">
        <v>638</v>
      </c>
      <c r="B281" s="40">
        <v>17014</v>
      </c>
      <c r="C281" s="41">
        <v>0.214</v>
      </c>
      <c r="D281" s="38">
        <v>36</v>
      </c>
      <c r="E281" s="38" t="s">
        <v>35</v>
      </c>
      <c r="F281" s="38" t="s">
        <v>71</v>
      </c>
      <c r="G281" s="38">
        <v>116242</v>
      </c>
      <c r="H281" s="43">
        <v>0.23</v>
      </c>
      <c r="I281" s="43">
        <v>0.89</v>
      </c>
      <c r="J281" s="38">
        <v>37.5</v>
      </c>
      <c r="K281" s="42">
        <v>10922.987999999999</v>
      </c>
      <c r="L281" s="42">
        <v>3641</v>
      </c>
      <c r="M281" s="38">
        <v>0</v>
      </c>
    </row>
    <row r="282" spans="1:13" ht="15" customHeight="1" x14ac:dyDescent="0.3">
      <c r="A282" s="38" t="s">
        <v>640</v>
      </c>
      <c r="B282" s="40">
        <v>1545</v>
      </c>
      <c r="C282" s="41">
        <v>9.2999999999999999E-2</v>
      </c>
      <c r="D282" s="38">
        <v>36</v>
      </c>
      <c r="E282" s="38" t="s">
        <v>35</v>
      </c>
      <c r="F282" s="38" t="s">
        <v>83</v>
      </c>
      <c r="G282" s="38">
        <v>131582</v>
      </c>
      <c r="H282" s="43">
        <v>0.39</v>
      </c>
      <c r="I282" s="43">
        <v>0.72</v>
      </c>
      <c r="J282" s="38">
        <v>37.5</v>
      </c>
      <c r="K282" s="42">
        <v>431.05500000000001</v>
      </c>
      <c r="L282" s="42">
        <v>143.68</v>
      </c>
      <c r="M282" s="38">
        <v>0</v>
      </c>
    </row>
    <row r="283" spans="1:13" ht="15" customHeight="1" x14ac:dyDescent="0.3">
      <c r="A283" s="44" t="s">
        <v>642</v>
      </c>
      <c r="B283" s="46">
        <v>37451</v>
      </c>
      <c r="C283" s="47">
        <v>0.214</v>
      </c>
      <c r="D283" s="44">
        <v>60</v>
      </c>
      <c r="E283" s="44" t="s">
        <v>36</v>
      </c>
      <c r="F283" s="44" t="s">
        <v>71</v>
      </c>
      <c r="G283" s="44">
        <v>99460</v>
      </c>
      <c r="H283" s="49">
        <v>0.18</v>
      </c>
      <c r="I283" s="49">
        <v>0.66</v>
      </c>
      <c r="J283" s="44">
        <v>37.5</v>
      </c>
      <c r="K283" s="48">
        <v>40072.57</v>
      </c>
      <c r="L283" s="48">
        <v>-31040.45</v>
      </c>
      <c r="M283" s="44">
        <v>0</v>
      </c>
    </row>
    <row r="284" spans="1:13" ht="15" customHeight="1" x14ac:dyDescent="0.3">
      <c r="A284" s="38" t="s">
        <v>644</v>
      </c>
      <c r="B284" s="40">
        <v>30344</v>
      </c>
      <c r="C284" s="41">
        <v>0.11799999999999999</v>
      </c>
      <c r="D284" s="38">
        <v>60</v>
      </c>
      <c r="E284" s="38" t="s">
        <v>35</v>
      </c>
      <c r="F284" s="38" t="s">
        <v>83</v>
      </c>
      <c r="G284" s="38">
        <v>120610</v>
      </c>
      <c r="H284" s="43">
        <v>0.25</v>
      </c>
      <c r="I284" s="43">
        <v>0.6</v>
      </c>
      <c r="J284" s="38">
        <v>37.5</v>
      </c>
      <c r="K284" s="42">
        <v>17902.96</v>
      </c>
      <c r="L284" s="42">
        <v>3580.59</v>
      </c>
      <c r="M284" s="38">
        <v>0</v>
      </c>
    </row>
    <row r="285" spans="1:13" ht="15" customHeight="1" x14ac:dyDescent="0.3">
      <c r="A285" s="38" t="s">
        <v>646</v>
      </c>
      <c r="B285" s="40">
        <v>38311</v>
      </c>
      <c r="C285" s="41">
        <v>7.1999999999999995E-2</v>
      </c>
      <c r="D285" s="38">
        <v>36</v>
      </c>
      <c r="E285" s="38" t="s">
        <v>35</v>
      </c>
      <c r="F285" s="38" t="s">
        <v>114</v>
      </c>
      <c r="G285" s="38">
        <v>40922</v>
      </c>
      <c r="H285" s="43">
        <v>0.42</v>
      </c>
      <c r="I285" s="43">
        <v>0.68</v>
      </c>
      <c r="J285" s="38">
        <v>37.5</v>
      </c>
      <c r="K285" s="42">
        <v>8275.1759999999995</v>
      </c>
      <c r="L285" s="42">
        <v>2758.39</v>
      </c>
      <c r="M285" s="38">
        <v>0</v>
      </c>
    </row>
    <row r="286" spans="1:13" ht="15" customHeight="1" x14ac:dyDescent="0.3">
      <c r="A286" s="44" t="s">
        <v>648</v>
      </c>
      <c r="B286" s="46">
        <v>30328</v>
      </c>
      <c r="C286" s="47">
        <v>0.215</v>
      </c>
      <c r="D286" s="44">
        <v>36</v>
      </c>
      <c r="E286" s="44" t="s">
        <v>36</v>
      </c>
      <c r="F286" s="44" t="s">
        <v>71</v>
      </c>
      <c r="G286" s="44">
        <v>50389</v>
      </c>
      <c r="H286" s="49">
        <v>0.13</v>
      </c>
      <c r="I286" s="49">
        <v>0.93</v>
      </c>
      <c r="J286" s="44">
        <v>37.4</v>
      </c>
      <c r="K286" s="48">
        <v>19561.560000000001</v>
      </c>
      <c r="L286" s="48">
        <v>-23854.94</v>
      </c>
      <c r="M286" s="44">
        <v>0</v>
      </c>
    </row>
    <row r="287" spans="1:13" ht="15" customHeight="1" x14ac:dyDescent="0.3">
      <c r="A287" s="44" t="s">
        <v>650</v>
      </c>
      <c r="B287" s="46">
        <v>10435</v>
      </c>
      <c r="C287" s="47">
        <v>5.6000000000000001E-2</v>
      </c>
      <c r="D287" s="44">
        <v>36</v>
      </c>
      <c r="E287" s="44" t="s">
        <v>36</v>
      </c>
      <c r="F287" s="44" t="s">
        <v>80</v>
      </c>
      <c r="G287" s="44">
        <v>82265</v>
      </c>
      <c r="H287" s="49">
        <v>0.11</v>
      </c>
      <c r="I287" s="49">
        <v>0.89</v>
      </c>
      <c r="J287" s="44">
        <v>37.299999999999997</v>
      </c>
      <c r="K287" s="48">
        <v>1753.08</v>
      </c>
      <c r="L287" s="48">
        <v>-9106.57</v>
      </c>
      <c r="M287" s="44">
        <v>0</v>
      </c>
    </row>
    <row r="288" spans="1:13" ht="15" customHeight="1" x14ac:dyDescent="0.3">
      <c r="A288" s="38" t="s">
        <v>652</v>
      </c>
      <c r="B288" s="40">
        <v>12871</v>
      </c>
      <c r="C288" s="41">
        <v>0.188</v>
      </c>
      <c r="D288" s="38">
        <v>60</v>
      </c>
      <c r="E288" s="38" t="s">
        <v>35</v>
      </c>
      <c r="F288" s="38" t="s">
        <v>83</v>
      </c>
      <c r="G288" s="38">
        <v>125082</v>
      </c>
      <c r="H288" s="43">
        <v>0.21</v>
      </c>
      <c r="I288" s="43">
        <v>0.75</v>
      </c>
      <c r="J288" s="38">
        <v>37.299999999999997</v>
      </c>
      <c r="K288" s="42">
        <v>12098.74</v>
      </c>
      <c r="L288" s="42">
        <v>2419.75</v>
      </c>
      <c r="M288" s="38">
        <v>0</v>
      </c>
    </row>
    <row r="289" spans="1:13" ht="15" customHeight="1" x14ac:dyDescent="0.3">
      <c r="A289" s="38" t="s">
        <v>654</v>
      </c>
      <c r="B289" s="40">
        <v>35171</v>
      </c>
      <c r="C289" s="41">
        <v>0.183</v>
      </c>
      <c r="D289" s="38">
        <v>60</v>
      </c>
      <c r="E289" s="38" t="s">
        <v>35</v>
      </c>
      <c r="F289" s="38" t="s">
        <v>257</v>
      </c>
      <c r="G289" s="38">
        <v>50316</v>
      </c>
      <c r="H289" s="43">
        <v>0.32</v>
      </c>
      <c r="I289" s="43">
        <v>0.7</v>
      </c>
      <c r="J289" s="38">
        <v>37.200000000000003</v>
      </c>
      <c r="K289" s="42">
        <v>32181.465</v>
      </c>
      <c r="L289" s="42">
        <v>6436.29</v>
      </c>
      <c r="M289" s="38">
        <v>0</v>
      </c>
    </row>
    <row r="290" spans="1:13" ht="15" customHeight="1" x14ac:dyDescent="0.3">
      <c r="A290" s="44" t="s">
        <v>656</v>
      </c>
      <c r="B290" s="46">
        <v>18014</v>
      </c>
      <c r="C290" s="47">
        <v>0.17699999999999999</v>
      </c>
      <c r="D290" s="44">
        <v>60</v>
      </c>
      <c r="E290" s="44" t="s">
        <v>36</v>
      </c>
      <c r="F290" s="44" t="s">
        <v>60</v>
      </c>
      <c r="G290" s="44">
        <v>100453</v>
      </c>
      <c r="H290" s="49">
        <v>0.25</v>
      </c>
      <c r="I290" s="49">
        <v>0.54</v>
      </c>
      <c r="J290" s="44">
        <v>37.200000000000003</v>
      </c>
      <c r="K290" s="48">
        <v>15942.39</v>
      </c>
      <c r="L290" s="48">
        <v>-10748.21</v>
      </c>
      <c r="M290" s="44">
        <v>0</v>
      </c>
    </row>
    <row r="291" spans="1:13" ht="15" customHeight="1" x14ac:dyDescent="0.3">
      <c r="A291" s="38" t="s">
        <v>658</v>
      </c>
      <c r="B291" s="40">
        <v>11837</v>
      </c>
      <c r="C291" s="41">
        <v>0.248</v>
      </c>
      <c r="D291" s="38">
        <v>36</v>
      </c>
      <c r="E291" s="38" t="s">
        <v>35</v>
      </c>
      <c r="F291" s="38" t="s">
        <v>83</v>
      </c>
      <c r="G291" s="38">
        <v>36078</v>
      </c>
      <c r="H291" s="43">
        <v>0.32</v>
      </c>
      <c r="I291" s="43">
        <v>0.92</v>
      </c>
      <c r="J291" s="38">
        <v>37.200000000000003</v>
      </c>
      <c r="K291" s="42">
        <v>8806.7279999999992</v>
      </c>
      <c r="L291" s="42">
        <v>2935.58</v>
      </c>
      <c r="M291" s="38">
        <v>0</v>
      </c>
    </row>
    <row r="292" spans="1:13" ht="15" customHeight="1" x14ac:dyDescent="0.3">
      <c r="A292" s="38" t="s">
        <v>660</v>
      </c>
      <c r="B292" s="40">
        <v>17725</v>
      </c>
      <c r="C292" s="41">
        <v>0.127</v>
      </c>
      <c r="D292" s="38">
        <v>36</v>
      </c>
      <c r="E292" s="38" t="s">
        <v>35</v>
      </c>
      <c r="F292" s="38" t="s">
        <v>257</v>
      </c>
      <c r="G292" s="38">
        <v>148696</v>
      </c>
      <c r="H292" s="43">
        <v>0.16</v>
      </c>
      <c r="I292" s="43">
        <v>0.79</v>
      </c>
      <c r="J292" s="38">
        <v>37.1</v>
      </c>
      <c r="K292" s="42">
        <v>6753.2250000000004</v>
      </c>
      <c r="L292" s="42">
        <v>2251.08</v>
      </c>
      <c r="M292" s="38">
        <v>0</v>
      </c>
    </row>
    <row r="293" spans="1:13" ht="15" customHeight="1" x14ac:dyDescent="0.3">
      <c r="A293" s="38" t="s">
        <v>662</v>
      </c>
      <c r="B293" s="40">
        <v>34755</v>
      </c>
      <c r="C293" s="41">
        <v>0.22700000000000001</v>
      </c>
      <c r="D293" s="38">
        <v>36</v>
      </c>
      <c r="E293" s="38" t="s">
        <v>35</v>
      </c>
      <c r="F293" s="38" t="s">
        <v>83</v>
      </c>
      <c r="G293" s="38">
        <v>122298</v>
      </c>
      <c r="H293" s="43">
        <v>0.17</v>
      </c>
      <c r="I293" s="43">
        <v>0.85</v>
      </c>
      <c r="J293" s="38">
        <v>37</v>
      </c>
      <c r="K293" s="42">
        <v>23668.154999999999</v>
      </c>
      <c r="L293" s="42">
        <v>7889.38</v>
      </c>
      <c r="M293" s="38">
        <v>0</v>
      </c>
    </row>
    <row r="294" spans="1:13" ht="15" customHeight="1" x14ac:dyDescent="0.3">
      <c r="A294" s="38" t="s">
        <v>664</v>
      </c>
      <c r="B294" s="40">
        <v>4380</v>
      </c>
      <c r="C294" s="41">
        <v>0.113</v>
      </c>
      <c r="D294" s="38">
        <v>36</v>
      </c>
      <c r="E294" s="38" t="s">
        <v>35</v>
      </c>
      <c r="F294" s="38" t="s">
        <v>71</v>
      </c>
      <c r="G294" s="38">
        <v>35213</v>
      </c>
      <c r="H294" s="43">
        <v>0.5</v>
      </c>
      <c r="I294" s="43">
        <v>0.92</v>
      </c>
      <c r="J294" s="38">
        <v>37</v>
      </c>
      <c r="K294" s="42">
        <v>1484.82</v>
      </c>
      <c r="L294" s="42">
        <v>494.94</v>
      </c>
      <c r="M294" s="38">
        <v>0</v>
      </c>
    </row>
    <row r="295" spans="1:13" ht="15" customHeight="1" x14ac:dyDescent="0.3">
      <c r="A295" s="44" t="s">
        <v>666</v>
      </c>
      <c r="B295" s="46">
        <v>4726</v>
      </c>
      <c r="C295" s="47">
        <v>0.249</v>
      </c>
      <c r="D295" s="44">
        <v>36</v>
      </c>
      <c r="E295" s="44" t="s">
        <v>36</v>
      </c>
      <c r="F295" s="44" t="s">
        <v>83</v>
      </c>
      <c r="G295" s="44">
        <v>134433</v>
      </c>
      <c r="H295" s="49">
        <v>0.34</v>
      </c>
      <c r="I295" s="49">
        <v>0.57999999999999996</v>
      </c>
      <c r="J295" s="44">
        <v>36.9</v>
      </c>
      <c r="K295" s="48">
        <v>3530.3220000000001</v>
      </c>
      <c r="L295" s="48">
        <v>-3210.39</v>
      </c>
      <c r="M295" s="44">
        <v>0</v>
      </c>
    </row>
    <row r="296" spans="1:13" ht="15" customHeight="1" x14ac:dyDescent="0.3">
      <c r="A296" s="38" t="s">
        <v>668</v>
      </c>
      <c r="B296" s="40">
        <v>38573</v>
      </c>
      <c r="C296" s="41">
        <v>8.5000000000000006E-2</v>
      </c>
      <c r="D296" s="38">
        <v>36</v>
      </c>
      <c r="E296" s="38" t="s">
        <v>35</v>
      </c>
      <c r="F296" s="38" t="s">
        <v>83</v>
      </c>
      <c r="G296" s="38">
        <v>54031</v>
      </c>
      <c r="H296" s="43">
        <v>0.46</v>
      </c>
      <c r="I296" s="43">
        <v>0.76</v>
      </c>
      <c r="J296" s="38">
        <v>36.9</v>
      </c>
      <c r="K296" s="42">
        <v>9836.1149999999998</v>
      </c>
      <c r="L296" s="42">
        <v>3278.7</v>
      </c>
      <c r="M296" s="38">
        <v>0</v>
      </c>
    </row>
    <row r="297" spans="1:13" ht="15" customHeight="1" x14ac:dyDescent="0.3">
      <c r="A297" s="44" t="s">
        <v>670</v>
      </c>
      <c r="B297" s="46">
        <v>11222</v>
      </c>
      <c r="C297" s="47">
        <v>0.20599999999999999</v>
      </c>
      <c r="D297" s="44">
        <v>60</v>
      </c>
      <c r="E297" s="44" t="s">
        <v>36</v>
      </c>
      <c r="F297" s="44" t="s">
        <v>80</v>
      </c>
      <c r="G297" s="44">
        <v>46103</v>
      </c>
      <c r="H297" s="49">
        <v>0.3</v>
      </c>
      <c r="I297" s="49">
        <v>0.82</v>
      </c>
      <c r="J297" s="44">
        <v>36.9</v>
      </c>
      <c r="K297" s="48">
        <v>11558.66</v>
      </c>
      <c r="L297" s="48">
        <v>-6173.34</v>
      </c>
      <c r="M297" s="44">
        <v>0</v>
      </c>
    </row>
    <row r="298" spans="1:13" ht="15" customHeight="1" x14ac:dyDescent="0.3">
      <c r="A298" s="56" t="s">
        <v>672</v>
      </c>
      <c r="B298" s="58">
        <v>20933</v>
      </c>
      <c r="C298" s="59">
        <v>8.3000000000000004E-2</v>
      </c>
      <c r="D298" s="56">
        <v>36</v>
      </c>
      <c r="E298" s="56" t="s">
        <v>37</v>
      </c>
      <c r="F298" s="56" t="s">
        <v>83</v>
      </c>
      <c r="G298" s="56">
        <v>39277</v>
      </c>
      <c r="H298" s="61">
        <v>0.14000000000000001</v>
      </c>
      <c r="I298" s="61">
        <v>0.76</v>
      </c>
      <c r="J298" s="56">
        <v>36.9</v>
      </c>
      <c r="K298" s="60">
        <v>5212.317</v>
      </c>
      <c r="L298" s="60">
        <v>-18413.73</v>
      </c>
      <c r="M298" s="56">
        <v>1</v>
      </c>
    </row>
    <row r="299" spans="1:13" ht="15" customHeight="1" x14ac:dyDescent="0.3">
      <c r="A299" s="38" t="s">
        <v>674</v>
      </c>
      <c r="B299" s="40">
        <v>2560</v>
      </c>
      <c r="C299" s="41">
        <v>0.11799999999999999</v>
      </c>
      <c r="D299" s="38">
        <v>60</v>
      </c>
      <c r="E299" s="38" t="s">
        <v>35</v>
      </c>
      <c r="F299" s="38" t="s">
        <v>60</v>
      </c>
      <c r="G299" s="38">
        <v>120695</v>
      </c>
      <c r="H299" s="43">
        <v>0.35</v>
      </c>
      <c r="I299" s="43">
        <v>0.65</v>
      </c>
      <c r="J299" s="38">
        <v>36.9</v>
      </c>
      <c r="K299" s="42">
        <v>1510.4</v>
      </c>
      <c r="L299" s="42">
        <v>302.08</v>
      </c>
      <c r="M299" s="38">
        <v>0</v>
      </c>
    </row>
    <row r="300" spans="1:13" ht="15" customHeight="1" x14ac:dyDescent="0.3">
      <c r="A300" s="56" t="s">
        <v>676</v>
      </c>
      <c r="B300" s="58">
        <v>2980</v>
      </c>
      <c r="C300" s="59">
        <v>5.6000000000000001E-2</v>
      </c>
      <c r="D300" s="56">
        <v>60</v>
      </c>
      <c r="E300" s="56" t="s">
        <v>37</v>
      </c>
      <c r="F300" s="56" t="s">
        <v>71</v>
      </c>
      <c r="G300" s="56">
        <v>102762</v>
      </c>
      <c r="H300" s="61">
        <v>0.23</v>
      </c>
      <c r="I300" s="61">
        <v>0.79</v>
      </c>
      <c r="J300" s="56">
        <v>36.799999999999997</v>
      </c>
      <c r="K300" s="60">
        <v>834.4</v>
      </c>
      <c r="L300" s="60">
        <v>-2559.5</v>
      </c>
      <c r="M300" s="56">
        <v>1</v>
      </c>
    </row>
    <row r="301" spans="1:13" ht="15" customHeight="1" x14ac:dyDescent="0.3">
      <c r="A301" s="38" t="s">
        <v>678</v>
      </c>
      <c r="B301" s="40">
        <v>17920</v>
      </c>
      <c r="C301" s="41">
        <v>0.215</v>
      </c>
      <c r="D301" s="38">
        <v>60</v>
      </c>
      <c r="E301" s="38" t="s">
        <v>35</v>
      </c>
      <c r="F301" s="38" t="s">
        <v>71</v>
      </c>
      <c r="G301" s="38">
        <v>55464</v>
      </c>
      <c r="H301" s="43">
        <v>0.44</v>
      </c>
      <c r="I301" s="43">
        <v>0.69</v>
      </c>
      <c r="J301" s="38">
        <v>36.799999999999997</v>
      </c>
      <c r="K301" s="42">
        <v>19264</v>
      </c>
      <c r="L301" s="42">
        <v>3852.8</v>
      </c>
      <c r="M301" s="38">
        <v>0</v>
      </c>
    </row>
    <row r="302" spans="1:13" ht="15" customHeight="1" x14ac:dyDescent="0.3">
      <c r="A302" s="44" t="s">
        <v>680</v>
      </c>
      <c r="B302" s="46">
        <v>31987</v>
      </c>
      <c r="C302" s="47">
        <v>0.22600000000000001</v>
      </c>
      <c r="D302" s="44">
        <v>60</v>
      </c>
      <c r="E302" s="44" t="s">
        <v>36</v>
      </c>
      <c r="F302" s="44" t="s">
        <v>83</v>
      </c>
      <c r="G302" s="44">
        <v>73949</v>
      </c>
      <c r="H302" s="49">
        <v>0.18</v>
      </c>
      <c r="I302" s="49">
        <v>0.86</v>
      </c>
      <c r="J302" s="44">
        <v>36.700000000000003</v>
      </c>
      <c r="K302" s="48">
        <v>36145.31</v>
      </c>
      <c r="L302" s="48">
        <v>-29873.08</v>
      </c>
      <c r="M302" s="44">
        <v>0</v>
      </c>
    </row>
    <row r="303" spans="1:13" ht="15" customHeight="1" x14ac:dyDescent="0.3">
      <c r="A303" s="44" t="s">
        <v>682</v>
      </c>
      <c r="B303" s="46">
        <v>2667</v>
      </c>
      <c r="C303" s="47">
        <v>9.1999999999999998E-2</v>
      </c>
      <c r="D303" s="44">
        <v>60</v>
      </c>
      <c r="E303" s="44" t="s">
        <v>36</v>
      </c>
      <c r="F303" s="44" t="s">
        <v>80</v>
      </c>
      <c r="G303" s="44">
        <v>48931</v>
      </c>
      <c r="H303" s="49">
        <v>0.35</v>
      </c>
      <c r="I303" s="49">
        <v>0.66</v>
      </c>
      <c r="J303" s="44">
        <v>36.6</v>
      </c>
      <c r="K303" s="48">
        <v>1226.82</v>
      </c>
      <c r="L303" s="48">
        <v>-1384.31</v>
      </c>
      <c r="M303" s="44">
        <v>0</v>
      </c>
    </row>
    <row r="304" spans="1:13" ht="15" customHeight="1" x14ac:dyDescent="0.3">
      <c r="A304" s="38" t="s">
        <v>684</v>
      </c>
      <c r="B304" s="40">
        <v>16934</v>
      </c>
      <c r="C304" s="41">
        <v>0.19800000000000001</v>
      </c>
      <c r="D304" s="38">
        <v>60</v>
      </c>
      <c r="E304" s="38" t="s">
        <v>35</v>
      </c>
      <c r="F304" s="38" t="s">
        <v>80</v>
      </c>
      <c r="G304" s="38">
        <v>52867</v>
      </c>
      <c r="H304" s="43">
        <v>0.43</v>
      </c>
      <c r="I304" s="43">
        <v>0.87</v>
      </c>
      <c r="J304" s="38">
        <v>36.6</v>
      </c>
      <c r="K304" s="42">
        <v>16764.66</v>
      </c>
      <c r="L304" s="42">
        <v>3352.93</v>
      </c>
      <c r="M304" s="38">
        <v>0</v>
      </c>
    </row>
    <row r="305" spans="1:13" ht="15" customHeight="1" x14ac:dyDescent="0.3">
      <c r="A305" s="38" t="s">
        <v>686</v>
      </c>
      <c r="B305" s="40">
        <v>14395</v>
      </c>
      <c r="C305" s="41">
        <v>6.7000000000000004E-2</v>
      </c>
      <c r="D305" s="38">
        <v>36</v>
      </c>
      <c r="E305" s="38" t="s">
        <v>35</v>
      </c>
      <c r="F305" s="38" t="s">
        <v>83</v>
      </c>
      <c r="G305" s="38">
        <v>85805</v>
      </c>
      <c r="H305" s="43">
        <v>0.33</v>
      </c>
      <c r="I305" s="43">
        <v>0.73</v>
      </c>
      <c r="J305" s="38">
        <v>36.6</v>
      </c>
      <c r="K305" s="42">
        <v>2893.395</v>
      </c>
      <c r="L305" s="42">
        <v>964.45999999999901</v>
      </c>
      <c r="M305" s="38">
        <v>0</v>
      </c>
    </row>
    <row r="306" spans="1:13" ht="15" customHeight="1" x14ac:dyDescent="0.3">
      <c r="A306" s="56" t="s">
        <v>688</v>
      </c>
      <c r="B306" s="58">
        <v>21609</v>
      </c>
      <c r="C306" s="59">
        <v>0.13300000000000001</v>
      </c>
      <c r="D306" s="56">
        <v>36</v>
      </c>
      <c r="E306" s="56" t="s">
        <v>37</v>
      </c>
      <c r="F306" s="56" t="s">
        <v>66</v>
      </c>
      <c r="G306" s="56">
        <v>59523</v>
      </c>
      <c r="H306" s="61">
        <v>0.45</v>
      </c>
      <c r="I306" s="61">
        <v>0.87</v>
      </c>
      <c r="J306" s="56">
        <v>36.6</v>
      </c>
      <c r="K306" s="60">
        <v>8621.991</v>
      </c>
      <c r="L306" s="60">
        <v>-16564.939999999999</v>
      </c>
      <c r="M306" s="56">
        <v>1</v>
      </c>
    </row>
    <row r="307" spans="1:13" ht="15" customHeight="1" x14ac:dyDescent="0.3">
      <c r="A307" s="38" t="s">
        <v>690</v>
      </c>
      <c r="B307" s="40">
        <v>9946</v>
      </c>
      <c r="C307" s="41">
        <v>0.189</v>
      </c>
      <c r="D307" s="38">
        <v>60</v>
      </c>
      <c r="E307" s="38" t="s">
        <v>35</v>
      </c>
      <c r="F307" s="38" t="s">
        <v>83</v>
      </c>
      <c r="G307" s="38">
        <v>146836</v>
      </c>
      <c r="H307" s="43">
        <v>0.28999999999999998</v>
      </c>
      <c r="I307" s="43">
        <v>0.77</v>
      </c>
      <c r="J307" s="38">
        <v>36.6</v>
      </c>
      <c r="K307" s="42">
        <v>9398.9699999999993</v>
      </c>
      <c r="L307" s="42">
        <v>1879.79</v>
      </c>
      <c r="M307" s="38">
        <v>0</v>
      </c>
    </row>
    <row r="308" spans="1:13" ht="15" customHeight="1" x14ac:dyDescent="0.3">
      <c r="A308" s="38" t="s">
        <v>692</v>
      </c>
      <c r="B308" s="40">
        <v>39218</v>
      </c>
      <c r="C308" s="41">
        <v>0.124</v>
      </c>
      <c r="D308" s="38">
        <v>36</v>
      </c>
      <c r="E308" s="38" t="s">
        <v>35</v>
      </c>
      <c r="F308" s="38" t="s">
        <v>71</v>
      </c>
      <c r="G308" s="38">
        <v>143936</v>
      </c>
      <c r="H308" s="43">
        <v>0.24</v>
      </c>
      <c r="I308" s="43">
        <v>0.79</v>
      </c>
      <c r="J308" s="38">
        <v>36.5</v>
      </c>
      <c r="K308" s="42">
        <v>14589.096</v>
      </c>
      <c r="L308" s="42">
        <v>4863.03</v>
      </c>
      <c r="M308" s="38">
        <v>0</v>
      </c>
    </row>
    <row r="309" spans="1:13" ht="15" customHeight="1" x14ac:dyDescent="0.3">
      <c r="A309" s="44" t="s">
        <v>694</v>
      </c>
      <c r="B309" s="46">
        <v>13289</v>
      </c>
      <c r="C309" s="47">
        <v>0.14799999999999999</v>
      </c>
      <c r="D309" s="44">
        <v>60</v>
      </c>
      <c r="E309" s="44" t="s">
        <v>36</v>
      </c>
      <c r="F309" s="44" t="s">
        <v>83</v>
      </c>
      <c r="G309" s="44">
        <v>65464</v>
      </c>
      <c r="H309" s="49">
        <v>0.27</v>
      </c>
      <c r="I309" s="49">
        <v>0.6</v>
      </c>
      <c r="J309" s="44">
        <v>36.5</v>
      </c>
      <c r="K309" s="48">
        <v>9833.86</v>
      </c>
      <c r="L309" s="48">
        <v>-9385.24</v>
      </c>
      <c r="M309" s="44">
        <v>0</v>
      </c>
    </row>
    <row r="310" spans="1:13" ht="15" customHeight="1" x14ac:dyDescent="0.3">
      <c r="A310" s="50" t="s">
        <v>696</v>
      </c>
      <c r="B310" s="52">
        <v>36585</v>
      </c>
      <c r="C310" s="53">
        <v>0.185</v>
      </c>
      <c r="D310" s="50">
        <v>60</v>
      </c>
      <c r="E310" s="50" t="s">
        <v>39</v>
      </c>
      <c r="F310" s="50" t="s">
        <v>80</v>
      </c>
      <c r="G310" s="50">
        <v>117234</v>
      </c>
      <c r="H310" s="55">
        <v>0.22</v>
      </c>
      <c r="I310" s="55">
        <v>0.63</v>
      </c>
      <c r="J310" s="50">
        <v>36.299999999999997</v>
      </c>
      <c r="K310" s="54">
        <v>33841.125</v>
      </c>
      <c r="L310" s="54">
        <v>-36585</v>
      </c>
      <c r="M310" s="50">
        <v>0</v>
      </c>
    </row>
    <row r="311" spans="1:13" ht="15" customHeight="1" x14ac:dyDescent="0.3">
      <c r="A311" s="38" t="s">
        <v>698</v>
      </c>
      <c r="B311" s="40">
        <v>20440</v>
      </c>
      <c r="C311" s="41">
        <v>9.1999999999999998E-2</v>
      </c>
      <c r="D311" s="38">
        <v>36</v>
      </c>
      <c r="E311" s="38" t="s">
        <v>35</v>
      </c>
      <c r="F311" s="38" t="s">
        <v>60</v>
      </c>
      <c r="G311" s="38">
        <v>144894</v>
      </c>
      <c r="H311" s="43">
        <v>0.44</v>
      </c>
      <c r="I311" s="43">
        <v>0.55000000000000004</v>
      </c>
      <c r="J311" s="38">
        <v>36.299999999999997</v>
      </c>
      <c r="K311" s="42">
        <v>5641.44</v>
      </c>
      <c r="L311" s="42">
        <v>1880.48</v>
      </c>
      <c r="M311" s="38">
        <v>0</v>
      </c>
    </row>
    <row r="312" spans="1:13" ht="15" customHeight="1" x14ac:dyDescent="0.3">
      <c r="A312" s="44" t="s">
        <v>700</v>
      </c>
      <c r="B312" s="46">
        <v>13201</v>
      </c>
      <c r="C312" s="47">
        <v>5.0999999999999997E-2</v>
      </c>
      <c r="D312" s="44">
        <v>36</v>
      </c>
      <c r="E312" s="44" t="s">
        <v>36</v>
      </c>
      <c r="F312" s="44" t="s">
        <v>83</v>
      </c>
      <c r="G312" s="44">
        <v>64057</v>
      </c>
      <c r="H312" s="49">
        <v>0.24</v>
      </c>
      <c r="I312" s="49">
        <v>0.7</v>
      </c>
      <c r="J312" s="44">
        <v>36.200000000000003</v>
      </c>
      <c r="K312" s="48">
        <v>2019.7529999999999</v>
      </c>
      <c r="L312" s="48">
        <v>-8238.85</v>
      </c>
      <c r="M312" s="44">
        <v>0</v>
      </c>
    </row>
    <row r="313" spans="1:13" ht="15" customHeight="1" x14ac:dyDescent="0.3">
      <c r="A313" s="38" t="s">
        <v>702</v>
      </c>
      <c r="B313" s="40">
        <v>14380</v>
      </c>
      <c r="C313" s="41">
        <v>0.127</v>
      </c>
      <c r="D313" s="38">
        <v>36</v>
      </c>
      <c r="E313" s="38" t="s">
        <v>35</v>
      </c>
      <c r="F313" s="38" t="s">
        <v>83</v>
      </c>
      <c r="G313" s="38">
        <v>49800</v>
      </c>
      <c r="H313" s="43">
        <v>0.11</v>
      </c>
      <c r="I313" s="43">
        <v>0.6</v>
      </c>
      <c r="J313" s="38">
        <v>36.200000000000003</v>
      </c>
      <c r="K313" s="42">
        <v>5478.78</v>
      </c>
      <c r="L313" s="42">
        <v>1826.26</v>
      </c>
      <c r="M313" s="38">
        <v>0</v>
      </c>
    </row>
    <row r="314" spans="1:13" ht="15" customHeight="1" x14ac:dyDescent="0.3">
      <c r="A314" s="38" t="s">
        <v>704</v>
      </c>
      <c r="B314" s="40">
        <v>27342</v>
      </c>
      <c r="C314" s="41">
        <v>0.215</v>
      </c>
      <c r="D314" s="38">
        <v>36</v>
      </c>
      <c r="E314" s="38" t="s">
        <v>35</v>
      </c>
      <c r="F314" s="38" t="s">
        <v>83</v>
      </c>
      <c r="G314" s="38">
        <v>106777</v>
      </c>
      <c r="H314" s="43">
        <v>0.28999999999999998</v>
      </c>
      <c r="I314" s="43">
        <v>0.65</v>
      </c>
      <c r="J314" s="38">
        <v>36.1</v>
      </c>
      <c r="K314" s="42">
        <v>17635.59</v>
      </c>
      <c r="L314" s="42">
        <v>5878.53</v>
      </c>
      <c r="M314" s="38">
        <v>0</v>
      </c>
    </row>
    <row r="315" spans="1:13" ht="15" customHeight="1" x14ac:dyDescent="0.3">
      <c r="A315" s="56" t="s">
        <v>706</v>
      </c>
      <c r="B315" s="58">
        <v>36631</v>
      </c>
      <c r="C315" s="59">
        <v>8.3000000000000004E-2</v>
      </c>
      <c r="D315" s="56">
        <v>36</v>
      </c>
      <c r="E315" s="56" t="s">
        <v>37</v>
      </c>
      <c r="F315" s="56" t="s">
        <v>80</v>
      </c>
      <c r="G315" s="56">
        <v>86830</v>
      </c>
      <c r="H315" s="61">
        <v>0.12</v>
      </c>
      <c r="I315" s="61">
        <v>0.82</v>
      </c>
      <c r="J315" s="56">
        <v>36.1</v>
      </c>
      <c r="K315" s="60">
        <v>9121.1190000000097</v>
      </c>
      <c r="L315" s="60">
        <v>-26413.27</v>
      </c>
      <c r="M315" s="56">
        <v>1</v>
      </c>
    </row>
    <row r="316" spans="1:13" ht="15" customHeight="1" x14ac:dyDescent="0.3">
      <c r="A316" s="50" t="s">
        <v>708</v>
      </c>
      <c r="B316" s="52">
        <v>23443</v>
      </c>
      <c r="C316" s="53">
        <v>0.121</v>
      </c>
      <c r="D316" s="50">
        <v>36</v>
      </c>
      <c r="E316" s="50" t="s">
        <v>39</v>
      </c>
      <c r="F316" s="50" t="s">
        <v>71</v>
      </c>
      <c r="G316" s="50">
        <v>121632</v>
      </c>
      <c r="H316" s="55">
        <v>0.23</v>
      </c>
      <c r="I316" s="55">
        <v>0.68</v>
      </c>
      <c r="J316" s="50">
        <v>36</v>
      </c>
      <c r="K316" s="54">
        <v>8509.8089999999993</v>
      </c>
      <c r="L316" s="54">
        <v>-23443</v>
      </c>
      <c r="M316" s="50">
        <v>0</v>
      </c>
    </row>
    <row r="317" spans="1:13" ht="15" customHeight="1" x14ac:dyDescent="0.3">
      <c r="A317" s="38" t="s">
        <v>710</v>
      </c>
      <c r="B317" s="40">
        <v>8813</v>
      </c>
      <c r="C317" s="41">
        <v>0.112</v>
      </c>
      <c r="D317" s="38">
        <v>60</v>
      </c>
      <c r="E317" s="38" t="s">
        <v>35</v>
      </c>
      <c r="F317" s="38" t="s">
        <v>83</v>
      </c>
      <c r="G317" s="38">
        <v>76646</v>
      </c>
      <c r="H317" s="43">
        <v>0.28000000000000003</v>
      </c>
      <c r="I317" s="43">
        <v>0.86</v>
      </c>
      <c r="J317" s="38">
        <v>35.799999999999997</v>
      </c>
      <c r="K317" s="42">
        <v>4935.28</v>
      </c>
      <c r="L317" s="42">
        <v>987.06</v>
      </c>
      <c r="M317" s="38">
        <v>0</v>
      </c>
    </row>
    <row r="318" spans="1:13" ht="15" customHeight="1" x14ac:dyDescent="0.3">
      <c r="A318" s="56" t="s">
        <v>712</v>
      </c>
      <c r="B318" s="58">
        <v>34328</v>
      </c>
      <c r="C318" s="59">
        <v>0.14499999999999999</v>
      </c>
      <c r="D318" s="56">
        <v>36</v>
      </c>
      <c r="E318" s="56" t="s">
        <v>37</v>
      </c>
      <c r="F318" s="56" t="s">
        <v>80</v>
      </c>
      <c r="G318" s="56">
        <v>135299</v>
      </c>
      <c r="H318" s="61">
        <v>0.46</v>
      </c>
      <c r="I318" s="61">
        <v>0.59</v>
      </c>
      <c r="J318" s="56">
        <v>35.799999999999997</v>
      </c>
      <c r="K318" s="60">
        <v>14932.68</v>
      </c>
      <c r="L318" s="60">
        <v>-19856.23</v>
      </c>
      <c r="M318" s="56">
        <v>1</v>
      </c>
    </row>
    <row r="319" spans="1:13" ht="15" customHeight="1" x14ac:dyDescent="0.3">
      <c r="A319" s="38" t="s">
        <v>714</v>
      </c>
      <c r="B319" s="40">
        <v>22116</v>
      </c>
      <c r="C319" s="41">
        <v>0.23100000000000001</v>
      </c>
      <c r="D319" s="38">
        <v>60</v>
      </c>
      <c r="E319" s="38" t="s">
        <v>35</v>
      </c>
      <c r="F319" s="38" t="s">
        <v>66</v>
      </c>
      <c r="G319" s="38">
        <v>52765</v>
      </c>
      <c r="H319" s="43">
        <v>0.19</v>
      </c>
      <c r="I319" s="43">
        <v>0.53</v>
      </c>
      <c r="J319" s="38">
        <v>35.700000000000003</v>
      </c>
      <c r="K319" s="42">
        <v>25543.98</v>
      </c>
      <c r="L319" s="42">
        <v>5108.8</v>
      </c>
      <c r="M319" s="38">
        <v>0</v>
      </c>
    </row>
    <row r="320" spans="1:13" ht="15" customHeight="1" x14ac:dyDescent="0.3">
      <c r="A320" s="56" t="s">
        <v>716</v>
      </c>
      <c r="B320" s="58">
        <v>33419</v>
      </c>
      <c r="C320" s="59">
        <v>0.185</v>
      </c>
      <c r="D320" s="56">
        <v>36</v>
      </c>
      <c r="E320" s="56" t="s">
        <v>37</v>
      </c>
      <c r="F320" s="56" t="s">
        <v>83</v>
      </c>
      <c r="G320" s="56">
        <v>68862</v>
      </c>
      <c r="H320" s="61">
        <v>0.11</v>
      </c>
      <c r="I320" s="61">
        <v>0.53</v>
      </c>
      <c r="J320" s="56">
        <v>35.700000000000003</v>
      </c>
      <c r="K320" s="60">
        <v>18547.544999999998</v>
      </c>
      <c r="L320" s="60">
        <v>-22127.18</v>
      </c>
      <c r="M320" s="56">
        <v>1</v>
      </c>
    </row>
    <row r="321" spans="1:13" ht="15" customHeight="1" x14ac:dyDescent="0.3">
      <c r="A321" s="38" t="s">
        <v>718</v>
      </c>
      <c r="B321" s="40">
        <v>24711</v>
      </c>
      <c r="C321" s="41">
        <v>0.19</v>
      </c>
      <c r="D321" s="38">
        <v>36</v>
      </c>
      <c r="E321" s="38" t="s">
        <v>35</v>
      </c>
      <c r="F321" s="38" t="s">
        <v>83</v>
      </c>
      <c r="G321" s="38">
        <v>53383</v>
      </c>
      <c r="H321" s="43">
        <v>0.49</v>
      </c>
      <c r="I321" s="43">
        <v>0.93</v>
      </c>
      <c r="J321" s="38">
        <v>35.6</v>
      </c>
      <c r="K321" s="42">
        <v>14085.27</v>
      </c>
      <c r="L321" s="42">
        <v>4695.09</v>
      </c>
      <c r="M321" s="38">
        <v>0</v>
      </c>
    </row>
    <row r="322" spans="1:13" ht="15" customHeight="1" x14ac:dyDescent="0.3">
      <c r="A322" s="38" t="s">
        <v>720</v>
      </c>
      <c r="B322" s="40">
        <v>3421</v>
      </c>
      <c r="C322" s="41">
        <v>0.114</v>
      </c>
      <c r="D322" s="38">
        <v>36</v>
      </c>
      <c r="E322" s="38" t="s">
        <v>35</v>
      </c>
      <c r="F322" s="38" t="s">
        <v>66</v>
      </c>
      <c r="G322" s="38">
        <v>62172</v>
      </c>
      <c r="H322" s="43">
        <v>0.19</v>
      </c>
      <c r="I322" s="43">
        <v>0.61</v>
      </c>
      <c r="J322" s="38">
        <v>35.5</v>
      </c>
      <c r="K322" s="42">
        <v>1169.982</v>
      </c>
      <c r="L322" s="42">
        <v>389.99</v>
      </c>
      <c r="M322" s="38">
        <v>0</v>
      </c>
    </row>
    <row r="323" spans="1:13" ht="15" customHeight="1" x14ac:dyDescent="0.3">
      <c r="A323" s="38" t="s">
        <v>722</v>
      </c>
      <c r="B323" s="40">
        <v>36772</v>
      </c>
      <c r="C323" s="41">
        <v>0.184</v>
      </c>
      <c r="D323" s="38">
        <v>36</v>
      </c>
      <c r="E323" s="38" t="s">
        <v>35</v>
      </c>
      <c r="F323" s="38" t="s">
        <v>71</v>
      </c>
      <c r="G323" s="38">
        <v>47889</v>
      </c>
      <c r="H323" s="43">
        <v>0.36</v>
      </c>
      <c r="I323" s="43">
        <v>0.59</v>
      </c>
      <c r="J323" s="38">
        <v>35.5</v>
      </c>
      <c r="K323" s="42">
        <v>20298.144</v>
      </c>
      <c r="L323" s="42">
        <v>6766.05</v>
      </c>
      <c r="M323" s="38">
        <v>0</v>
      </c>
    </row>
    <row r="324" spans="1:13" ht="15" customHeight="1" x14ac:dyDescent="0.3">
      <c r="A324" s="44" t="s">
        <v>724</v>
      </c>
      <c r="B324" s="46">
        <v>39827</v>
      </c>
      <c r="C324" s="47">
        <v>6.7000000000000004E-2</v>
      </c>
      <c r="D324" s="44">
        <v>36</v>
      </c>
      <c r="E324" s="44" t="s">
        <v>36</v>
      </c>
      <c r="F324" s="44" t="s">
        <v>83</v>
      </c>
      <c r="G324" s="44">
        <v>83027</v>
      </c>
      <c r="H324" s="49">
        <v>0.42</v>
      </c>
      <c r="I324" s="49">
        <v>0.59</v>
      </c>
      <c r="J324" s="44">
        <v>35.5</v>
      </c>
      <c r="K324" s="48">
        <v>8005.2270000000099</v>
      </c>
      <c r="L324" s="48">
        <v>-36330.160000000003</v>
      </c>
      <c r="M324" s="44">
        <v>0</v>
      </c>
    </row>
    <row r="325" spans="1:13" ht="15" customHeight="1" x14ac:dyDescent="0.3">
      <c r="A325" s="38" t="s">
        <v>726</v>
      </c>
      <c r="B325" s="40">
        <v>24499</v>
      </c>
      <c r="C325" s="41">
        <v>0.19400000000000001</v>
      </c>
      <c r="D325" s="38">
        <v>60</v>
      </c>
      <c r="E325" s="38" t="s">
        <v>35</v>
      </c>
      <c r="F325" s="38" t="s">
        <v>80</v>
      </c>
      <c r="G325" s="38">
        <v>84353</v>
      </c>
      <c r="H325" s="43">
        <v>0.2</v>
      </c>
      <c r="I325" s="43">
        <v>0.9</v>
      </c>
      <c r="J325" s="38">
        <v>35.299999999999997</v>
      </c>
      <c r="K325" s="42">
        <v>23764.03</v>
      </c>
      <c r="L325" s="42">
        <v>4752.8100000000004</v>
      </c>
      <c r="M325" s="38">
        <v>0</v>
      </c>
    </row>
    <row r="326" spans="1:13" ht="15" customHeight="1" x14ac:dyDescent="0.3">
      <c r="A326" s="38" t="s">
        <v>728</v>
      </c>
      <c r="B326" s="40">
        <v>13984</v>
      </c>
      <c r="C326" s="41">
        <v>0.19500000000000001</v>
      </c>
      <c r="D326" s="38">
        <v>36</v>
      </c>
      <c r="E326" s="38" t="s">
        <v>35</v>
      </c>
      <c r="F326" s="38" t="s">
        <v>114</v>
      </c>
      <c r="G326" s="38">
        <v>61455</v>
      </c>
      <c r="H326" s="43">
        <v>0.4</v>
      </c>
      <c r="I326" s="43">
        <v>0.81</v>
      </c>
      <c r="J326" s="38">
        <v>35.299999999999997</v>
      </c>
      <c r="K326" s="42">
        <v>8180.64</v>
      </c>
      <c r="L326" s="42">
        <v>2726.88</v>
      </c>
      <c r="M326" s="38">
        <v>0</v>
      </c>
    </row>
    <row r="327" spans="1:13" ht="15" customHeight="1" x14ac:dyDescent="0.3">
      <c r="A327" s="50" t="s">
        <v>730</v>
      </c>
      <c r="B327" s="52">
        <v>13686</v>
      </c>
      <c r="C327" s="53">
        <v>0.222</v>
      </c>
      <c r="D327" s="50">
        <v>60</v>
      </c>
      <c r="E327" s="50" t="s">
        <v>38</v>
      </c>
      <c r="F327" s="50" t="s">
        <v>60</v>
      </c>
      <c r="G327" s="50">
        <v>53929</v>
      </c>
      <c r="H327" s="55">
        <v>0.26</v>
      </c>
      <c r="I327" s="55">
        <v>0.94</v>
      </c>
      <c r="J327" s="50">
        <v>35.299999999999997</v>
      </c>
      <c r="K327" s="54">
        <v>15191.46</v>
      </c>
      <c r="L327" s="54">
        <v>-13686</v>
      </c>
      <c r="M327" s="50">
        <v>1</v>
      </c>
    </row>
    <row r="328" spans="1:13" ht="15" customHeight="1" x14ac:dyDescent="0.3">
      <c r="A328" s="38" t="s">
        <v>732</v>
      </c>
      <c r="B328" s="40">
        <v>28529</v>
      </c>
      <c r="C328" s="41">
        <v>0.248</v>
      </c>
      <c r="D328" s="38">
        <v>60</v>
      </c>
      <c r="E328" s="38" t="s">
        <v>35</v>
      </c>
      <c r="F328" s="38" t="s">
        <v>83</v>
      </c>
      <c r="G328" s="38">
        <v>64872</v>
      </c>
      <c r="H328" s="43">
        <v>0.37</v>
      </c>
      <c r="I328" s="43">
        <v>0.57999999999999996</v>
      </c>
      <c r="J328" s="38">
        <v>35.299999999999997</v>
      </c>
      <c r="K328" s="42">
        <v>35375.96</v>
      </c>
      <c r="L328" s="42">
        <v>7075.19</v>
      </c>
      <c r="M328" s="38">
        <v>0</v>
      </c>
    </row>
    <row r="329" spans="1:13" ht="15" customHeight="1" x14ac:dyDescent="0.3">
      <c r="A329" s="50" t="s">
        <v>734</v>
      </c>
      <c r="B329" s="52">
        <v>15025</v>
      </c>
      <c r="C329" s="53">
        <v>5.5E-2</v>
      </c>
      <c r="D329" s="50">
        <v>60</v>
      </c>
      <c r="E329" s="50" t="s">
        <v>39</v>
      </c>
      <c r="F329" s="50" t="s">
        <v>60</v>
      </c>
      <c r="G329" s="50">
        <v>34131</v>
      </c>
      <c r="H329" s="55">
        <v>0.23</v>
      </c>
      <c r="I329" s="55">
        <v>0.55000000000000004</v>
      </c>
      <c r="J329" s="50">
        <v>35.299999999999997</v>
      </c>
      <c r="K329" s="54">
        <v>4131.875</v>
      </c>
      <c r="L329" s="54">
        <v>-15025</v>
      </c>
      <c r="M329" s="50">
        <v>0</v>
      </c>
    </row>
    <row r="330" spans="1:13" ht="15" customHeight="1" x14ac:dyDescent="0.3">
      <c r="A330" s="56" t="s">
        <v>736</v>
      </c>
      <c r="B330" s="58">
        <v>3711</v>
      </c>
      <c r="C330" s="59">
        <v>0.153</v>
      </c>
      <c r="D330" s="56">
        <v>60</v>
      </c>
      <c r="E330" s="56" t="s">
        <v>37</v>
      </c>
      <c r="F330" s="56" t="s">
        <v>80</v>
      </c>
      <c r="G330" s="56">
        <v>36476</v>
      </c>
      <c r="H330" s="61">
        <v>0.23</v>
      </c>
      <c r="I330" s="61">
        <v>0.81</v>
      </c>
      <c r="J330" s="56">
        <v>35.200000000000003</v>
      </c>
      <c r="K330" s="60">
        <v>2838.915</v>
      </c>
      <c r="L330" s="60">
        <v>-2772.78</v>
      </c>
      <c r="M330" s="56">
        <v>1</v>
      </c>
    </row>
    <row r="331" spans="1:13" ht="15" customHeight="1" x14ac:dyDescent="0.3">
      <c r="A331" s="56" t="s">
        <v>738</v>
      </c>
      <c r="B331" s="58">
        <v>29404</v>
      </c>
      <c r="C331" s="59">
        <v>0.19800000000000001</v>
      </c>
      <c r="D331" s="56">
        <v>36</v>
      </c>
      <c r="E331" s="56" t="s">
        <v>37</v>
      </c>
      <c r="F331" s="56" t="s">
        <v>60</v>
      </c>
      <c r="G331" s="56">
        <v>110059</v>
      </c>
      <c r="H331" s="61">
        <v>0.37</v>
      </c>
      <c r="I331" s="61">
        <v>0.77</v>
      </c>
      <c r="J331" s="56">
        <v>35.200000000000003</v>
      </c>
      <c r="K331" s="60">
        <v>17465.975999999999</v>
      </c>
      <c r="L331" s="60">
        <v>-22007.33</v>
      </c>
      <c r="M331" s="56">
        <v>1</v>
      </c>
    </row>
    <row r="332" spans="1:13" ht="15" customHeight="1" x14ac:dyDescent="0.3">
      <c r="A332" s="56" t="s">
        <v>740</v>
      </c>
      <c r="B332" s="58">
        <v>33781</v>
      </c>
      <c r="C332" s="59">
        <v>9.4E-2</v>
      </c>
      <c r="D332" s="56">
        <v>60</v>
      </c>
      <c r="E332" s="56" t="s">
        <v>37</v>
      </c>
      <c r="F332" s="56" t="s">
        <v>83</v>
      </c>
      <c r="G332" s="56">
        <v>122949</v>
      </c>
      <c r="H332" s="61">
        <v>0.19</v>
      </c>
      <c r="I332" s="61">
        <v>0.74</v>
      </c>
      <c r="J332" s="56">
        <v>35.200000000000003</v>
      </c>
      <c r="K332" s="60">
        <v>15877.07</v>
      </c>
      <c r="L332" s="60">
        <v>-19068.89</v>
      </c>
      <c r="M332" s="56">
        <v>1</v>
      </c>
    </row>
    <row r="333" spans="1:13" ht="15" customHeight="1" x14ac:dyDescent="0.3">
      <c r="A333" s="38" t="s">
        <v>742</v>
      </c>
      <c r="B333" s="40">
        <v>37378</v>
      </c>
      <c r="C333" s="41">
        <v>5.7000000000000002E-2</v>
      </c>
      <c r="D333" s="38">
        <v>36</v>
      </c>
      <c r="E333" s="38" t="s">
        <v>35</v>
      </c>
      <c r="F333" s="38" t="s">
        <v>83</v>
      </c>
      <c r="G333" s="38">
        <v>57323</v>
      </c>
      <c r="H333" s="43">
        <v>0.46</v>
      </c>
      <c r="I333" s="43">
        <v>0.51</v>
      </c>
      <c r="J333" s="38">
        <v>35.200000000000003</v>
      </c>
      <c r="K333" s="42">
        <v>6391.6379999999999</v>
      </c>
      <c r="L333" s="42">
        <v>2130.5500000000002</v>
      </c>
      <c r="M333" s="38">
        <v>0</v>
      </c>
    </row>
    <row r="334" spans="1:13" ht="15" customHeight="1" x14ac:dyDescent="0.3">
      <c r="A334" s="38" t="s">
        <v>744</v>
      </c>
      <c r="B334" s="40">
        <v>13254</v>
      </c>
      <c r="C334" s="41">
        <v>0.16200000000000001</v>
      </c>
      <c r="D334" s="38">
        <v>60</v>
      </c>
      <c r="E334" s="38" t="s">
        <v>35</v>
      </c>
      <c r="F334" s="38" t="s">
        <v>71</v>
      </c>
      <c r="G334" s="38">
        <v>46633</v>
      </c>
      <c r="H334" s="43">
        <v>0.32</v>
      </c>
      <c r="I334" s="43">
        <v>0.76</v>
      </c>
      <c r="J334" s="38">
        <v>35.1</v>
      </c>
      <c r="K334" s="42">
        <v>10735.74</v>
      </c>
      <c r="L334" s="42">
        <v>2147.15</v>
      </c>
      <c r="M334" s="38">
        <v>0</v>
      </c>
    </row>
    <row r="335" spans="1:13" ht="15" customHeight="1" x14ac:dyDescent="0.3">
      <c r="A335" s="44" t="s">
        <v>746</v>
      </c>
      <c r="B335" s="46">
        <v>26510</v>
      </c>
      <c r="C335" s="47">
        <v>0.22600000000000001</v>
      </c>
      <c r="D335" s="44">
        <v>36</v>
      </c>
      <c r="E335" s="44" t="s">
        <v>36</v>
      </c>
      <c r="F335" s="44" t="s">
        <v>60</v>
      </c>
      <c r="G335" s="44">
        <v>75913</v>
      </c>
      <c r="H335" s="49">
        <v>0.3</v>
      </c>
      <c r="I335" s="49">
        <v>0.59</v>
      </c>
      <c r="J335" s="44">
        <v>35.1</v>
      </c>
      <c r="K335" s="48">
        <v>17973.78</v>
      </c>
      <c r="L335" s="48">
        <v>-14949.56</v>
      </c>
      <c r="M335" s="44">
        <v>0</v>
      </c>
    </row>
    <row r="336" spans="1:13" ht="15" customHeight="1" x14ac:dyDescent="0.3">
      <c r="A336" s="44" t="s">
        <v>748</v>
      </c>
      <c r="B336" s="46">
        <v>17052</v>
      </c>
      <c r="C336" s="47">
        <v>0.246</v>
      </c>
      <c r="D336" s="44">
        <v>36</v>
      </c>
      <c r="E336" s="44" t="s">
        <v>36</v>
      </c>
      <c r="F336" s="44" t="s">
        <v>83</v>
      </c>
      <c r="G336" s="44">
        <v>124881</v>
      </c>
      <c r="H336" s="49">
        <v>0.5</v>
      </c>
      <c r="I336" s="49">
        <v>0.54</v>
      </c>
      <c r="J336" s="44">
        <v>35</v>
      </c>
      <c r="K336" s="48">
        <v>12584.376</v>
      </c>
      <c r="L336" s="48">
        <v>-10527.8</v>
      </c>
      <c r="M336" s="44">
        <v>0</v>
      </c>
    </row>
    <row r="337" spans="1:13" ht="15" customHeight="1" x14ac:dyDescent="0.3">
      <c r="A337" s="38" t="s">
        <v>750</v>
      </c>
      <c r="B337" s="40">
        <v>17369</v>
      </c>
      <c r="C337" s="41">
        <v>0.13300000000000001</v>
      </c>
      <c r="D337" s="38">
        <v>36</v>
      </c>
      <c r="E337" s="38" t="s">
        <v>35</v>
      </c>
      <c r="F337" s="38" t="s">
        <v>66</v>
      </c>
      <c r="G337" s="38">
        <v>99341</v>
      </c>
      <c r="H337" s="43">
        <v>0.32</v>
      </c>
      <c r="I337" s="43">
        <v>0.74</v>
      </c>
      <c r="J337" s="38">
        <v>35</v>
      </c>
      <c r="K337" s="42">
        <v>6930.2309999999998</v>
      </c>
      <c r="L337" s="42">
        <v>2310.08</v>
      </c>
      <c r="M337" s="38">
        <v>0</v>
      </c>
    </row>
    <row r="338" spans="1:13" ht="15" customHeight="1" x14ac:dyDescent="0.3">
      <c r="A338" s="38" t="s">
        <v>752</v>
      </c>
      <c r="B338" s="40">
        <v>26291</v>
      </c>
      <c r="C338" s="41">
        <v>0.19</v>
      </c>
      <c r="D338" s="38">
        <v>36</v>
      </c>
      <c r="E338" s="38" t="s">
        <v>35</v>
      </c>
      <c r="F338" s="38" t="s">
        <v>80</v>
      </c>
      <c r="G338" s="38">
        <v>121036</v>
      </c>
      <c r="H338" s="43">
        <v>0.14000000000000001</v>
      </c>
      <c r="I338" s="43">
        <v>0.55000000000000004</v>
      </c>
      <c r="J338" s="38">
        <v>35</v>
      </c>
      <c r="K338" s="42">
        <v>14985.87</v>
      </c>
      <c r="L338" s="42">
        <v>4995.29</v>
      </c>
      <c r="M338" s="38">
        <v>0</v>
      </c>
    </row>
    <row r="339" spans="1:13" ht="15" customHeight="1" x14ac:dyDescent="0.3">
      <c r="A339" s="56" t="s">
        <v>754</v>
      </c>
      <c r="B339" s="58">
        <v>5895</v>
      </c>
      <c r="C339" s="59">
        <v>7.5999999999999998E-2</v>
      </c>
      <c r="D339" s="56">
        <v>36</v>
      </c>
      <c r="E339" s="56" t="s">
        <v>37</v>
      </c>
      <c r="F339" s="56" t="s">
        <v>114</v>
      </c>
      <c r="G339" s="56">
        <v>80248</v>
      </c>
      <c r="H339" s="61">
        <v>0.42</v>
      </c>
      <c r="I339" s="61">
        <v>0.77</v>
      </c>
      <c r="J339" s="56">
        <v>35</v>
      </c>
      <c r="K339" s="60">
        <v>1344.06</v>
      </c>
      <c r="L339" s="60">
        <v>-4180.92</v>
      </c>
      <c r="M339" s="56">
        <v>1</v>
      </c>
    </row>
    <row r="340" spans="1:13" ht="15" customHeight="1" x14ac:dyDescent="0.3">
      <c r="A340" s="44" t="s">
        <v>756</v>
      </c>
      <c r="B340" s="46">
        <v>12536</v>
      </c>
      <c r="C340" s="47">
        <v>8.7999999999999995E-2</v>
      </c>
      <c r="D340" s="44">
        <v>36</v>
      </c>
      <c r="E340" s="44" t="s">
        <v>36</v>
      </c>
      <c r="F340" s="44" t="s">
        <v>71</v>
      </c>
      <c r="G340" s="44">
        <v>148570</v>
      </c>
      <c r="H340" s="49">
        <v>0.21</v>
      </c>
      <c r="I340" s="49">
        <v>0.68</v>
      </c>
      <c r="J340" s="44">
        <v>35</v>
      </c>
      <c r="K340" s="48">
        <v>3309.5039999999999</v>
      </c>
      <c r="L340" s="48">
        <v>-8134.79</v>
      </c>
      <c r="M340" s="44">
        <v>0</v>
      </c>
    </row>
    <row r="341" spans="1:13" ht="15" customHeight="1" x14ac:dyDescent="0.3">
      <c r="A341" s="38" t="s">
        <v>758</v>
      </c>
      <c r="B341" s="40">
        <v>16525</v>
      </c>
      <c r="C341" s="41">
        <v>0.126</v>
      </c>
      <c r="D341" s="38">
        <v>36</v>
      </c>
      <c r="E341" s="38" t="s">
        <v>35</v>
      </c>
      <c r="F341" s="38" t="s">
        <v>60</v>
      </c>
      <c r="G341" s="38">
        <v>86583</v>
      </c>
      <c r="H341" s="43">
        <v>0.47</v>
      </c>
      <c r="I341" s="43">
        <v>0.73</v>
      </c>
      <c r="J341" s="38">
        <v>35</v>
      </c>
      <c r="K341" s="42">
        <v>6246.45</v>
      </c>
      <c r="L341" s="42">
        <v>2082.15</v>
      </c>
      <c r="M341" s="38">
        <v>0</v>
      </c>
    </row>
    <row r="342" spans="1:13" ht="15" customHeight="1" x14ac:dyDescent="0.3">
      <c r="A342" s="38" t="s">
        <v>760</v>
      </c>
      <c r="B342" s="40">
        <v>34226</v>
      </c>
      <c r="C342" s="41">
        <v>9.4E-2</v>
      </c>
      <c r="D342" s="38">
        <v>36</v>
      </c>
      <c r="E342" s="38" t="s">
        <v>35</v>
      </c>
      <c r="F342" s="38" t="s">
        <v>80</v>
      </c>
      <c r="G342" s="38">
        <v>142417</v>
      </c>
      <c r="H342" s="43">
        <v>0.28000000000000003</v>
      </c>
      <c r="I342" s="43">
        <v>0.68</v>
      </c>
      <c r="J342" s="38">
        <v>34.9</v>
      </c>
      <c r="K342" s="42">
        <v>9651.732</v>
      </c>
      <c r="L342" s="42">
        <v>3217.24</v>
      </c>
      <c r="M342" s="38">
        <v>0</v>
      </c>
    </row>
    <row r="343" spans="1:13" ht="15" customHeight="1" x14ac:dyDescent="0.3">
      <c r="A343" s="44" t="s">
        <v>762</v>
      </c>
      <c r="B343" s="46">
        <v>35268</v>
      </c>
      <c r="C343" s="47">
        <v>0.16200000000000001</v>
      </c>
      <c r="D343" s="44">
        <v>36</v>
      </c>
      <c r="E343" s="44" t="s">
        <v>36</v>
      </c>
      <c r="F343" s="44" t="s">
        <v>60</v>
      </c>
      <c r="G343" s="44">
        <v>106674</v>
      </c>
      <c r="H343" s="49">
        <v>0.13</v>
      </c>
      <c r="I343" s="49">
        <v>0.62</v>
      </c>
      <c r="J343" s="44">
        <v>34.9</v>
      </c>
      <c r="K343" s="48">
        <v>17140.248</v>
      </c>
      <c r="L343" s="48">
        <v>-21128.41</v>
      </c>
      <c r="M343" s="44">
        <v>0</v>
      </c>
    </row>
    <row r="344" spans="1:13" ht="15" customHeight="1" x14ac:dyDescent="0.3">
      <c r="A344" s="38" t="s">
        <v>764</v>
      </c>
      <c r="B344" s="40">
        <v>19024</v>
      </c>
      <c r="C344" s="41">
        <v>0.13</v>
      </c>
      <c r="D344" s="38">
        <v>36</v>
      </c>
      <c r="E344" s="38" t="s">
        <v>35</v>
      </c>
      <c r="F344" s="38" t="s">
        <v>83</v>
      </c>
      <c r="G344" s="38">
        <v>132476</v>
      </c>
      <c r="H344" s="43">
        <v>0.3</v>
      </c>
      <c r="I344" s="43">
        <v>0.55000000000000004</v>
      </c>
      <c r="J344" s="38">
        <v>34.9</v>
      </c>
      <c r="K344" s="42">
        <v>7419.36</v>
      </c>
      <c r="L344" s="42">
        <v>2473.12</v>
      </c>
      <c r="M344" s="38">
        <v>0</v>
      </c>
    </row>
    <row r="345" spans="1:13" ht="15" customHeight="1" x14ac:dyDescent="0.3">
      <c r="A345" s="44" t="s">
        <v>766</v>
      </c>
      <c r="B345" s="46">
        <v>2007</v>
      </c>
      <c r="C345" s="47">
        <v>0.246</v>
      </c>
      <c r="D345" s="44">
        <v>36</v>
      </c>
      <c r="E345" s="44" t="s">
        <v>36</v>
      </c>
      <c r="F345" s="44" t="s">
        <v>83</v>
      </c>
      <c r="G345" s="44">
        <v>63340</v>
      </c>
      <c r="H345" s="49">
        <v>0.17</v>
      </c>
      <c r="I345" s="49">
        <v>0.89</v>
      </c>
      <c r="J345" s="44">
        <v>34.9</v>
      </c>
      <c r="K345" s="48">
        <v>1481.1659999999999</v>
      </c>
      <c r="L345" s="48">
        <v>-1824.24</v>
      </c>
      <c r="M345" s="44">
        <v>0</v>
      </c>
    </row>
    <row r="346" spans="1:13" ht="15" customHeight="1" x14ac:dyDescent="0.3">
      <c r="A346" s="44" t="s">
        <v>768</v>
      </c>
      <c r="B346" s="46">
        <v>10200</v>
      </c>
      <c r="C346" s="47">
        <v>0.248</v>
      </c>
      <c r="D346" s="44">
        <v>36</v>
      </c>
      <c r="E346" s="44" t="s">
        <v>36</v>
      </c>
      <c r="F346" s="44" t="s">
        <v>60</v>
      </c>
      <c r="G346" s="44">
        <v>31630</v>
      </c>
      <c r="H346" s="49">
        <v>0.38</v>
      </c>
      <c r="I346" s="49">
        <v>0.81</v>
      </c>
      <c r="J346" s="44">
        <v>34.799999999999997</v>
      </c>
      <c r="K346" s="48">
        <v>7588.8</v>
      </c>
      <c r="L346" s="48">
        <v>-8081.34</v>
      </c>
      <c r="M346" s="44">
        <v>0</v>
      </c>
    </row>
    <row r="347" spans="1:13" ht="15" customHeight="1" x14ac:dyDescent="0.3">
      <c r="A347" s="38" t="s">
        <v>770</v>
      </c>
      <c r="B347" s="40">
        <v>33284</v>
      </c>
      <c r="C347" s="41">
        <v>0.14399999999999999</v>
      </c>
      <c r="D347" s="38">
        <v>60</v>
      </c>
      <c r="E347" s="38" t="s">
        <v>35</v>
      </c>
      <c r="F347" s="38" t="s">
        <v>83</v>
      </c>
      <c r="G347" s="38">
        <v>127537</v>
      </c>
      <c r="H347" s="43">
        <v>0.49</v>
      </c>
      <c r="I347" s="43">
        <v>0.57999999999999996</v>
      </c>
      <c r="J347" s="38">
        <v>34.799999999999997</v>
      </c>
      <c r="K347" s="42">
        <v>23964.48</v>
      </c>
      <c r="L347" s="42">
        <v>4792.8999999999996</v>
      </c>
      <c r="M347" s="38">
        <v>0</v>
      </c>
    </row>
    <row r="348" spans="1:13" ht="15" customHeight="1" x14ac:dyDescent="0.3">
      <c r="A348" s="38" t="s">
        <v>772</v>
      </c>
      <c r="B348" s="40">
        <v>4430</v>
      </c>
      <c r="C348" s="41">
        <v>0.17</v>
      </c>
      <c r="D348" s="38">
        <v>60</v>
      </c>
      <c r="E348" s="38" t="s">
        <v>35</v>
      </c>
      <c r="F348" s="38" t="s">
        <v>83</v>
      </c>
      <c r="G348" s="38">
        <v>83442</v>
      </c>
      <c r="H348" s="43">
        <v>0.19</v>
      </c>
      <c r="I348" s="43">
        <v>0.65</v>
      </c>
      <c r="J348" s="38">
        <v>34.799999999999997</v>
      </c>
      <c r="K348" s="42">
        <v>3765.5</v>
      </c>
      <c r="L348" s="42">
        <v>753.1</v>
      </c>
      <c r="M348" s="38">
        <v>0</v>
      </c>
    </row>
    <row r="349" spans="1:13" ht="15" customHeight="1" x14ac:dyDescent="0.3">
      <c r="A349" s="44" t="s">
        <v>774</v>
      </c>
      <c r="B349" s="46">
        <v>18625</v>
      </c>
      <c r="C349" s="47">
        <v>7.2999999999999995E-2</v>
      </c>
      <c r="D349" s="44">
        <v>60</v>
      </c>
      <c r="E349" s="44" t="s">
        <v>36</v>
      </c>
      <c r="F349" s="44" t="s">
        <v>80</v>
      </c>
      <c r="G349" s="44">
        <v>31051</v>
      </c>
      <c r="H349" s="49">
        <v>0.23</v>
      </c>
      <c r="I349" s="49">
        <v>0.51</v>
      </c>
      <c r="J349" s="44">
        <v>34.799999999999997</v>
      </c>
      <c r="K349" s="48">
        <v>6798.125</v>
      </c>
      <c r="L349" s="48">
        <v>-16123.01</v>
      </c>
      <c r="M349" s="44">
        <v>0</v>
      </c>
    </row>
    <row r="350" spans="1:13" ht="15" customHeight="1" x14ac:dyDescent="0.3">
      <c r="A350" s="56" t="s">
        <v>776</v>
      </c>
      <c r="B350" s="58">
        <v>38904</v>
      </c>
      <c r="C350" s="59">
        <v>0.23400000000000001</v>
      </c>
      <c r="D350" s="56">
        <v>60</v>
      </c>
      <c r="E350" s="56" t="s">
        <v>37</v>
      </c>
      <c r="F350" s="56" t="s">
        <v>80</v>
      </c>
      <c r="G350" s="56">
        <v>57197</v>
      </c>
      <c r="H350" s="61">
        <v>0.14000000000000001</v>
      </c>
      <c r="I350" s="61">
        <v>0.84</v>
      </c>
      <c r="J350" s="56">
        <v>34.799999999999997</v>
      </c>
      <c r="K350" s="60">
        <v>45517.68</v>
      </c>
      <c r="L350" s="60">
        <v>-26787.95</v>
      </c>
      <c r="M350" s="56">
        <v>1</v>
      </c>
    </row>
    <row r="351" spans="1:13" ht="15" customHeight="1" x14ac:dyDescent="0.3">
      <c r="A351" s="38" t="s">
        <v>778</v>
      </c>
      <c r="B351" s="40">
        <v>16152</v>
      </c>
      <c r="C351" s="41">
        <v>0.124</v>
      </c>
      <c r="D351" s="38">
        <v>36</v>
      </c>
      <c r="E351" s="38" t="s">
        <v>35</v>
      </c>
      <c r="F351" s="38" t="s">
        <v>83</v>
      </c>
      <c r="G351" s="38">
        <v>57526</v>
      </c>
      <c r="H351" s="43">
        <v>0.28999999999999998</v>
      </c>
      <c r="I351" s="43">
        <v>0.55000000000000004</v>
      </c>
      <c r="J351" s="38">
        <v>34.799999999999997</v>
      </c>
      <c r="K351" s="42">
        <v>6008.5439999999999</v>
      </c>
      <c r="L351" s="42">
        <v>2002.85</v>
      </c>
      <c r="M351" s="38">
        <v>0</v>
      </c>
    </row>
    <row r="352" spans="1:13" ht="15" customHeight="1" x14ac:dyDescent="0.3">
      <c r="A352" s="38" t="s">
        <v>780</v>
      </c>
      <c r="B352" s="40">
        <v>19297</v>
      </c>
      <c r="C352" s="41">
        <v>0.221</v>
      </c>
      <c r="D352" s="38">
        <v>60</v>
      </c>
      <c r="E352" s="38" t="s">
        <v>35</v>
      </c>
      <c r="F352" s="38" t="s">
        <v>83</v>
      </c>
      <c r="G352" s="38">
        <v>111570</v>
      </c>
      <c r="H352" s="43">
        <v>0.42</v>
      </c>
      <c r="I352" s="43">
        <v>0.62</v>
      </c>
      <c r="J352" s="38">
        <v>34.700000000000003</v>
      </c>
      <c r="K352" s="42">
        <v>21323.185000000001</v>
      </c>
      <c r="L352" s="42">
        <v>4264.6400000000003</v>
      </c>
      <c r="M352" s="38">
        <v>0</v>
      </c>
    </row>
    <row r="353" spans="1:13" ht="15" customHeight="1" x14ac:dyDescent="0.3">
      <c r="A353" s="44" t="s">
        <v>782</v>
      </c>
      <c r="B353" s="46">
        <v>24040</v>
      </c>
      <c r="C353" s="47">
        <v>0.24099999999999999</v>
      </c>
      <c r="D353" s="44">
        <v>60</v>
      </c>
      <c r="E353" s="44" t="s">
        <v>36</v>
      </c>
      <c r="F353" s="44" t="s">
        <v>71</v>
      </c>
      <c r="G353" s="44">
        <v>79996</v>
      </c>
      <c r="H353" s="49">
        <v>0.34</v>
      </c>
      <c r="I353" s="49">
        <v>0.51</v>
      </c>
      <c r="J353" s="44">
        <v>34.700000000000003</v>
      </c>
      <c r="K353" s="48">
        <v>28968.2</v>
      </c>
      <c r="L353" s="48">
        <v>-20320.32</v>
      </c>
      <c r="M353" s="44">
        <v>0</v>
      </c>
    </row>
    <row r="354" spans="1:13" ht="15" customHeight="1" x14ac:dyDescent="0.3">
      <c r="A354" s="38" t="s">
        <v>784</v>
      </c>
      <c r="B354" s="40">
        <v>29921</v>
      </c>
      <c r="C354" s="41">
        <v>0.13300000000000001</v>
      </c>
      <c r="D354" s="38">
        <v>60</v>
      </c>
      <c r="E354" s="38" t="s">
        <v>35</v>
      </c>
      <c r="F354" s="38" t="s">
        <v>60</v>
      </c>
      <c r="G354" s="38">
        <v>130922</v>
      </c>
      <c r="H354" s="43">
        <v>0.15</v>
      </c>
      <c r="I354" s="43">
        <v>0.73</v>
      </c>
      <c r="J354" s="38">
        <v>34.6</v>
      </c>
      <c r="K354" s="42">
        <v>19897.465</v>
      </c>
      <c r="L354" s="42">
        <v>3979.49</v>
      </c>
      <c r="M354" s="38">
        <v>0</v>
      </c>
    </row>
    <row r="355" spans="1:13" ht="15" customHeight="1" x14ac:dyDescent="0.3">
      <c r="A355" s="38" t="s">
        <v>786</v>
      </c>
      <c r="B355" s="40">
        <v>31220</v>
      </c>
      <c r="C355" s="41">
        <v>9.2999999999999999E-2</v>
      </c>
      <c r="D355" s="38">
        <v>36</v>
      </c>
      <c r="E355" s="38" t="s">
        <v>35</v>
      </c>
      <c r="F355" s="38" t="s">
        <v>71</v>
      </c>
      <c r="G355" s="38">
        <v>126393</v>
      </c>
      <c r="H355" s="43">
        <v>0.41</v>
      </c>
      <c r="I355" s="43">
        <v>0.89</v>
      </c>
      <c r="J355" s="38">
        <v>34.6</v>
      </c>
      <c r="K355" s="42">
        <v>8710.3799999999992</v>
      </c>
      <c r="L355" s="42">
        <v>2903.46</v>
      </c>
      <c r="M355" s="38">
        <v>0</v>
      </c>
    </row>
    <row r="356" spans="1:13" ht="15" customHeight="1" x14ac:dyDescent="0.3">
      <c r="A356" s="44" t="s">
        <v>788</v>
      </c>
      <c r="B356" s="46">
        <v>18773</v>
      </c>
      <c r="C356" s="47">
        <v>0.248</v>
      </c>
      <c r="D356" s="44">
        <v>60</v>
      </c>
      <c r="E356" s="44" t="s">
        <v>36</v>
      </c>
      <c r="F356" s="44" t="s">
        <v>80</v>
      </c>
      <c r="G356" s="44">
        <v>114486</v>
      </c>
      <c r="H356" s="49">
        <v>0.36</v>
      </c>
      <c r="I356" s="49">
        <v>0.63</v>
      </c>
      <c r="J356" s="44">
        <v>34.4</v>
      </c>
      <c r="K356" s="48">
        <v>23278.52</v>
      </c>
      <c r="L356" s="48">
        <v>-14021.53</v>
      </c>
      <c r="M356" s="44">
        <v>0</v>
      </c>
    </row>
    <row r="357" spans="1:13" ht="15" customHeight="1" x14ac:dyDescent="0.3">
      <c r="A357" s="56" t="s">
        <v>790</v>
      </c>
      <c r="B357" s="58">
        <v>7721</v>
      </c>
      <c r="C357" s="59">
        <v>0.16</v>
      </c>
      <c r="D357" s="56">
        <v>60</v>
      </c>
      <c r="E357" s="56" t="s">
        <v>37</v>
      </c>
      <c r="F357" s="56" t="s">
        <v>60</v>
      </c>
      <c r="G357" s="56">
        <v>141576</v>
      </c>
      <c r="H357" s="61">
        <v>0.28000000000000003</v>
      </c>
      <c r="I357" s="61">
        <v>0.52</v>
      </c>
      <c r="J357" s="56">
        <v>34.299999999999997</v>
      </c>
      <c r="K357" s="60">
        <v>6176.8</v>
      </c>
      <c r="L357" s="60">
        <v>-6898.43</v>
      </c>
      <c r="M357" s="56">
        <v>1</v>
      </c>
    </row>
    <row r="358" spans="1:13" ht="15" customHeight="1" x14ac:dyDescent="0.3">
      <c r="A358" s="38" t="s">
        <v>792</v>
      </c>
      <c r="B358" s="40">
        <v>37935</v>
      </c>
      <c r="C358" s="41">
        <v>5.0999999999999997E-2</v>
      </c>
      <c r="D358" s="38">
        <v>36</v>
      </c>
      <c r="E358" s="38" t="s">
        <v>35</v>
      </c>
      <c r="F358" s="38" t="s">
        <v>83</v>
      </c>
      <c r="G358" s="38">
        <v>76223</v>
      </c>
      <c r="H358" s="43">
        <v>0.31</v>
      </c>
      <c r="I358" s="43">
        <v>0.61</v>
      </c>
      <c r="J358" s="38">
        <v>34.299999999999997</v>
      </c>
      <c r="K358" s="42">
        <v>5804.0550000000003</v>
      </c>
      <c r="L358" s="42">
        <v>1934.68</v>
      </c>
      <c r="M358" s="38">
        <v>0</v>
      </c>
    </row>
    <row r="359" spans="1:13" ht="15" customHeight="1" x14ac:dyDescent="0.3">
      <c r="A359" s="38" t="s">
        <v>794</v>
      </c>
      <c r="B359" s="40">
        <v>12344</v>
      </c>
      <c r="C359" s="41">
        <v>8.5999999999999993E-2</v>
      </c>
      <c r="D359" s="38">
        <v>60</v>
      </c>
      <c r="E359" s="38" t="s">
        <v>35</v>
      </c>
      <c r="F359" s="38" t="s">
        <v>60</v>
      </c>
      <c r="G359" s="38">
        <v>64660</v>
      </c>
      <c r="H359" s="43">
        <v>0.21</v>
      </c>
      <c r="I359" s="43">
        <v>0.76</v>
      </c>
      <c r="J359" s="38">
        <v>34.200000000000003</v>
      </c>
      <c r="K359" s="42">
        <v>5307.92</v>
      </c>
      <c r="L359" s="42">
        <v>1061.58</v>
      </c>
      <c r="M359" s="38">
        <v>0</v>
      </c>
    </row>
    <row r="360" spans="1:13" ht="15" customHeight="1" x14ac:dyDescent="0.3">
      <c r="A360" s="38" t="s">
        <v>796</v>
      </c>
      <c r="B360" s="40">
        <v>5437</v>
      </c>
      <c r="C360" s="41">
        <v>0.106</v>
      </c>
      <c r="D360" s="38">
        <v>36</v>
      </c>
      <c r="E360" s="38" t="s">
        <v>35</v>
      </c>
      <c r="F360" s="38" t="s">
        <v>60</v>
      </c>
      <c r="G360" s="38">
        <v>109534</v>
      </c>
      <c r="H360" s="43">
        <v>0.45</v>
      </c>
      <c r="I360" s="43">
        <v>0.72</v>
      </c>
      <c r="J360" s="38">
        <v>34.200000000000003</v>
      </c>
      <c r="K360" s="42">
        <v>1728.9659999999999</v>
      </c>
      <c r="L360" s="42">
        <v>576.32000000000005</v>
      </c>
      <c r="M360" s="38">
        <v>0</v>
      </c>
    </row>
    <row r="361" spans="1:13" ht="15" customHeight="1" x14ac:dyDescent="0.3">
      <c r="A361" s="56" t="s">
        <v>798</v>
      </c>
      <c r="B361" s="58">
        <v>36196</v>
      </c>
      <c r="C361" s="59">
        <v>0.19400000000000001</v>
      </c>
      <c r="D361" s="56">
        <v>36</v>
      </c>
      <c r="E361" s="56" t="s">
        <v>37</v>
      </c>
      <c r="F361" s="56" t="s">
        <v>114</v>
      </c>
      <c r="G361" s="56">
        <v>55954</v>
      </c>
      <c r="H361" s="61">
        <v>0.37</v>
      </c>
      <c r="I361" s="61">
        <v>0.74</v>
      </c>
      <c r="J361" s="56">
        <v>34.200000000000003</v>
      </c>
      <c r="K361" s="60">
        <v>21066.072</v>
      </c>
      <c r="L361" s="60">
        <v>-22651.27</v>
      </c>
      <c r="M361" s="56">
        <v>1</v>
      </c>
    </row>
    <row r="362" spans="1:13" ht="15" customHeight="1" x14ac:dyDescent="0.3">
      <c r="A362" s="38" t="s">
        <v>800</v>
      </c>
      <c r="B362" s="40">
        <v>26766</v>
      </c>
      <c r="C362" s="41">
        <v>7.9000000000000001E-2</v>
      </c>
      <c r="D362" s="38">
        <v>60</v>
      </c>
      <c r="E362" s="38" t="s">
        <v>35</v>
      </c>
      <c r="F362" s="38" t="s">
        <v>83</v>
      </c>
      <c r="G362" s="38">
        <v>108116</v>
      </c>
      <c r="H362" s="43">
        <v>0.36</v>
      </c>
      <c r="I362" s="43">
        <v>0.94</v>
      </c>
      <c r="J362" s="38">
        <v>34.1</v>
      </c>
      <c r="K362" s="42">
        <v>10572.57</v>
      </c>
      <c r="L362" s="42">
        <v>2114.5100000000002</v>
      </c>
      <c r="M362" s="38">
        <v>0</v>
      </c>
    </row>
    <row r="363" spans="1:13" ht="15" customHeight="1" x14ac:dyDescent="0.3">
      <c r="A363" s="44" t="s">
        <v>802</v>
      </c>
      <c r="B363" s="46">
        <v>14076</v>
      </c>
      <c r="C363" s="47">
        <v>0.16</v>
      </c>
      <c r="D363" s="44">
        <v>60</v>
      </c>
      <c r="E363" s="44" t="s">
        <v>36</v>
      </c>
      <c r="F363" s="44" t="s">
        <v>80</v>
      </c>
      <c r="G363" s="44">
        <v>61923</v>
      </c>
      <c r="H363" s="49">
        <v>0.35</v>
      </c>
      <c r="I363" s="49">
        <v>0.86</v>
      </c>
      <c r="J363" s="44">
        <v>34</v>
      </c>
      <c r="K363" s="48">
        <v>11260.8</v>
      </c>
      <c r="L363" s="48">
        <v>-7192.52</v>
      </c>
      <c r="M363" s="44">
        <v>0</v>
      </c>
    </row>
    <row r="364" spans="1:13" ht="15" customHeight="1" x14ac:dyDescent="0.3">
      <c r="A364" s="44" t="s">
        <v>804</v>
      </c>
      <c r="B364" s="46">
        <v>13330</v>
      </c>
      <c r="C364" s="47">
        <v>0.23100000000000001</v>
      </c>
      <c r="D364" s="44">
        <v>60</v>
      </c>
      <c r="E364" s="44" t="s">
        <v>36</v>
      </c>
      <c r="F364" s="44" t="s">
        <v>71</v>
      </c>
      <c r="G364" s="44">
        <v>43026</v>
      </c>
      <c r="H364" s="49">
        <v>0.2</v>
      </c>
      <c r="I364" s="49">
        <v>0.51</v>
      </c>
      <c r="J364" s="44">
        <v>33.9</v>
      </c>
      <c r="K364" s="48">
        <v>15396.15</v>
      </c>
      <c r="L364" s="48">
        <v>-9740.73</v>
      </c>
      <c r="M364" s="44">
        <v>0</v>
      </c>
    </row>
    <row r="365" spans="1:13" ht="15" customHeight="1" x14ac:dyDescent="0.3">
      <c r="A365" s="56" t="s">
        <v>806</v>
      </c>
      <c r="B365" s="58">
        <v>12425</v>
      </c>
      <c r="C365" s="59">
        <v>6.9000000000000006E-2</v>
      </c>
      <c r="D365" s="56">
        <v>36</v>
      </c>
      <c r="E365" s="56" t="s">
        <v>37</v>
      </c>
      <c r="F365" s="56" t="s">
        <v>80</v>
      </c>
      <c r="G365" s="56">
        <v>104102</v>
      </c>
      <c r="H365" s="61">
        <v>0.28999999999999998</v>
      </c>
      <c r="I365" s="61">
        <v>0.68</v>
      </c>
      <c r="J365" s="56">
        <v>33.799999999999997</v>
      </c>
      <c r="K365" s="60">
        <v>2571.9749999999999</v>
      </c>
      <c r="L365" s="60">
        <v>-6428.09</v>
      </c>
      <c r="M365" s="56">
        <v>1</v>
      </c>
    </row>
    <row r="366" spans="1:13" ht="15" customHeight="1" x14ac:dyDescent="0.3">
      <c r="A366" s="44" t="s">
        <v>808</v>
      </c>
      <c r="B366" s="46">
        <v>24857</v>
      </c>
      <c r="C366" s="47">
        <v>0.23200000000000001</v>
      </c>
      <c r="D366" s="44">
        <v>60</v>
      </c>
      <c r="E366" s="44" t="s">
        <v>36</v>
      </c>
      <c r="F366" s="44" t="s">
        <v>80</v>
      </c>
      <c r="G366" s="44">
        <v>97231</v>
      </c>
      <c r="H366" s="49">
        <v>0.17</v>
      </c>
      <c r="I366" s="49">
        <v>0.55000000000000004</v>
      </c>
      <c r="J366" s="44">
        <v>33.700000000000003</v>
      </c>
      <c r="K366" s="48">
        <v>28834.12</v>
      </c>
      <c r="L366" s="48">
        <v>-17287.04</v>
      </c>
      <c r="M366" s="44">
        <v>0</v>
      </c>
    </row>
    <row r="367" spans="1:13" ht="15" customHeight="1" x14ac:dyDescent="0.3">
      <c r="A367" s="44" t="s">
        <v>810</v>
      </c>
      <c r="B367" s="46">
        <v>23911</v>
      </c>
      <c r="C367" s="47">
        <v>0.13100000000000001</v>
      </c>
      <c r="D367" s="44">
        <v>60</v>
      </c>
      <c r="E367" s="44" t="s">
        <v>36</v>
      </c>
      <c r="F367" s="44" t="s">
        <v>71</v>
      </c>
      <c r="G367" s="44">
        <v>119499</v>
      </c>
      <c r="H367" s="49">
        <v>0.5</v>
      </c>
      <c r="I367" s="49">
        <v>0.82</v>
      </c>
      <c r="J367" s="44">
        <v>33.700000000000003</v>
      </c>
      <c r="K367" s="48">
        <v>15661.705</v>
      </c>
      <c r="L367" s="48">
        <v>-18039.09</v>
      </c>
      <c r="M367" s="44">
        <v>0</v>
      </c>
    </row>
    <row r="368" spans="1:13" ht="15" customHeight="1" x14ac:dyDescent="0.3">
      <c r="A368" s="44" t="s">
        <v>812</v>
      </c>
      <c r="B368" s="46">
        <v>9734</v>
      </c>
      <c r="C368" s="47">
        <v>0.218</v>
      </c>
      <c r="D368" s="44">
        <v>36</v>
      </c>
      <c r="E368" s="44" t="s">
        <v>36</v>
      </c>
      <c r="F368" s="44" t="s">
        <v>83</v>
      </c>
      <c r="G368" s="44">
        <v>71430</v>
      </c>
      <c r="H368" s="49">
        <v>0.39</v>
      </c>
      <c r="I368" s="49">
        <v>0.56999999999999995</v>
      </c>
      <c r="J368" s="44">
        <v>33.700000000000003</v>
      </c>
      <c r="K368" s="48">
        <v>6366.0360000000001</v>
      </c>
      <c r="L368" s="48">
        <v>-6120.14</v>
      </c>
      <c r="M368" s="44">
        <v>0</v>
      </c>
    </row>
    <row r="369" spans="1:13" ht="15" customHeight="1" x14ac:dyDescent="0.3">
      <c r="A369" s="38" t="s">
        <v>814</v>
      </c>
      <c r="B369" s="40">
        <v>1281</v>
      </c>
      <c r="C369" s="41">
        <v>0.15</v>
      </c>
      <c r="D369" s="38">
        <v>60</v>
      </c>
      <c r="E369" s="38" t="s">
        <v>35</v>
      </c>
      <c r="F369" s="38" t="s">
        <v>83</v>
      </c>
      <c r="G369" s="38">
        <v>123036</v>
      </c>
      <c r="H369" s="43">
        <v>0.28000000000000003</v>
      </c>
      <c r="I369" s="43">
        <v>0.67</v>
      </c>
      <c r="J369" s="38">
        <v>33.6</v>
      </c>
      <c r="K369" s="42">
        <v>960.75</v>
      </c>
      <c r="L369" s="42">
        <v>192.15</v>
      </c>
      <c r="M369" s="38">
        <v>0</v>
      </c>
    </row>
    <row r="370" spans="1:13" ht="15" customHeight="1" x14ac:dyDescent="0.3">
      <c r="A370" s="44" t="s">
        <v>816</v>
      </c>
      <c r="B370" s="46">
        <v>22754</v>
      </c>
      <c r="C370" s="47">
        <v>0.104</v>
      </c>
      <c r="D370" s="44">
        <v>36</v>
      </c>
      <c r="E370" s="44" t="s">
        <v>36</v>
      </c>
      <c r="F370" s="44" t="s">
        <v>80</v>
      </c>
      <c r="G370" s="44">
        <v>63724</v>
      </c>
      <c r="H370" s="49">
        <v>0.14000000000000001</v>
      </c>
      <c r="I370" s="49">
        <v>0.67</v>
      </c>
      <c r="J370" s="44">
        <v>33.6</v>
      </c>
      <c r="K370" s="48">
        <v>7099.2479999999996</v>
      </c>
      <c r="L370" s="48">
        <v>-16278.88</v>
      </c>
      <c r="M370" s="44">
        <v>0</v>
      </c>
    </row>
    <row r="371" spans="1:13" ht="15" customHeight="1" x14ac:dyDescent="0.3">
      <c r="A371" s="38" t="s">
        <v>818</v>
      </c>
      <c r="B371" s="40">
        <v>10996</v>
      </c>
      <c r="C371" s="41">
        <v>0.05</v>
      </c>
      <c r="D371" s="38">
        <v>60</v>
      </c>
      <c r="E371" s="38" t="s">
        <v>35</v>
      </c>
      <c r="F371" s="38" t="s">
        <v>71</v>
      </c>
      <c r="G371" s="38">
        <v>82953</v>
      </c>
      <c r="H371" s="43">
        <v>0.23</v>
      </c>
      <c r="I371" s="43">
        <v>0.55000000000000004</v>
      </c>
      <c r="J371" s="38">
        <v>33.5</v>
      </c>
      <c r="K371" s="42">
        <v>2749</v>
      </c>
      <c r="L371" s="42">
        <v>549.79999999999905</v>
      </c>
      <c r="M371" s="38">
        <v>0</v>
      </c>
    </row>
    <row r="372" spans="1:13" ht="15" customHeight="1" x14ac:dyDescent="0.3">
      <c r="A372" s="56" t="s">
        <v>820</v>
      </c>
      <c r="B372" s="58">
        <v>20877</v>
      </c>
      <c r="C372" s="59">
        <v>0.24199999999999999</v>
      </c>
      <c r="D372" s="56">
        <v>36</v>
      </c>
      <c r="E372" s="56" t="s">
        <v>37</v>
      </c>
      <c r="F372" s="56" t="s">
        <v>66</v>
      </c>
      <c r="G372" s="56">
        <v>73618</v>
      </c>
      <c r="H372" s="61">
        <v>0.3</v>
      </c>
      <c r="I372" s="61">
        <v>0.8</v>
      </c>
      <c r="J372" s="56">
        <v>33.5</v>
      </c>
      <c r="K372" s="60">
        <v>15156.701999999999</v>
      </c>
      <c r="L372" s="60">
        <v>-11568.25</v>
      </c>
      <c r="M372" s="56">
        <v>1</v>
      </c>
    </row>
    <row r="373" spans="1:13" ht="15" customHeight="1" x14ac:dyDescent="0.3">
      <c r="A373" s="38" t="s">
        <v>822</v>
      </c>
      <c r="B373" s="40">
        <v>19639</v>
      </c>
      <c r="C373" s="41">
        <v>0.23400000000000001</v>
      </c>
      <c r="D373" s="38">
        <v>36</v>
      </c>
      <c r="E373" s="38" t="s">
        <v>35</v>
      </c>
      <c r="F373" s="38" t="s">
        <v>114</v>
      </c>
      <c r="G373" s="38">
        <v>86541</v>
      </c>
      <c r="H373" s="43">
        <v>0.37</v>
      </c>
      <c r="I373" s="43">
        <v>0.87</v>
      </c>
      <c r="J373" s="38">
        <v>33.5</v>
      </c>
      <c r="K373" s="42">
        <v>13786.578</v>
      </c>
      <c r="L373" s="42">
        <v>4595.53</v>
      </c>
      <c r="M373" s="38">
        <v>0</v>
      </c>
    </row>
    <row r="374" spans="1:13" ht="15" customHeight="1" x14ac:dyDescent="0.3">
      <c r="A374" s="44" t="s">
        <v>824</v>
      </c>
      <c r="B374" s="46">
        <v>2382</v>
      </c>
      <c r="C374" s="47">
        <v>0.16400000000000001</v>
      </c>
      <c r="D374" s="44">
        <v>36</v>
      </c>
      <c r="E374" s="44" t="s">
        <v>36</v>
      </c>
      <c r="F374" s="44" t="s">
        <v>60</v>
      </c>
      <c r="G374" s="44">
        <v>141461</v>
      </c>
      <c r="H374" s="49">
        <v>0.23</v>
      </c>
      <c r="I374" s="49">
        <v>0.54</v>
      </c>
      <c r="J374" s="44">
        <v>33.4</v>
      </c>
      <c r="K374" s="48">
        <v>1171.944</v>
      </c>
      <c r="L374" s="48">
        <v>-1590.15</v>
      </c>
      <c r="M374" s="44">
        <v>0</v>
      </c>
    </row>
    <row r="375" spans="1:13" ht="15" customHeight="1" x14ac:dyDescent="0.3">
      <c r="A375" s="38" t="s">
        <v>826</v>
      </c>
      <c r="B375" s="40">
        <v>15859</v>
      </c>
      <c r="C375" s="41">
        <v>0.161</v>
      </c>
      <c r="D375" s="38">
        <v>60</v>
      </c>
      <c r="E375" s="38" t="s">
        <v>35</v>
      </c>
      <c r="F375" s="38" t="s">
        <v>71</v>
      </c>
      <c r="G375" s="38">
        <v>52164</v>
      </c>
      <c r="H375" s="43">
        <v>0.35</v>
      </c>
      <c r="I375" s="43">
        <v>0.53</v>
      </c>
      <c r="J375" s="38">
        <v>33.4</v>
      </c>
      <c r="K375" s="42">
        <v>12766.495000000001</v>
      </c>
      <c r="L375" s="42">
        <v>2553.3000000000002</v>
      </c>
      <c r="M375" s="38">
        <v>0</v>
      </c>
    </row>
    <row r="376" spans="1:13" ht="15" customHeight="1" x14ac:dyDescent="0.3">
      <c r="A376" s="56" t="s">
        <v>828</v>
      </c>
      <c r="B376" s="58">
        <v>4041</v>
      </c>
      <c r="C376" s="59">
        <v>0.21</v>
      </c>
      <c r="D376" s="56">
        <v>60</v>
      </c>
      <c r="E376" s="56" t="s">
        <v>37</v>
      </c>
      <c r="F376" s="56" t="s">
        <v>66</v>
      </c>
      <c r="G376" s="56">
        <v>61085</v>
      </c>
      <c r="H376" s="61">
        <v>0.42</v>
      </c>
      <c r="I376" s="61">
        <v>0.82</v>
      </c>
      <c r="J376" s="56">
        <v>33.4</v>
      </c>
      <c r="K376" s="60">
        <v>4243.05</v>
      </c>
      <c r="L376" s="60">
        <v>-3032</v>
      </c>
      <c r="M376" s="56">
        <v>1</v>
      </c>
    </row>
    <row r="377" spans="1:13" ht="15" customHeight="1" x14ac:dyDescent="0.3">
      <c r="A377" s="44" t="s">
        <v>830</v>
      </c>
      <c r="B377" s="46">
        <v>21022</v>
      </c>
      <c r="C377" s="47">
        <v>0.107</v>
      </c>
      <c r="D377" s="44">
        <v>60</v>
      </c>
      <c r="E377" s="44" t="s">
        <v>36</v>
      </c>
      <c r="F377" s="44" t="s">
        <v>83</v>
      </c>
      <c r="G377" s="44">
        <v>91799</v>
      </c>
      <c r="H377" s="49">
        <v>0.14000000000000001</v>
      </c>
      <c r="I377" s="49">
        <v>0.82</v>
      </c>
      <c r="J377" s="44">
        <v>33.4</v>
      </c>
      <c r="K377" s="48">
        <v>11246.77</v>
      </c>
      <c r="L377" s="48">
        <v>-15391.94</v>
      </c>
      <c r="M377" s="44">
        <v>0</v>
      </c>
    </row>
    <row r="378" spans="1:13" ht="15" customHeight="1" x14ac:dyDescent="0.3">
      <c r="A378" s="38" t="s">
        <v>832</v>
      </c>
      <c r="B378" s="40">
        <v>39525</v>
      </c>
      <c r="C378" s="41">
        <v>6.6000000000000003E-2</v>
      </c>
      <c r="D378" s="38">
        <v>36</v>
      </c>
      <c r="E378" s="38" t="s">
        <v>35</v>
      </c>
      <c r="F378" s="38" t="s">
        <v>66</v>
      </c>
      <c r="G378" s="38">
        <v>80818</v>
      </c>
      <c r="H378" s="43">
        <v>0.12</v>
      </c>
      <c r="I378" s="43">
        <v>0.5</v>
      </c>
      <c r="J378" s="38">
        <v>33.299999999999997</v>
      </c>
      <c r="K378" s="42">
        <v>7825.95</v>
      </c>
      <c r="L378" s="42">
        <v>2608.65</v>
      </c>
      <c r="M378" s="38">
        <v>0</v>
      </c>
    </row>
    <row r="379" spans="1:13" ht="15" customHeight="1" x14ac:dyDescent="0.3">
      <c r="A379" s="50" t="s">
        <v>834</v>
      </c>
      <c r="B379" s="52">
        <v>1619</v>
      </c>
      <c r="C379" s="53">
        <v>0.13100000000000001</v>
      </c>
      <c r="D379" s="50">
        <v>60</v>
      </c>
      <c r="E379" s="50" t="s">
        <v>38</v>
      </c>
      <c r="F379" s="50" t="s">
        <v>257</v>
      </c>
      <c r="G379" s="50">
        <v>89174</v>
      </c>
      <c r="H379" s="55">
        <v>0.47</v>
      </c>
      <c r="I379" s="55">
        <v>0.54</v>
      </c>
      <c r="J379" s="50">
        <v>33.200000000000003</v>
      </c>
      <c r="K379" s="54">
        <v>1060.4449999999999</v>
      </c>
      <c r="L379" s="54">
        <v>-1619</v>
      </c>
      <c r="M379" s="50">
        <v>1</v>
      </c>
    </row>
    <row r="380" spans="1:13" ht="15" customHeight="1" x14ac:dyDescent="0.3">
      <c r="A380" s="44" t="s">
        <v>836</v>
      </c>
      <c r="B380" s="46">
        <v>4814</v>
      </c>
      <c r="C380" s="47">
        <v>0.21299999999999999</v>
      </c>
      <c r="D380" s="44">
        <v>60</v>
      </c>
      <c r="E380" s="44" t="s">
        <v>36</v>
      </c>
      <c r="F380" s="44" t="s">
        <v>66</v>
      </c>
      <c r="G380" s="44">
        <v>58018</v>
      </c>
      <c r="H380" s="49">
        <v>0.11</v>
      </c>
      <c r="I380" s="49">
        <v>0.89</v>
      </c>
      <c r="J380" s="44">
        <v>33.200000000000003</v>
      </c>
      <c r="K380" s="48">
        <v>5126.91</v>
      </c>
      <c r="L380" s="48">
        <v>-4089.14</v>
      </c>
      <c r="M380" s="44">
        <v>0</v>
      </c>
    </row>
    <row r="381" spans="1:13" ht="15" customHeight="1" x14ac:dyDescent="0.3">
      <c r="A381" s="44" t="s">
        <v>838</v>
      </c>
      <c r="B381" s="46">
        <v>15818</v>
      </c>
      <c r="C381" s="47">
        <v>0.08</v>
      </c>
      <c r="D381" s="44">
        <v>36</v>
      </c>
      <c r="E381" s="44" t="s">
        <v>36</v>
      </c>
      <c r="F381" s="44" t="s">
        <v>83</v>
      </c>
      <c r="G381" s="44">
        <v>35898</v>
      </c>
      <c r="H381" s="49">
        <v>0.23</v>
      </c>
      <c r="I381" s="49">
        <v>0.56999999999999995</v>
      </c>
      <c r="J381" s="44">
        <v>33.1</v>
      </c>
      <c r="K381" s="48">
        <v>3796.32</v>
      </c>
      <c r="L381" s="48">
        <v>-13350.99</v>
      </c>
      <c r="M381" s="44">
        <v>0</v>
      </c>
    </row>
    <row r="382" spans="1:13" ht="15" customHeight="1" x14ac:dyDescent="0.3">
      <c r="A382" s="56" t="s">
        <v>840</v>
      </c>
      <c r="B382" s="58">
        <v>6626</v>
      </c>
      <c r="C382" s="59">
        <v>0.246</v>
      </c>
      <c r="D382" s="56">
        <v>36</v>
      </c>
      <c r="E382" s="56" t="s">
        <v>37</v>
      </c>
      <c r="F382" s="56" t="s">
        <v>257</v>
      </c>
      <c r="G382" s="56">
        <v>74435</v>
      </c>
      <c r="H382" s="61">
        <v>0.13</v>
      </c>
      <c r="I382" s="61">
        <v>0.67</v>
      </c>
      <c r="J382" s="56">
        <v>33.1</v>
      </c>
      <c r="K382" s="60">
        <v>4889.9880000000003</v>
      </c>
      <c r="L382" s="60">
        <v>-4505.67</v>
      </c>
      <c r="M382" s="56">
        <v>1</v>
      </c>
    </row>
    <row r="383" spans="1:13" ht="15" customHeight="1" x14ac:dyDescent="0.3">
      <c r="A383" s="38" t="s">
        <v>842</v>
      </c>
      <c r="B383" s="40">
        <v>22452</v>
      </c>
      <c r="C383" s="41">
        <v>0.113</v>
      </c>
      <c r="D383" s="38">
        <v>60</v>
      </c>
      <c r="E383" s="38" t="s">
        <v>35</v>
      </c>
      <c r="F383" s="38" t="s">
        <v>114</v>
      </c>
      <c r="G383" s="38">
        <v>67228</v>
      </c>
      <c r="H383" s="43">
        <v>0.36</v>
      </c>
      <c r="I383" s="43">
        <v>0.9</v>
      </c>
      <c r="J383" s="38">
        <v>33.1</v>
      </c>
      <c r="K383" s="42">
        <v>12685.38</v>
      </c>
      <c r="L383" s="42">
        <v>2537.08</v>
      </c>
      <c r="M383" s="38">
        <v>0</v>
      </c>
    </row>
    <row r="384" spans="1:13" ht="15" customHeight="1" x14ac:dyDescent="0.3">
      <c r="A384" s="44" t="s">
        <v>844</v>
      </c>
      <c r="B384" s="46">
        <v>15199</v>
      </c>
      <c r="C384" s="47">
        <v>0.16700000000000001</v>
      </c>
      <c r="D384" s="44">
        <v>60</v>
      </c>
      <c r="E384" s="44" t="s">
        <v>36</v>
      </c>
      <c r="F384" s="44" t="s">
        <v>83</v>
      </c>
      <c r="G384" s="44">
        <v>135022</v>
      </c>
      <c r="H384" s="49">
        <v>0.23</v>
      </c>
      <c r="I384" s="49">
        <v>0.84</v>
      </c>
      <c r="J384" s="44">
        <v>33.1</v>
      </c>
      <c r="K384" s="48">
        <v>12691.165000000001</v>
      </c>
      <c r="L384" s="48">
        <v>-11786</v>
      </c>
      <c r="M384" s="44">
        <v>0</v>
      </c>
    </row>
    <row r="385" spans="1:13" ht="15" customHeight="1" x14ac:dyDescent="0.3">
      <c r="A385" s="38" t="s">
        <v>846</v>
      </c>
      <c r="B385" s="40">
        <v>26003</v>
      </c>
      <c r="C385" s="41">
        <v>0.13400000000000001</v>
      </c>
      <c r="D385" s="38">
        <v>36</v>
      </c>
      <c r="E385" s="38" t="s">
        <v>35</v>
      </c>
      <c r="F385" s="38" t="s">
        <v>66</v>
      </c>
      <c r="G385" s="38">
        <v>35750</v>
      </c>
      <c r="H385" s="43">
        <v>0.24</v>
      </c>
      <c r="I385" s="43">
        <v>0.63</v>
      </c>
      <c r="J385" s="38">
        <v>33</v>
      </c>
      <c r="K385" s="42">
        <v>10453.206</v>
      </c>
      <c r="L385" s="42">
        <v>3484.4</v>
      </c>
      <c r="M385" s="38">
        <v>0</v>
      </c>
    </row>
    <row r="386" spans="1:13" ht="15" customHeight="1" x14ac:dyDescent="0.3">
      <c r="A386" s="44" t="s">
        <v>848</v>
      </c>
      <c r="B386" s="46">
        <v>1661</v>
      </c>
      <c r="C386" s="47">
        <v>5.7000000000000002E-2</v>
      </c>
      <c r="D386" s="44">
        <v>36</v>
      </c>
      <c r="E386" s="44" t="s">
        <v>36</v>
      </c>
      <c r="F386" s="44" t="s">
        <v>71</v>
      </c>
      <c r="G386" s="44">
        <v>45408</v>
      </c>
      <c r="H386" s="49">
        <v>0.45</v>
      </c>
      <c r="I386" s="49">
        <v>0.92</v>
      </c>
      <c r="J386" s="44">
        <v>33</v>
      </c>
      <c r="K386" s="48">
        <v>284.03100000000001</v>
      </c>
      <c r="L386" s="48">
        <v>-1543.95</v>
      </c>
      <c r="M386" s="44">
        <v>0</v>
      </c>
    </row>
    <row r="387" spans="1:13" ht="15" customHeight="1" x14ac:dyDescent="0.3">
      <c r="A387" s="44" t="s">
        <v>850</v>
      </c>
      <c r="B387" s="46">
        <v>29145</v>
      </c>
      <c r="C387" s="47">
        <v>6.9000000000000006E-2</v>
      </c>
      <c r="D387" s="44">
        <v>36</v>
      </c>
      <c r="E387" s="44" t="s">
        <v>36</v>
      </c>
      <c r="F387" s="44" t="s">
        <v>257</v>
      </c>
      <c r="G387" s="44">
        <v>38026</v>
      </c>
      <c r="H387" s="49">
        <v>0.28999999999999998</v>
      </c>
      <c r="I387" s="49">
        <v>0.69</v>
      </c>
      <c r="J387" s="44">
        <v>33</v>
      </c>
      <c r="K387" s="48">
        <v>6033.0150000000003</v>
      </c>
      <c r="L387" s="48">
        <v>-24640.61</v>
      </c>
      <c r="M387" s="44">
        <v>0</v>
      </c>
    </row>
    <row r="388" spans="1:13" ht="15" customHeight="1" x14ac:dyDescent="0.3">
      <c r="A388" s="44" t="s">
        <v>852</v>
      </c>
      <c r="B388" s="46">
        <v>27155</v>
      </c>
      <c r="C388" s="47">
        <v>0.183</v>
      </c>
      <c r="D388" s="44">
        <v>36</v>
      </c>
      <c r="E388" s="44" t="s">
        <v>36</v>
      </c>
      <c r="F388" s="44" t="s">
        <v>80</v>
      </c>
      <c r="G388" s="44">
        <v>128530</v>
      </c>
      <c r="H388" s="49">
        <v>0.31</v>
      </c>
      <c r="I388" s="49">
        <v>0.56000000000000005</v>
      </c>
      <c r="J388" s="44">
        <v>33</v>
      </c>
      <c r="K388" s="48">
        <v>14908.094999999999</v>
      </c>
      <c r="L388" s="48">
        <v>-17316.84</v>
      </c>
      <c r="M388" s="44">
        <v>0</v>
      </c>
    </row>
    <row r="389" spans="1:13" ht="15" customHeight="1" x14ac:dyDescent="0.3">
      <c r="A389" s="44" t="s">
        <v>854</v>
      </c>
      <c r="B389" s="46">
        <v>31087</v>
      </c>
      <c r="C389" s="47">
        <v>9.2999999999999999E-2</v>
      </c>
      <c r="D389" s="44">
        <v>36</v>
      </c>
      <c r="E389" s="44" t="s">
        <v>36</v>
      </c>
      <c r="F389" s="44" t="s">
        <v>71</v>
      </c>
      <c r="G389" s="44">
        <v>84199</v>
      </c>
      <c r="H389" s="49">
        <v>0.46</v>
      </c>
      <c r="I389" s="49">
        <v>0.89</v>
      </c>
      <c r="J389" s="44">
        <v>33</v>
      </c>
      <c r="K389" s="48">
        <v>8673.2729999999901</v>
      </c>
      <c r="L389" s="48">
        <v>-23484.67</v>
      </c>
      <c r="M389" s="44">
        <v>0</v>
      </c>
    </row>
    <row r="390" spans="1:13" ht="15" customHeight="1" x14ac:dyDescent="0.3">
      <c r="A390" s="56" t="s">
        <v>856</v>
      </c>
      <c r="B390" s="58">
        <v>26931</v>
      </c>
      <c r="C390" s="59">
        <v>5.7000000000000002E-2</v>
      </c>
      <c r="D390" s="56">
        <v>36</v>
      </c>
      <c r="E390" s="56" t="s">
        <v>37</v>
      </c>
      <c r="F390" s="56" t="s">
        <v>71</v>
      </c>
      <c r="G390" s="56">
        <v>116908</v>
      </c>
      <c r="H390" s="61">
        <v>0.35</v>
      </c>
      <c r="I390" s="61">
        <v>0.61</v>
      </c>
      <c r="J390" s="56">
        <v>32.9</v>
      </c>
      <c r="K390" s="60">
        <v>4605.201</v>
      </c>
      <c r="L390" s="60">
        <v>-18282.349999999999</v>
      </c>
      <c r="M390" s="56">
        <v>1</v>
      </c>
    </row>
    <row r="391" spans="1:13" ht="15" customHeight="1" x14ac:dyDescent="0.3">
      <c r="A391" s="44" t="s">
        <v>858</v>
      </c>
      <c r="B391" s="46">
        <v>36796</v>
      </c>
      <c r="C391" s="47">
        <v>5.8000000000000003E-2</v>
      </c>
      <c r="D391" s="44">
        <v>60</v>
      </c>
      <c r="E391" s="44" t="s">
        <v>36</v>
      </c>
      <c r="F391" s="44" t="s">
        <v>60</v>
      </c>
      <c r="G391" s="44">
        <v>73442</v>
      </c>
      <c r="H391" s="49">
        <v>0.34</v>
      </c>
      <c r="I391" s="49">
        <v>0.62</v>
      </c>
      <c r="J391" s="44">
        <v>32.9</v>
      </c>
      <c r="K391" s="48">
        <v>10670.84</v>
      </c>
      <c r="L391" s="48">
        <v>-23292.21</v>
      </c>
      <c r="M391" s="44">
        <v>0</v>
      </c>
    </row>
    <row r="392" spans="1:13" ht="15" customHeight="1" x14ac:dyDescent="0.3">
      <c r="A392" s="56" t="s">
        <v>860</v>
      </c>
      <c r="B392" s="58">
        <v>5648</v>
      </c>
      <c r="C392" s="59">
        <v>0.217</v>
      </c>
      <c r="D392" s="56">
        <v>60</v>
      </c>
      <c r="E392" s="56" t="s">
        <v>37</v>
      </c>
      <c r="F392" s="56" t="s">
        <v>71</v>
      </c>
      <c r="G392" s="56">
        <v>133224</v>
      </c>
      <c r="H392" s="61">
        <v>0.28000000000000003</v>
      </c>
      <c r="I392" s="61">
        <v>0.76</v>
      </c>
      <c r="J392" s="56">
        <v>32.9</v>
      </c>
      <c r="K392" s="60">
        <v>6128.08</v>
      </c>
      <c r="L392" s="60">
        <v>-3739.09</v>
      </c>
      <c r="M392" s="56">
        <v>1</v>
      </c>
    </row>
    <row r="393" spans="1:13" ht="15" customHeight="1" x14ac:dyDescent="0.3">
      <c r="A393" s="38" t="s">
        <v>862</v>
      </c>
      <c r="B393" s="40">
        <v>26280</v>
      </c>
      <c r="C393" s="41">
        <v>0.125</v>
      </c>
      <c r="D393" s="38">
        <v>60</v>
      </c>
      <c r="E393" s="38" t="s">
        <v>35</v>
      </c>
      <c r="F393" s="38" t="s">
        <v>80</v>
      </c>
      <c r="G393" s="38">
        <v>95133</v>
      </c>
      <c r="H393" s="43">
        <v>0.37</v>
      </c>
      <c r="I393" s="43">
        <v>0.92</v>
      </c>
      <c r="J393" s="38">
        <v>32.799999999999997</v>
      </c>
      <c r="K393" s="42">
        <v>16425</v>
      </c>
      <c r="L393" s="42">
        <v>3285</v>
      </c>
      <c r="M393" s="38">
        <v>0</v>
      </c>
    </row>
    <row r="394" spans="1:13" ht="15" customHeight="1" x14ac:dyDescent="0.3">
      <c r="A394" s="38" t="s">
        <v>864</v>
      </c>
      <c r="B394" s="40">
        <v>2622</v>
      </c>
      <c r="C394" s="41">
        <v>0.14899999999999999</v>
      </c>
      <c r="D394" s="38">
        <v>60</v>
      </c>
      <c r="E394" s="38" t="s">
        <v>35</v>
      </c>
      <c r="F394" s="38" t="s">
        <v>114</v>
      </c>
      <c r="G394" s="38">
        <v>133361</v>
      </c>
      <c r="H394" s="43">
        <v>0.17</v>
      </c>
      <c r="I394" s="43">
        <v>0.87</v>
      </c>
      <c r="J394" s="38">
        <v>32.700000000000003</v>
      </c>
      <c r="K394" s="42">
        <v>1953.39</v>
      </c>
      <c r="L394" s="42">
        <v>390.68</v>
      </c>
      <c r="M394" s="38">
        <v>0</v>
      </c>
    </row>
    <row r="395" spans="1:13" ht="15" customHeight="1" x14ac:dyDescent="0.3">
      <c r="A395" s="38" t="s">
        <v>866</v>
      </c>
      <c r="B395" s="40">
        <v>9636</v>
      </c>
      <c r="C395" s="41">
        <v>0.14099999999999999</v>
      </c>
      <c r="D395" s="38">
        <v>60</v>
      </c>
      <c r="E395" s="38" t="s">
        <v>35</v>
      </c>
      <c r="F395" s="38" t="s">
        <v>60</v>
      </c>
      <c r="G395" s="38">
        <v>93627</v>
      </c>
      <c r="H395" s="43">
        <v>0.24</v>
      </c>
      <c r="I395" s="43">
        <v>0.79</v>
      </c>
      <c r="J395" s="38">
        <v>32.6</v>
      </c>
      <c r="K395" s="42">
        <v>6793.38</v>
      </c>
      <c r="L395" s="42">
        <v>1358.68</v>
      </c>
      <c r="M395" s="38">
        <v>0</v>
      </c>
    </row>
    <row r="396" spans="1:13" ht="15" customHeight="1" x14ac:dyDescent="0.3">
      <c r="A396" s="44" t="s">
        <v>868</v>
      </c>
      <c r="B396" s="46">
        <v>27715</v>
      </c>
      <c r="C396" s="47">
        <v>0.23699999999999999</v>
      </c>
      <c r="D396" s="44">
        <v>36</v>
      </c>
      <c r="E396" s="44" t="s">
        <v>36</v>
      </c>
      <c r="F396" s="44" t="s">
        <v>257</v>
      </c>
      <c r="G396" s="44">
        <v>133243</v>
      </c>
      <c r="H396" s="49">
        <v>0.11</v>
      </c>
      <c r="I396" s="49">
        <v>0.86</v>
      </c>
      <c r="J396" s="44">
        <v>32.6</v>
      </c>
      <c r="K396" s="48">
        <v>19705.365000000002</v>
      </c>
      <c r="L396" s="48">
        <v>-18694.47</v>
      </c>
      <c r="M396" s="44">
        <v>0</v>
      </c>
    </row>
    <row r="397" spans="1:13" ht="15" customHeight="1" x14ac:dyDescent="0.3">
      <c r="A397" s="38" t="s">
        <v>870</v>
      </c>
      <c r="B397" s="40">
        <v>30192</v>
      </c>
      <c r="C397" s="41">
        <v>0.105</v>
      </c>
      <c r="D397" s="38">
        <v>60</v>
      </c>
      <c r="E397" s="38" t="s">
        <v>35</v>
      </c>
      <c r="F397" s="38" t="s">
        <v>60</v>
      </c>
      <c r="G397" s="38">
        <v>68437</v>
      </c>
      <c r="H397" s="43">
        <v>0.3</v>
      </c>
      <c r="I397" s="43">
        <v>0.63</v>
      </c>
      <c r="J397" s="38">
        <v>32.6</v>
      </c>
      <c r="K397" s="42">
        <v>15850.8</v>
      </c>
      <c r="L397" s="42">
        <v>3170.16</v>
      </c>
      <c r="M397" s="38">
        <v>0</v>
      </c>
    </row>
    <row r="398" spans="1:13" ht="15" customHeight="1" x14ac:dyDescent="0.3">
      <c r="A398" s="50" t="s">
        <v>872</v>
      </c>
      <c r="B398" s="52">
        <v>32585</v>
      </c>
      <c r="C398" s="53">
        <v>0.104</v>
      </c>
      <c r="D398" s="50">
        <v>60</v>
      </c>
      <c r="E398" s="50" t="s">
        <v>38</v>
      </c>
      <c r="F398" s="50" t="s">
        <v>71</v>
      </c>
      <c r="G398" s="50">
        <v>33373</v>
      </c>
      <c r="H398" s="55">
        <v>0.5</v>
      </c>
      <c r="I398" s="55">
        <v>0.93</v>
      </c>
      <c r="J398" s="50">
        <v>32.5</v>
      </c>
      <c r="K398" s="54">
        <v>16944.2</v>
      </c>
      <c r="L398" s="54">
        <v>-32585</v>
      </c>
      <c r="M398" s="50">
        <v>1</v>
      </c>
    </row>
    <row r="399" spans="1:13" ht="15" customHeight="1" x14ac:dyDescent="0.3">
      <c r="A399" s="44" t="s">
        <v>874</v>
      </c>
      <c r="B399" s="46">
        <v>30257</v>
      </c>
      <c r="C399" s="47">
        <v>0.11799999999999999</v>
      </c>
      <c r="D399" s="44">
        <v>36</v>
      </c>
      <c r="E399" s="44" t="s">
        <v>36</v>
      </c>
      <c r="F399" s="44" t="s">
        <v>83</v>
      </c>
      <c r="G399" s="44">
        <v>133699</v>
      </c>
      <c r="H399" s="49">
        <v>0.32</v>
      </c>
      <c r="I399" s="49">
        <v>0.63</v>
      </c>
      <c r="J399" s="44">
        <v>32.5</v>
      </c>
      <c r="K399" s="48">
        <v>10710.977999999999</v>
      </c>
      <c r="L399" s="48">
        <v>-19499.87</v>
      </c>
      <c r="M399" s="44">
        <v>0</v>
      </c>
    </row>
    <row r="400" spans="1:13" ht="15" customHeight="1" x14ac:dyDescent="0.3">
      <c r="A400" s="38" t="s">
        <v>876</v>
      </c>
      <c r="B400" s="40">
        <v>25817</v>
      </c>
      <c r="C400" s="41">
        <v>0.105</v>
      </c>
      <c r="D400" s="38">
        <v>60</v>
      </c>
      <c r="E400" s="38" t="s">
        <v>35</v>
      </c>
      <c r="F400" s="38" t="s">
        <v>60</v>
      </c>
      <c r="G400" s="38">
        <v>95006</v>
      </c>
      <c r="H400" s="43">
        <v>0.38</v>
      </c>
      <c r="I400" s="43">
        <v>0.61</v>
      </c>
      <c r="J400" s="38">
        <v>32.5</v>
      </c>
      <c r="K400" s="42">
        <v>13553.924999999999</v>
      </c>
      <c r="L400" s="42">
        <v>2710.78</v>
      </c>
      <c r="M400" s="38">
        <v>0</v>
      </c>
    </row>
    <row r="401" spans="1:13" ht="15" customHeight="1" x14ac:dyDescent="0.3">
      <c r="A401" s="44" t="s">
        <v>878</v>
      </c>
      <c r="B401" s="46">
        <v>35636</v>
      </c>
      <c r="C401" s="47">
        <v>8.5999999999999993E-2</v>
      </c>
      <c r="D401" s="44">
        <v>36</v>
      </c>
      <c r="E401" s="44" t="s">
        <v>36</v>
      </c>
      <c r="F401" s="44" t="s">
        <v>114</v>
      </c>
      <c r="G401" s="44">
        <v>142599</v>
      </c>
      <c r="H401" s="49">
        <v>0.24</v>
      </c>
      <c r="I401" s="49">
        <v>0.54</v>
      </c>
      <c r="J401" s="44">
        <v>32.5</v>
      </c>
      <c r="K401" s="48">
        <v>9194.0879999999997</v>
      </c>
      <c r="L401" s="48">
        <v>-22186.37</v>
      </c>
      <c r="M401" s="44">
        <v>0</v>
      </c>
    </row>
    <row r="402" spans="1:13" ht="15" customHeight="1" x14ac:dyDescent="0.3">
      <c r="A402" s="44" t="s">
        <v>880</v>
      </c>
      <c r="B402" s="46">
        <v>9927</v>
      </c>
      <c r="C402" s="47">
        <v>8.4000000000000005E-2</v>
      </c>
      <c r="D402" s="44">
        <v>60</v>
      </c>
      <c r="E402" s="44" t="s">
        <v>36</v>
      </c>
      <c r="F402" s="44" t="s">
        <v>60</v>
      </c>
      <c r="G402" s="44">
        <v>84028</v>
      </c>
      <c r="H402" s="49">
        <v>0.28999999999999998</v>
      </c>
      <c r="I402" s="49">
        <v>0.76</v>
      </c>
      <c r="J402" s="44">
        <v>32.4</v>
      </c>
      <c r="K402" s="48">
        <v>4169.34</v>
      </c>
      <c r="L402" s="48">
        <v>-7800.03</v>
      </c>
      <c r="M402" s="44">
        <v>0</v>
      </c>
    </row>
    <row r="403" spans="1:13" ht="15" customHeight="1" x14ac:dyDescent="0.3">
      <c r="A403" s="44" t="s">
        <v>882</v>
      </c>
      <c r="B403" s="46">
        <v>20982</v>
      </c>
      <c r="C403" s="47">
        <v>0.187</v>
      </c>
      <c r="D403" s="44">
        <v>36</v>
      </c>
      <c r="E403" s="44" t="s">
        <v>36</v>
      </c>
      <c r="F403" s="44" t="s">
        <v>60</v>
      </c>
      <c r="G403" s="44">
        <v>42192</v>
      </c>
      <c r="H403" s="49">
        <v>0.23</v>
      </c>
      <c r="I403" s="49">
        <v>0.73</v>
      </c>
      <c r="J403" s="44">
        <v>32.4</v>
      </c>
      <c r="K403" s="48">
        <v>11770.902</v>
      </c>
      <c r="L403" s="48">
        <v>-13332.75</v>
      </c>
      <c r="M403" s="44">
        <v>0</v>
      </c>
    </row>
    <row r="404" spans="1:13" ht="15" customHeight="1" x14ac:dyDescent="0.3">
      <c r="A404" s="56" t="s">
        <v>884</v>
      </c>
      <c r="B404" s="58">
        <v>25226</v>
      </c>
      <c r="C404" s="59">
        <v>8.6999999999999994E-2</v>
      </c>
      <c r="D404" s="56">
        <v>36</v>
      </c>
      <c r="E404" s="56" t="s">
        <v>37</v>
      </c>
      <c r="F404" s="56" t="s">
        <v>114</v>
      </c>
      <c r="G404" s="56">
        <v>58820</v>
      </c>
      <c r="H404" s="61">
        <v>0.28999999999999998</v>
      </c>
      <c r="I404" s="61">
        <v>0.91</v>
      </c>
      <c r="J404" s="56">
        <v>32.4</v>
      </c>
      <c r="K404" s="60">
        <v>6583.9859999999999</v>
      </c>
      <c r="L404" s="60">
        <v>-17928.849999999999</v>
      </c>
      <c r="M404" s="56">
        <v>1</v>
      </c>
    </row>
    <row r="405" spans="1:13" ht="15" customHeight="1" x14ac:dyDescent="0.3">
      <c r="A405" s="56" t="s">
        <v>886</v>
      </c>
      <c r="B405" s="58">
        <v>36835</v>
      </c>
      <c r="C405" s="59">
        <v>5.7000000000000002E-2</v>
      </c>
      <c r="D405" s="56">
        <v>60</v>
      </c>
      <c r="E405" s="56" t="s">
        <v>37</v>
      </c>
      <c r="F405" s="56" t="s">
        <v>66</v>
      </c>
      <c r="G405" s="56">
        <v>32581</v>
      </c>
      <c r="H405" s="61">
        <v>0.35</v>
      </c>
      <c r="I405" s="61">
        <v>0.55000000000000004</v>
      </c>
      <c r="J405" s="56">
        <v>32.4</v>
      </c>
      <c r="K405" s="60">
        <v>10497.975</v>
      </c>
      <c r="L405" s="60">
        <v>-26954.43</v>
      </c>
      <c r="M405" s="56">
        <v>1</v>
      </c>
    </row>
    <row r="406" spans="1:13" ht="15" customHeight="1" x14ac:dyDescent="0.3">
      <c r="A406" s="50" t="s">
        <v>888</v>
      </c>
      <c r="B406" s="52">
        <v>32822</v>
      </c>
      <c r="C406" s="53">
        <v>0.20599999999999999</v>
      </c>
      <c r="D406" s="50">
        <v>60</v>
      </c>
      <c r="E406" s="50" t="s">
        <v>38</v>
      </c>
      <c r="F406" s="50" t="s">
        <v>66</v>
      </c>
      <c r="G406" s="50">
        <v>90281</v>
      </c>
      <c r="H406" s="55">
        <v>0.14000000000000001</v>
      </c>
      <c r="I406" s="55">
        <v>0.7</v>
      </c>
      <c r="J406" s="50">
        <v>32.4</v>
      </c>
      <c r="K406" s="54">
        <v>33806.660000000003</v>
      </c>
      <c r="L406" s="54">
        <v>-32822</v>
      </c>
      <c r="M406" s="50">
        <v>1</v>
      </c>
    </row>
    <row r="407" spans="1:13" ht="15" customHeight="1" x14ac:dyDescent="0.3">
      <c r="A407" s="38" t="s">
        <v>890</v>
      </c>
      <c r="B407" s="40">
        <v>17082</v>
      </c>
      <c r="C407" s="41">
        <v>0.155</v>
      </c>
      <c r="D407" s="38">
        <v>36</v>
      </c>
      <c r="E407" s="38" t="s">
        <v>35</v>
      </c>
      <c r="F407" s="38" t="s">
        <v>83</v>
      </c>
      <c r="G407" s="38">
        <v>140107</v>
      </c>
      <c r="H407" s="43">
        <v>0.32</v>
      </c>
      <c r="I407" s="43">
        <v>0.69</v>
      </c>
      <c r="J407" s="38">
        <v>32.4</v>
      </c>
      <c r="K407" s="42">
        <v>7943.13</v>
      </c>
      <c r="L407" s="42">
        <v>2647.71</v>
      </c>
      <c r="M407" s="38">
        <v>0</v>
      </c>
    </row>
    <row r="408" spans="1:13" ht="15" customHeight="1" x14ac:dyDescent="0.3">
      <c r="A408" s="38" t="s">
        <v>892</v>
      </c>
      <c r="B408" s="40">
        <v>20576</v>
      </c>
      <c r="C408" s="41">
        <v>0.05</v>
      </c>
      <c r="D408" s="38">
        <v>60</v>
      </c>
      <c r="E408" s="38" t="s">
        <v>35</v>
      </c>
      <c r="F408" s="38" t="s">
        <v>80</v>
      </c>
      <c r="G408" s="38">
        <v>95982</v>
      </c>
      <c r="H408" s="43">
        <v>0.48</v>
      </c>
      <c r="I408" s="43">
        <v>0.65</v>
      </c>
      <c r="J408" s="38">
        <v>32.4</v>
      </c>
      <c r="K408" s="42">
        <v>5144</v>
      </c>
      <c r="L408" s="42">
        <v>1028.8</v>
      </c>
      <c r="M408" s="38">
        <v>0</v>
      </c>
    </row>
    <row r="409" spans="1:13" ht="15" customHeight="1" x14ac:dyDescent="0.3">
      <c r="A409" s="44" t="s">
        <v>894</v>
      </c>
      <c r="B409" s="46">
        <v>31561</v>
      </c>
      <c r="C409" s="47">
        <v>0.129</v>
      </c>
      <c r="D409" s="44">
        <v>36</v>
      </c>
      <c r="E409" s="44" t="s">
        <v>36</v>
      </c>
      <c r="F409" s="44" t="s">
        <v>83</v>
      </c>
      <c r="G409" s="44">
        <v>65618</v>
      </c>
      <c r="H409" s="49">
        <v>0.49</v>
      </c>
      <c r="I409" s="49">
        <v>0.52</v>
      </c>
      <c r="J409" s="44">
        <v>32.299999999999997</v>
      </c>
      <c r="K409" s="48">
        <v>12214.107</v>
      </c>
      <c r="L409" s="48">
        <v>-18783.580000000002</v>
      </c>
      <c r="M409" s="44">
        <v>0</v>
      </c>
    </row>
    <row r="410" spans="1:13" ht="15" customHeight="1" x14ac:dyDescent="0.3">
      <c r="A410" s="38" t="s">
        <v>896</v>
      </c>
      <c r="B410" s="40">
        <v>35503</v>
      </c>
      <c r="C410" s="41">
        <v>0.20200000000000001</v>
      </c>
      <c r="D410" s="38">
        <v>36</v>
      </c>
      <c r="E410" s="38" t="s">
        <v>35</v>
      </c>
      <c r="F410" s="38" t="s">
        <v>80</v>
      </c>
      <c r="G410" s="38">
        <v>117225</v>
      </c>
      <c r="H410" s="43">
        <v>0.23</v>
      </c>
      <c r="I410" s="43">
        <v>0.77</v>
      </c>
      <c r="J410" s="38">
        <v>32.299999999999997</v>
      </c>
      <c r="K410" s="42">
        <v>21514.817999999999</v>
      </c>
      <c r="L410" s="42">
        <v>7171.61</v>
      </c>
      <c r="M410" s="38">
        <v>0</v>
      </c>
    </row>
    <row r="411" spans="1:13" ht="15" customHeight="1" x14ac:dyDescent="0.3">
      <c r="A411" s="38" t="s">
        <v>898</v>
      </c>
      <c r="B411" s="40">
        <v>31907</v>
      </c>
      <c r="C411" s="41">
        <v>0.188</v>
      </c>
      <c r="D411" s="38">
        <v>36</v>
      </c>
      <c r="E411" s="38" t="s">
        <v>35</v>
      </c>
      <c r="F411" s="38" t="s">
        <v>114</v>
      </c>
      <c r="G411" s="38">
        <v>131820</v>
      </c>
      <c r="H411" s="43">
        <v>0.24</v>
      </c>
      <c r="I411" s="43">
        <v>0.94</v>
      </c>
      <c r="J411" s="38">
        <v>32.1</v>
      </c>
      <c r="K411" s="42">
        <v>17995.547999999999</v>
      </c>
      <c r="L411" s="42">
        <v>5998.52</v>
      </c>
      <c r="M411" s="38">
        <v>0</v>
      </c>
    </row>
    <row r="412" spans="1:13" ht="15" customHeight="1" x14ac:dyDescent="0.3">
      <c r="A412" s="38" t="s">
        <v>900</v>
      </c>
      <c r="B412" s="40">
        <v>5760</v>
      </c>
      <c r="C412" s="41">
        <v>0.21299999999999999</v>
      </c>
      <c r="D412" s="38">
        <v>36</v>
      </c>
      <c r="E412" s="38" t="s">
        <v>35</v>
      </c>
      <c r="F412" s="38" t="s">
        <v>66</v>
      </c>
      <c r="G412" s="38">
        <v>124220</v>
      </c>
      <c r="H412" s="43">
        <v>0.27</v>
      </c>
      <c r="I412" s="43">
        <v>0.63</v>
      </c>
      <c r="J412" s="38">
        <v>32.1</v>
      </c>
      <c r="K412" s="42">
        <v>3680.64</v>
      </c>
      <c r="L412" s="42">
        <v>1226.8800000000001</v>
      </c>
      <c r="M412" s="38">
        <v>0</v>
      </c>
    </row>
    <row r="413" spans="1:13" ht="15" customHeight="1" x14ac:dyDescent="0.3">
      <c r="A413" s="38" t="s">
        <v>902</v>
      </c>
      <c r="B413" s="40">
        <v>35707</v>
      </c>
      <c r="C413" s="41">
        <v>0.2</v>
      </c>
      <c r="D413" s="38">
        <v>60</v>
      </c>
      <c r="E413" s="38" t="s">
        <v>35</v>
      </c>
      <c r="F413" s="38" t="s">
        <v>60</v>
      </c>
      <c r="G413" s="38">
        <v>62954</v>
      </c>
      <c r="H413" s="43">
        <v>0.43</v>
      </c>
      <c r="I413" s="43">
        <v>0.79</v>
      </c>
      <c r="J413" s="38">
        <v>32</v>
      </c>
      <c r="K413" s="42">
        <v>35707</v>
      </c>
      <c r="L413" s="42">
        <v>7141.4</v>
      </c>
      <c r="M413" s="38">
        <v>0</v>
      </c>
    </row>
    <row r="414" spans="1:13" ht="15" customHeight="1" x14ac:dyDescent="0.3">
      <c r="A414" s="38" t="s">
        <v>904</v>
      </c>
      <c r="B414" s="40">
        <v>4342</v>
      </c>
      <c r="C414" s="41">
        <v>0.123</v>
      </c>
      <c r="D414" s="38">
        <v>36</v>
      </c>
      <c r="E414" s="38" t="s">
        <v>35</v>
      </c>
      <c r="F414" s="38" t="s">
        <v>257</v>
      </c>
      <c r="G414" s="38">
        <v>30917</v>
      </c>
      <c r="H414" s="43">
        <v>0.43</v>
      </c>
      <c r="I414" s="43">
        <v>0.59</v>
      </c>
      <c r="J414" s="38">
        <v>32</v>
      </c>
      <c r="K414" s="42">
        <v>1602.1980000000001</v>
      </c>
      <c r="L414" s="42">
        <v>534.07000000000005</v>
      </c>
      <c r="M414" s="38">
        <v>0</v>
      </c>
    </row>
    <row r="415" spans="1:13" ht="15" customHeight="1" x14ac:dyDescent="0.3">
      <c r="A415" s="56" t="s">
        <v>906</v>
      </c>
      <c r="B415" s="58">
        <v>32883</v>
      </c>
      <c r="C415" s="59">
        <v>0.20300000000000001</v>
      </c>
      <c r="D415" s="56">
        <v>60</v>
      </c>
      <c r="E415" s="56" t="s">
        <v>37</v>
      </c>
      <c r="F415" s="56" t="s">
        <v>71</v>
      </c>
      <c r="G415" s="56">
        <v>144100</v>
      </c>
      <c r="H415" s="61">
        <v>0.19</v>
      </c>
      <c r="I415" s="61">
        <v>0.65</v>
      </c>
      <c r="J415" s="56">
        <v>31.9</v>
      </c>
      <c r="K415" s="60">
        <v>33376.245000000003</v>
      </c>
      <c r="L415" s="60">
        <v>-23205.67</v>
      </c>
      <c r="M415" s="56">
        <v>1</v>
      </c>
    </row>
    <row r="416" spans="1:13" ht="15" customHeight="1" x14ac:dyDescent="0.3">
      <c r="A416" s="38" t="s">
        <v>908</v>
      </c>
      <c r="B416" s="40">
        <v>27705</v>
      </c>
      <c r="C416" s="41">
        <v>0.16</v>
      </c>
      <c r="D416" s="38">
        <v>60</v>
      </c>
      <c r="E416" s="38" t="s">
        <v>35</v>
      </c>
      <c r="F416" s="38" t="s">
        <v>60</v>
      </c>
      <c r="G416" s="38">
        <v>113178</v>
      </c>
      <c r="H416" s="43">
        <v>0.26</v>
      </c>
      <c r="I416" s="43">
        <v>0.82</v>
      </c>
      <c r="J416" s="38">
        <v>31.9</v>
      </c>
      <c r="K416" s="42">
        <v>22164</v>
      </c>
      <c r="L416" s="42">
        <v>4432.8</v>
      </c>
      <c r="M416" s="38">
        <v>0</v>
      </c>
    </row>
    <row r="417" spans="1:13" ht="15" customHeight="1" x14ac:dyDescent="0.3">
      <c r="A417" s="38" t="s">
        <v>910</v>
      </c>
      <c r="B417" s="40">
        <v>34535</v>
      </c>
      <c r="C417" s="41">
        <v>9.0999999999999998E-2</v>
      </c>
      <c r="D417" s="38">
        <v>36</v>
      </c>
      <c r="E417" s="38" t="s">
        <v>35</v>
      </c>
      <c r="F417" s="38" t="s">
        <v>83</v>
      </c>
      <c r="G417" s="38">
        <v>142669</v>
      </c>
      <c r="H417" s="43">
        <v>0.44</v>
      </c>
      <c r="I417" s="43">
        <v>0.5</v>
      </c>
      <c r="J417" s="38">
        <v>31.9</v>
      </c>
      <c r="K417" s="42">
        <v>9428.0550000000003</v>
      </c>
      <c r="L417" s="42">
        <v>3142.68</v>
      </c>
      <c r="M417" s="38">
        <v>0</v>
      </c>
    </row>
    <row r="418" spans="1:13" ht="15" customHeight="1" x14ac:dyDescent="0.3">
      <c r="A418" s="38" t="s">
        <v>912</v>
      </c>
      <c r="B418" s="40">
        <v>22288</v>
      </c>
      <c r="C418" s="41">
        <v>9.5000000000000001E-2</v>
      </c>
      <c r="D418" s="38">
        <v>60</v>
      </c>
      <c r="E418" s="38" t="s">
        <v>35</v>
      </c>
      <c r="F418" s="38" t="s">
        <v>83</v>
      </c>
      <c r="G418" s="38">
        <v>75838</v>
      </c>
      <c r="H418" s="43">
        <v>0.31</v>
      </c>
      <c r="I418" s="43">
        <v>0.59</v>
      </c>
      <c r="J418" s="38">
        <v>31.8</v>
      </c>
      <c r="K418" s="42">
        <v>10586.8</v>
      </c>
      <c r="L418" s="42">
        <v>2117.36</v>
      </c>
      <c r="M418" s="38">
        <v>0</v>
      </c>
    </row>
    <row r="419" spans="1:13" ht="15" customHeight="1" x14ac:dyDescent="0.3">
      <c r="A419" s="38" t="s">
        <v>914</v>
      </c>
      <c r="B419" s="40">
        <v>22520</v>
      </c>
      <c r="C419" s="41">
        <v>0.113</v>
      </c>
      <c r="D419" s="38">
        <v>60</v>
      </c>
      <c r="E419" s="38" t="s">
        <v>35</v>
      </c>
      <c r="F419" s="38" t="s">
        <v>83</v>
      </c>
      <c r="G419" s="38">
        <v>85612</v>
      </c>
      <c r="H419" s="43">
        <v>0.1</v>
      </c>
      <c r="I419" s="43">
        <v>0.74</v>
      </c>
      <c r="J419" s="38">
        <v>31.8</v>
      </c>
      <c r="K419" s="42">
        <v>12723.8</v>
      </c>
      <c r="L419" s="42">
        <v>2544.7600000000002</v>
      </c>
      <c r="M419" s="38">
        <v>0</v>
      </c>
    </row>
    <row r="420" spans="1:13" ht="15" customHeight="1" x14ac:dyDescent="0.3">
      <c r="A420" s="38" t="s">
        <v>916</v>
      </c>
      <c r="B420" s="40">
        <v>29380</v>
      </c>
      <c r="C420" s="41">
        <v>0.20200000000000001</v>
      </c>
      <c r="D420" s="38">
        <v>60</v>
      </c>
      <c r="E420" s="38" t="s">
        <v>35</v>
      </c>
      <c r="F420" s="38" t="s">
        <v>71</v>
      </c>
      <c r="G420" s="38">
        <v>104960</v>
      </c>
      <c r="H420" s="43">
        <v>0.18</v>
      </c>
      <c r="I420" s="43">
        <v>0.52</v>
      </c>
      <c r="J420" s="38">
        <v>31.8</v>
      </c>
      <c r="K420" s="42">
        <v>29673.8</v>
      </c>
      <c r="L420" s="42">
        <v>5934.76</v>
      </c>
      <c r="M420" s="38">
        <v>0</v>
      </c>
    </row>
    <row r="421" spans="1:13" ht="15" customHeight="1" x14ac:dyDescent="0.3">
      <c r="A421" s="44" t="s">
        <v>918</v>
      </c>
      <c r="B421" s="46">
        <v>20623</v>
      </c>
      <c r="C421" s="47">
        <v>7.9000000000000001E-2</v>
      </c>
      <c r="D421" s="44">
        <v>60</v>
      </c>
      <c r="E421" s="44" t="s">
        <v>36</v>
      </c>
      <c r="F421" s="44" t="s">
        <v>71</v>
      </c>
      <c r="G421" s="44">
        <v>55525</v>
      </c>
      <c r="H421" s="49">
        <v>0.1</v>
      </c>
      <c r="I421" s="49">
        <v>0.65</v>
      </c>
      <c r="J421" s="44">
        <v>31.7</v>
      </c>
      <c r="K421" s="48">
        <v>8146.085</v>
      </c>
      <c r="L421" s="48">
        <v>-13751.22</v>
      </c>
      <c r="M421" s="44">
        <v>0</v>
      </c>
    </row>
    <row r="422" spans="1:13" ht="15" customHeight="1" x14ac:dyDescent="0.3">
      <c r="A422" s="38" t="s">
        <v>920</v>
      </c>
      <c r="B422" s="40">
        <v>9782</v>
      </c>
      <c r="C422" s="41">
        <v>0.214</v>
      </c>
      <c r="D422" s="38">
        <v>36</v>
      </c>
      <c r="E422" s="38" t="s">
        <v>35</v>
      </c>
      <c r="F422" s="38" t="s">
        <v>83</v>
      </c>
      <c r="G422" s="38">
        <v>49404</v>
      </c>
      <c r="H422" s="43">
        <v>0.41</v>
      </c>
      <c r="I422" s="43">
        <v>0.51</v>
      </c>
      <c r="J422" s="38">
        <v>31.7</v>
      </c>
      <c r="K422" s="42">
        <v>6280.0439999999999</v>
      </c>
      <c r="L422" s="42">
        <v>2093.35</v>
      </c>
      <c r="M422" s="38">
        <v>0</v>
      </c>
    </row>
    <row r="423" spans="1:13" ht="15" customHeight="1" x14ac:dyDescent="0.3">
      <c r="A423" s="56" t="s">
        <v>922</v>
      </c>
      <c r="B423" s="58">
        <v>14547</v>
      </c>
      <c r="C423" s="59">
        <v>0.13700000000000001</v>
      </c>
      <c r="D423" s="56">
        <v>60</v>
      </c>
      <c r="E423" s="56" t="s">
        <v>37</v>
      </c>
      <c r="F423" s="56" t="s">
        <v>257</v>
      </c>
      <c r="G423" s="56">
        <v>44995</v>
      </c>
      <c r="H423" s="61">
        <v>0.21</v>
      </c>
      <c r="I423" s="61">
        <v>0.78</v>
      </c>
      <c r="J423" s="56">
        <v>31.6</v>
      </c>
      <c r="K423" s="60">
        <v>9964.6949999999997</v>
      </c>
      <c r="L423" s="60">
        <v>-12611.68</v>
      </c>
      <c r="M423" s="56">
        <v>1</v>
      </c>
    </row>
    <row r="424" spans="1:13" ht="15" customHeight="1" x14ac:dyDescent="0.3">
      <c r="A424" s="38" t="s">
        <v>924</v>
      </c>
      <c r="B424" s="40">
        <v>14612</v>
      </c>
      <c r="C424" s="41">
        <v>0.248</v>
      </c>
      <c r="D424" s="38">
        <v>60</v>
      </c>
      <c r="E424" s="38" t="s">
        <v>35</v>
      </c>
      <c r="F424" s="38" t="s">
        <v>60</v>
      </c>
      <c r="G424" s="38">
        <v>84567</v>
      </c>
      <c r="H424" s="43">
        <v>0.38</v>
      </c>
      <c r="I424" s="43">
        <v>0.52</v>
      </c>
      <c r="J424" s="38">
        <v>31.6</v>
      </c>
      <c r="K424" s="42">
        <v>18118.88</v>
      </c>
      <c r="L424" s="42">
        <v>3623.78</v>
      </c>
      <c r="M424" s="38">
        <v>0</v>
      </c>
    </row>
    <row r="425" spans="1:13" ht="15" customHeight="1" x14ac:dyDescent="0.3">
      <c r="A425" s="38" t="s">
        <v>926</v>
      </c>
      <c r="B425" s="40">
        <v>37618</v>
      </c>
      <c r="C425" s="41">
        <v>0.10299999999999999</v>
      </c>
      <c r="D425" s="38">
        <v>36</v>
      </c>
      <c r="E425" s="38" t="s">
        <v>35</v>
      </c>
      <c r="F425" s="38" t="s">
        <v>83</v>
      </c>
      <c r="G425" s="38">
        <v>83592</v>
      </c>
      <c r="H425" s="43">
        <v>0.19</v>
      </c>
      <c r="I425" s="43">
        <v>0.57999999999999996</v>
      </c>
      <c r="J425" s="38">
        <v>31.5</v>
      </c>
      <c r="K425" s="42">
        <v>11623.962</v>
      </c>
      <c r="L425" s="42">
        <v>3874.65</v>
      </c>
      <c r="M425" s="38">
        <v>0</v>
      </c>
    </row>
    <row r="426" spans="1:13" ht="15" customHeight="1" x14ac:dyDescent="0.3">
      <c r="A426" s="38" t="s">
        <v>928</v>
      </c>
      <c r="B426" s="40">
        <v>23861</v>
      </c>
      <c r="C426" s="41">
        <v>0.157</v>
      </c>
      <c r="D426" s="38">
        <v>36</v>
      </c>
      <c r="E426" s="38" t="s">
        <v>35</v>
      </c>
      <c r="F426" s="38" t="s">
        <v>66</v>
      </c>
      <c r="G426" s="38">
        <v>81934</v>
      </c>
      <c r="H426" s="43">
        <v>0.46</v>
      </c>
      <c r="I426" s="43">
        <v>0.78</v>
      </c>
      <c r="J426" s="38">
        <v>31.5</v>
      </c>
      <c r="K426" s="42">
        <v>11238.531000000001</v>
      </c>
      <c r="L426" s="42">
        <v>3746.18</v>
      </c>
      <c r="M426" s="38">
        <v>0</v>
      </c>
    </row>
    <row r="427" spans="1:13" ht="15" customHeight="1" x14ac:dyDescent="0.3">
      <c r="A427" s="38" t="s">
        <v>930</v>
      </c>
      <c r="B427" s="40">
        <v>20541</v>
      </c>
      <c r="C427" s="41">
        <v>0.11799999999999999</v>
      </c>
      <c r="D427" s="38">
        <v>36</v>
      </c>
      <c r="E427" s="38" t="s">
        <v>35</v>
      </c>
      <c r="F427" s="38" t="s">
        <v>71</v>
      </c>
      <c r="G427" s="38">
        <v>49996</v>
      </c>
      <c r="H427" s="43">
        <v>0.28000000000000003</v>
      </c>
      <c r="I427" s="43">
        <v>0.5</v>
      </c>
      <c r="J427" s="38">
        <v>31.5</v>
      </c>
      <c r="K427" s="42">
        <v>7271.5140000000001</v>
      </c>
      <c r="L427" s="42">
        <v>2423.84</v>
      </c>
      <c r="M427" s="38">
        <v>0</v>
      </c>
    </row>
    <row r="428" spans="1:13" ht="15" customHeight="1" x14ac:dyDescent="0.3">
      <c r="A428" s="44" t="s">
        <v>932</v>
      </c>
      <c r="B428" s="46">
        <v>3472</v>
      </c>
      <c r="C428" s="47">
        <v>0.10299999999999999</v>
      </c>
      <c r="D428" s="44">
        <v>60</v>
      </c>
      <c r="E428" s="44" t="s">
        <v>36</v>
      </c>
      <c r="F428" s="44" t="s">
        <v>66</v>
      </c>
      <c r="G428" s="44">
        <v>86889</v>
      </c>
      <c r="H428" s="49">
        <v>0.28999999999999998</v>
      </c>
      <c r="I428" s="49">
        <v>0.66</v>
      </c>
      <c r="J428" s="44">
        <v>31.5</v>
      </c>
      <c r="K428" s="48">
        <v>1788.08</v>
      </c>
      <c r="L428" s="48">
        <v>-2792.79</v>
      </c>
      <c r="M428" s="44">
        <v>0</v>
      </c>
    </row>
    <row r="429" spans="1:13" ht="15" customHeight="1" x14ac:dyDescent="0.3">
      <c r="A429" s="38" t="s">
        <v>934</v>
      </c>
      <c r="B429" s="40">
        <v>18905</v>
      </c>
      <c r="C429" s="41">
        <v>0.13700000000000001</v>
      </c>
      <c r="D429" s="38">
        <v>60</v>
      </c>
      <c r="E429" s="38" t="s">
        <v>35</v>
      </c>
      <c r="F429" s="38" t="s">
        <v>60</v>
      </c>
      <c r="G429" s="38">
        <v>106502</v>
      </c>
      <c r="H429" s="43">
        <v>0.22</v>
      </c>
      <c r="I429" s="43">
        <v>0.72</v>
      </c>
      <c r="J429" s="38">
        <v>31.5</v>
      </c>
      <c r="K429" s="42">
        <v>12949.924999999999</v>
      </c>
      <c r="L429" s="42">
        <v>2589.98</v>
      </c>
      <c r="M429" s="38">
        <v>0</v>
      </c>
    </row>
    <row r="430" spans="1:13" ht="15" customHeight="1" x14ac:dyDescent="0.3">
      <c r="A430" s="50" t="s">
        <v>936</v>
      </c>
      <c r="B430" s="52">
        <v>6495</v>
      </c>
      <c r="C430" s="53">
        <v>0.249</v>
      </c>
      <c r="D430" s="50">
        <v>36</v>
      </c>
      <c r="E430" s="50" t="s">
        <v>38</v>
      </c>
      <c r="F430" s="50" t="s">
        <v>71</v>
      </c>
      <c r="G430" s="50">
        <v>123063</v>
      </c>
      <c r="H430" s="55">
        <v>0.21</v>
      </c>
      <c r="I430" s="55">
        <v>0.56000000000000005</v>
      </c>
      <c r="J430" s="50">
        <v>31.4</v>
      </c>
      <c r="K430" s="54">
        <v>4851.7650000000003</v>
      </c>
      <c r="L430" s="54">
        <v>-6495</v>
      </c>
      <c r="M430" s="50">
        <v>1</v>
      </c>
    </row>
    <row r="431" spans="1:13" ht="15" customHeight="1" x14ac:dyDescent="0.3">
      <c r="A431" s="38" t="s">
        <v>938</v>
      </c>
      <c r="B431" s="40">
        <v>17309</v>
      </c>
      <c r="C431" s="41">
        <v>0.23200000000000001</v>
      </c>
      <c r="D431" s="38">
        <v>36</v>
      </c>
      <c r="E431" s="38" t="s">
        <v>35</v>
      </c>
      <c r="F431" s="38" t="s">
        <v>71</v>
      </c>
      <c r="G431" s="38">
        <v>41349</v>
      </c>
      <c r="H431" s="43">
        <v>0.18</v>
      </c>
      <c r="I431" s="43">
        <v>0.86</v>
      </c>
      <c r="J431" s="38">
        <v>31.4</v>
      </c>
      <c r="K431" s="42">
        <v>12047.064</v>
      </c>
      <c r="L431" s="42">
        <v>4015.69</v>
      </c>
      <c r="M431" s="38">
        <v>0</v>
      </c>
    </row>
    <row r="432" spans="1:13" ht="15" customHeight="1" x14ac:dyDescent="0.3">
      <c r="A432" s="44" t="s">
        <v>940</v>
      </c>
      <c r="B432" s="46">
        <v>25058</v>
      </c>
      <c r="C432" s="47">
        <v>0.24199999999999999</v>
      </c>
      <c r="D432" s="44">
        <v>36</v>
      </c>
      <c r="E432" s="44" t="s">
        <v>36</v>
      </c>
      <c r="F432" s="44" t="s">
        <v>60</v>
      </c>
      <c r="G432" s="44">
        <v>56946</v>
      </c>
      <c r="H432" s="49">
        <v>0.22</v>
      </c>
      <c r="I432" s="49">
        <v>0.61</v>
      </c>
      <c r="J432" s="44">
        <v>31.3</v>
      </c>
      <c r="K432" s="48">
        <v>18192.108</v>
      </c>
      <c r="L432" s="48">
        <v>-15702.87</v>
      </c>
      <c r="M432" s="44">
        <v>0</v>
      </c>
    </row>
    <row r="433" spans="1:13" ht="15" customHeight="1" x14ac:dyDescent="0.3">
      <c r="A433" s="56" t="s">
        <v>942</v>
      </c>
      <c r="B433" s="58">
        <v>25578</v>
      </c>
      <c r="C433" s="59">
        <v>0.191</v>
      </c>
      <c r="D433" s="56">
        <v>60</v>
      </c>
      <c r="E433" s="56" t="s">
        <v>37</v>
      </c>
      <c r="F433" s="56" t="s">
        <v>80</v>
      </c>
      <c r="G433" s="56">
        <v>115679</v>
      </c>
      <c r="H433" s="61">
        <v>0.13</v>
      </c>
      <c r="I433" s="61">
        <v>0.86</v>
      </c>
      <c r="J433" s="56">
        <v>31.2</v>
      </c>
      <c r="K433" s="60">
        <v>24426.99</v>
      </c>
      <c r="L433" s="60">
        <v>-18206.53</v>
      </c>
      <c r="M433" s="56">
        <v>1</v>
      </c>
    </row>
    <row r="434" spans="1:13" ht="15" customHeight="1" x14ac:dyDescent="0.3">
      <c r="A434" s="38" t="s">
        <v>944</v>
      </c>
      <c r="B434" s="40">
        <v>18650</v>
      </c>
      <c r="C434" s="41">
        <v>0.17499999999999999</v>
      </c>
      <c r="D434" s="38">
        <v>60</v>
      </c>
      <c r="E434" s="38" t="s">
        <v>35</v>
      </c>
      <c r="F434" s="38" t="s">
        <v>80</v>
      </c>
      <c r="G434" s="38">
        <v>67099</v>
      </c>
      <c r="H434" s="43">
        <v>0.19</v>
      </c>
      <c r="I434" s="43">
        <v>0.7</v>
      </c>
      <c r="J434" s="38">
        <v>31.2</v>
      </c>
      <c r="K434" s="42">
        <v>16318.75</v>
      </c>
      <c r="L434" s="42">
        <v>3263.75</v>
      </c>
      <c r="M434" s="38">
        <v>0</v>
      </c>
    </row>
    <row r="435" spans="1:13" ht="15" customHeight="1" x14ac:dyDescent="0.3">
      <c r="A435" s="38" t="s">
        <v>946</v>
      </c>
      <c r="B435" s="40">
        <v>20250</v>
      </c>
      <c r="C435" s="41">
        <v>0.128</v>
      </c>
      <c r="D435" s="38">
        <v>60</v>
      </c>
      <c r="E435" s="38" t="s">
        <v>35</v>
      </c>
      <c r="F435" s="38" t="s">
        <v>114</v>
      </c>
      <c r="G435" s="38">
        <v>32763</v>
      </c>
      <c r="H435" s="43">
        <v>0.47</v>
      </c>
      <c r="I435" s="43">
        <v>0.73</v>
      </c>
      <c r="J435" s="38">
        <v>31.2</v>
      </c>
      <c r="K435" s="42">
        <v>12960</v>
      </c>
      <c r="L435" s="42">
        <v>2592</v>
      </c>
      <c r="M435" s="38">
        <v>0</v>
      </c>
    </row>
    <row r="436" spans="1:13" ht="15" customHeight="1" x14ac:dyDescent="0.3">
      <c r="A436" s="44" t="s">
        <v>948</v>
      </c>
      <c r="B436" s="46">
        <v>14994</v>
      </c>
      <c r="C436" s="47">
        <v>0.109</v>
      </c>
      <c r="D436" s="44">
        <v>60</v>
      </c>
      <c r="E436" s="44" t="s">
        <v>36</v>
      </c>
      <c r="F436" s="44" t="s">
        <v>60</v>
      </c>
      <c r="G436" s="44">
        <v>135428</v>
      </c>
      <c r="H436" s="49">
        <v>0.4</v>
      </c>
      <c r="I436" s="49">
        <v>0.51</v>
      </c>
      <c r="J436" s="44">
        <v>31.2</v>
      </c>
      <c r="K436" s="48">
        <v>8171.73</v>
      </c>
      <c r="L436" s="48">
        <v>-11450.46</v>
      </c>
      <c r="M436" s="44">
        <v>0</v>
      </c>
    </row>
    <row r="437" spans="1:13" ht="15" customHeight="1" x14ac:dyDescent="0.3">
      <c r="A437" s="38" t="s">
        <v>950</v>
      </c>
      <c r="B437" s="40">
        <v>32575</v>
      </c>
      <c r="C437" s="41">
        <v>0.121</v>
      </c>
      <c r="D437" s="38">
        <v>60</v>
      </c>
      <c r="E437" s="38" t="s">
        <v>35</v>
      </c>
      <c r="F437" s="38" t="s">
        <v>257</v>
      </c>
      <c r="G437" s="38">
        <v>66289</v>
      </c>
      <c r="H437" s="43">
        <v>0.34</v>
      </c>
      <c r="I437" s="43">
        <v>0.95</v>
      </c>
      <c r="J437" s="38">
        <v>31.2</v>
      </c>
      <c r="K437" s="42">
        <v>19707.875</v>
      </c>
      <c r="L437" s="42">
        <v>3941.57</v>
      </c>
      <c r="M437" s="38">
        <v>0</v>
      </c>
    </row>
    <row r="438" spans="1:13" ht="15" customHeight="1" x14ac:dyDescent="0.3">
      <c r="A438" s="44" t="s">
        <v>952</v>
      </c>
      <c r="B438" s="46">
        <v>10160</v>
      </c>
      <c r="C438" s="47">
        <v>0.13</v>
      </c>
      <c r="D438" s="44">
        <v>60</v>
      </c>
      <c r="E438" s="44" t="s">
        <v>36</v>
      </c>
      <c r="F438" s="44" t="s">
        <v>60</v>
      </c>
      <c r="G438" s="44">
        <v>123332</v>
      </c>
      <c r="H438" s="49">
        <v>0.35</v>
      </c>
      <c r="I438" s="49">
        <v>0.68</v>
      </c>
      <c r="J438" s="44">
        <v>31.1</v>
      </c>
      <c r="K438" s="48">
        <v>6604</v>
      </c>
      <c r="L438" s="48">
        <v>-8566.98</v>
      </c>
      <c r="M438" s="44">
        <v>0</v>
      </c>
    </row>
    <row r="439" spans="1:13" ht="15" customHeight="1" x14ac:dyDescent="0.3">
      <c r="A439" s="38" t="s">
        <v>954</v>
      </c>
      <c r="B439" s="40">
        <v>7540</v>
      </c>
      <c r="C439" s="41">
        <v>0.151</v>
      </c>
      <c r="D439" s="38">
        <v>60</v>
      </c>
      <c r="E439" s="38" t="s">
        <v>35</v>
      </c>
      <c r="F439" s="38" t="s">
        <v>60</v>
      </c>
      <c r="G439" s="38">
        <v>108824</v>
      </c>
      <c r="H439" s="43">
        <v>0.14000000000000001</v>
      </c>
      <c r="I439" s="43">
        <v>0.78</v>
      </c>
      <c r="J439" s="38">
        <v>31.1</v>
      </c>
      <c r="K439" s="42">
        <v>5692.7</v>
      </c>
      <c r="L439" s="42">
        <v>1138.54</v>
      </c>
      <c r="M439" s="38">
        <v>0</v>
      </c>
    </row>
    <row r="440" spans="1:13" ht="15" customHeight="1" x14ac:dyDescent="0.3">
      <c r="A440" s="38" t="s">
        <v>956</v>
      </c>
      <c r="B440" s="40">
        <v>24177</v>
      </c>
      <c r="C440" s="41">
        <v>9.0999999999999998E-2</v>
      </c>
      <c r="D440" s="38">
        <v>60</v>
      </c>
      <c r="E440" s="38" t="s">
        <v>35</v>
      </c>
      <c r="F440" s="38" t="s">
        <v>257</v>
      </c>
      <c r="G440" s="38">
        <v>147192</v>
      </c>
      <c r="H440" s="43">
        <v>0.49</v>
      </c>
      <c r="I440" s="43">
        <v>0.57999999999999996</v>
      </c>
      <c r="J440" s="38">
        <v>31.1</v>
      </c>
      <c r="K440" s="42">
        <v>11000.535</v>
      </c>
      <c r="L440" s="42">
        <v>2200.11</v>
      </c>
      <c r="M440" s="38">
        <v>0</v>
      </c>
    </row>
    <row r="441" spans="1:13" ht="15" customHeight="1" x14ac:dyDescent="0.3">
      <c r="A441" s="56" t="s">
        <v>958</v>
      </c>
      <c r="B441" s="58">
        <v>14467</v>
      </c>
      <c r="C441" s="59">
        <v>6.9000000000000006E-2</v>
      </c>
      <c r="D441" s="56">
        <v>36</v>
      </c>
      <c r="E441" s="56" t="s">
        <v>37</v>
      </c>
      <c r="F441" s="56" t="s">
        <v>60</v>
      </c>
      <c r="G441" s="56">
        <v>97384</v>
      </c>
      <c r="H441" s="61">
        <v>0.42</v>
      </c>
      <c r="I441" s="61">
        <v>0.69</v>
      </c>
      <c r="J441" s="56">
        <v>31</v>
      </c>
      <c r="K441" s="60">
        <v>2994.6689999999999</v>
      </c>
      <c r="L441" s="60">
        <v>-13131.98</v>
      </c>
      <c r="M441" s="56">
        <v>1</v>
      </c>
    </row>
    <row r="442" spans="1:13" ht="15" customHeight="1" x14ac:dyDescent="0.3">
      <c r="A442" s="38" t="s">
        <v>960</v>
      </c>
      <c r="B442" s="40">
        <v>22563</v>
      </c>
      <c r="C442" s="41">
        <v>0.248</v>
      </c>
      <c r="D442" s="38">
        <v>60</v>
      </c>
      <c r="E442" s="38" t="s">
        <v>35</v>
      </c>
      <c r="F442" s="38" t="s">
        <v>60</v>
      </c>
      <c r="G442" s="38">
        <v>135627</v>
      </c>
      <c r="H442" s="43">
        <v>0.2</v>
      </c>
      <c r="I442" s="43">
        <v>0.78</v>
      </c>
      <c r="J442" s="38">
        <v>31</v>
      </c>
      <c r="K442" s="42">
        <v>27978.12</v>
      </c>
      <c r="L442" s="42">
        <v>5595.62</v>
      </c>
      <c r="M442" s="38">
        <v>0</v>
      </c>
    </row>
    <row r="443" spans="1:13" ht="15" customHeight="1" x14ac:dyDescent="0.3">
      <c r="A443" s="44" t="s">
        <v>962</v>
      </c>
      <c r="B443" s="46">
        <v>11526</v>
      </c>
      <c r="C443" s="47">
        <v>0.111</v>
      </c>
      <c r="D443" s="44">
        <v>36</v>
      </c>
      <c r="E443" s="44" t="s">
        <v>36</v>
      </c>
      <c r="F443" s="44" t="s">
        <v>66</v>
      </c>
      <c r="G443" s="44">
        <v>147551</v>
      </c>
      <c r="H443" s="49">
        <v>0.37</v>
      </c>
      <c r="I443" s="49">
        <v>0.68</v>
      </c>
      <c r="J443" s="44">
        <v>31</v>
      </c>
      <c r="K443" s="48">
        <v>3838.1579999999999</v>
      </c>
      <c r="L443" s="48">
        <v>-10519.58</v>
      </c>
      <c r="M443" s="44">
        <v>0</v>
      </c>
    </row>
    <row r="444" spans="1:13" ht="15" customHeight="1" x14ac:dyDescent="0.3">
      <c r="A444" s="44" t="s">
        <v>964</v>
      </c>
      <c r="B444" s="46">
        <v>27572</v>
      </c>
      <c r="C444" s="47">
        <v>0.20799999999999999</v>
      </c>
      <c r="D444" s="44">
        <v>36</v>
      </c>
      <c r="E444" s="44" t="s">
        <v>36</v>
      </c>
      <c r="F444" s="44" t="s">
        <v>114</v>
      </c>
      <c r="G444" s="44">
        <v>106234</v>
      </c>
      <c r="H444" s="49">
        <v>0.16</v>
      </c>
      <c r="I444" s="49">
        <v>0.78</v>
      </c>
      <c r="J444" s="44">
        <v>31</v>
      </c>
      <c r="K444" s="48">
        <v>17204.928</v>
      </c>
      <c r="L444" s="48">
        <v>-24118.93</v>
      </c>
      <c r="M444" s="44">
        <v>0</v>
      </c>
    </row>
    <row r="445" spans="1:13" ht="15" customHeight="1" x14ac:dyDescent="0.3">
      <c r="A445" s="56" t="s">
        <v>966</v>
      </c>
      <c r="B445" s="58">
        <v>7099</v>
      </c>
      <c r="C445" s="59">
        <v>0.223</v>
      </c>
      <c r="D445" s="56">
        <v>60</v>
      </c>
      <c r="E445" s="56" t="s">
        <v>37</v>
      </c>
      <c r="F445" s="56" t="s">
        <v>71</v>
      </c>
      <c r="G445" s="56">
        <v>110072</v>
      </c>
      <c r="H445" s="61">
        <v>0.44</v>
      </c>
      <c r="I445" s="61">
        <v>0.51</v>
      </c>
      <c r="J445" s="56">
        <v>31</v>
      </c>
      <c r="K445" s="60">
        <v>7915.3850000000002</v>
      </c>
      <c r="L445" s="60">
        <v>-6224.48</v>
      </c>
      <c r="M445" s="56">
        <v>1</v>
      </c>
    </row>
    <row r="446" spans="1:13" ht="15" customHeight="1" x14ac:dyDescent="0.3">
      <c r="A446" s="38" t="s">
        <v>968</v>
      </c>
      <c r="B446" s="40">
        <v>22223</v>
      </c>
      <c r="C446" s="41">
        <v>5.8999999999999997E-2</v>
      </c>
      <c r="D446" s="38">
        <v>60</v>
      </c>
      <c r="E446" s="38" t="s">
        <v>35</v>
      </c>
      <c r="F446" s="38" t="s">
        <v>83</v>
      </c>
      <c r="G446" s="38">
        <v>64217</v>
      </c>
      <c r="H446" s="43">
        <v>0.16</v>
      </c>
      <c r="I446" s="43">
        <v>0.82</v>
      </c>
      <c r="J446" s="38">
        <v>30.9</v>
      </c>
      <c r="K446" s="42">
        <v>6555.7849999999999</v>
      </c>
      <c r="L446" s="42">
        <v>1311.16</v>
      </c>
      <c r="M446" s="38">
        <v>0</v>
      </c>
    </row>
    <row r="447" spans="1:13" ht="15" customHeight="1" x14ac:dyDescent="0.3">
      <c r="A447" s="44" t="s">
        <v>970</v>
      </c>
      <c r="B447" s="46">
        <v>2341</v>
      </c>
      <c r="C447" s="47">
        <v>0.17699999999999999</v>
      </c>
      <c r="D447" s="44">
        <v>60</v>
      </c>
      <c r="E447" s="44" t="s">
        <v>36</v>
      </c>
      <c r="F447" s="44" t="s">
        <v>71</v>
      </c>
      <c r="G447" s="44">
        <v>144072</v>
      </c>
      <c r="H447" s="49">
        <v>0.41</v>
      </c>
      <c r="I447" s="49">
        <v>0.61</v>
      </c>
      <c r="J447" s="44">
        <v>30.9</v>
      </c>
      <c r="K447" s="48">
        <v>2071.7849999999999</v>
      </c>
      <c r="L447" s="48">
        <v>-1626.47</v>
      </c>
      <c r="M447" s="44">
        <v>0</v>
      </c>
    </row>
    <row r="448" spans="1:13" ht="15" customHeight="1" x14ac:dyDescent="0.3">
      <c r="A448" s="44" t="s">
        <v>972</v>
      </c>
      <c r="B448" s="46">
        <v>27385</v>
      </c>
      <c r="C448" s="47">
        <v>0.245</v>
      </c>
      <c r="D448" s="44">
        <v>36</v>
      </c>
      <c r="E448" s="44" t="s">
        <v>36</v>
      </c>
      <c r="F448" s="44" t="s">
        <v>83</v>
      </c>
      <c r="G448" s="44">
        <v>64087</v>
      </c>
      <c r="H448" s="49">
        <v>0.38</v>
      </c>
      <c r="I448" s="49">
        <v>0.57999999999999996</v>
      </c>
      <c r="J448" s="44">
        <v>30.8</v>
      </c>
      <c r="K448" s="48">
        <v>20127.974999999999</v>
      </c>
      <c r="L448" s="48">
        <v>-21050.84</v>
      </c>
      <c r="M448" s="44">
        <v>0</v>
      </c>
    </row>
    <row r="449" spans="1:13" ht="15" customHeight="1" x14ac:dyDescent="0.3">
      <c r="A449" s="38" t="s">
        <v>974</v>
      </c>
      <c r="B449" s="40">
        <v>30165</v>
      </c>
      <c r="C449" s="41">
        <v>7.0000000000000007E-2</v>
      </c>
      <c r="D449" s="38">
        <v>36</v>
      </c>
      <c r="E449" s="38" t="s">
        <v>35</v>
      </c>
      <c r="F449" s="38" t="s">
        <v>66</v>
      </c>
      <c r="G449" s="38">
        <v>71235</v>
      </c>
      <c r="H449" s="43">
        <v>0.12</v>
      </c>
      <c r="I449" s="43">
        <v>0.82</v>
      </c>
      <c r="J449" s="38">
        <v>30.8</v>
      </c>
      <c r="K449" s="42">
        <v>6334.65</v>
      </c>
      <c r="L449" s="42">
        <v>2111.5500000000002</v>
      </c>
      <c r="M449" s="38">
        <v>0</v>
      </c>
    </row>
    <row r="450" spans="1:13" ht="15" customHeight="1" x14ac:dyDescent="0.3">
      <c r="A450" s="38" t="s">
        <v>976</v>
      </c>
      <c r="B450" s="40">
        <v>32705</v>
      </c>
      <c r="C450" s="41">
        <v>0.218</v>
      </c>
      <c r="D450" s="38">
        <v>60</v>
      </c>
      <c r="E450" s="38" t="s">
        <v>35</v>
      </c>
      <c r="F450" s="38" t="s">
        <v>71</v>
      </c>
      <c r="G450" s="38">
        <v>90935</v>
      </c>
      <c r="H450" s="43">
        <v>0.13</v>
      </c>
      <c r="I450" s="43">
        <v>0.52</v>
      </c>
      <c r="J450" s="38">
        <v>30.7</v>
      </c>
      <c r="K450" s="42">
        <v>35648.449999999997</v>
      </c>
      <c r="L450" s="42">
        <v>7129.69</v>
      </c>
      <c r="M450" s="38">
        <v>0</v>
      </c>
    </row>
    <row r="451" spans="1:13" ht="15" customHeight="1" x14ac:dyDescent="0.3">
      <c r="A451" s="44" t="s">
        <v>978</v>
      </c>
      <c r="B451" s="46">
        <v>10882</v>
      </c>
      <c r="C451" s="47">
        <v>7.0000000000000007E-2</v>
      </c>
      <c r="D451" s="44">
        <v>36</v>
      </c>
      <c r="E451" s="44" t="s">
        <v>36</v>
      </c>
      <c r="F451" s="44" t="s">
        <v>71</v>
      </c>
      <c r="G451" s="44">
        <v>106312</v>
      </c>
      <c r="H451" s="49">
        <v>0.37</v>
      </c>
      <c r="I451" s="49">
        <v>0.66</v>
      </c>
      <c r="J451" s="44">
        <v>30.7</v>
      </c>
      <c r="K451" s="48">
        <v>2285.2199999999998</v>
      </c>
      <c r="L451" s="48">
        <v>-7289.5</v>
      </c>
      <c r="M451" s="44">
        <v>0</v>
      </c>
    </row>
    <row r="452" spans="1:13" ht="15" customHeight="1" x14ac:dyDescent="0.3">
      <c r="A452" s="38" t="s">
        <v>980</v>
      </c>
      <c r="B452" s="40">
        <v>34361</v>
      </c>
      <c r="C452" s="41">
        <v>9.6000000000000002E-2</v>
      </c>
      <c r="D452" s="38">
        <v>60</v>
      </c>
      <c r="E452" s="38" t="s">
        <v>35</v>
      </c>
      <c r="F452" s="38" t="s">
        <v>60</v>
      </c>
      <c r="G452" s="38">
        <v>102373</v>
      </c>
      <c r="H452" s="43">
        <v>0.4</v>
      </c>
      <c r="I452" s="43">
        <v>0.73</v>
      </c>
      <c r="J452" s="38">
        <v>30.7</v>
      </c>
      <c r="K452" s="42">
        <v>16493.28</v>
      </c>
      <c r="L452" s="42">
        <v>3298.66</v>
      </c>
      <c r="M452" s="38">
        <v>0</v>
      </c>
    </row>
    <row r="453" spans="1:13" ht="15" customHeight="1" x14ac:dyDescent="0.3">
      <c r="A453" s="38" t="s">
        <v>982</v>
      </c>
      <c r="B453" s="40">
        <v>12207</v>
      </c>
      <c r="C453" s="41">
        <v>0.192</v>
      </c>
      <c r="D453" s="38">
        <v>36</v>
      </c>
      <c r="E453" s="38" t="s">
        <v>35</v>
      </c>
      <c r="F453" s="38" t="s">
        <v>60</v>
      </c>
      <c r="G453" s="38">
        <v>101128</v>
      </c>
      <c r="H453" s="43">
        <v>0.26</v>
      </c>
      <c r="I453" s="43">
        <v>0.76</v>
      </c>
      <c r="J453" s="38">
        <v>30.7</v>
      </c>
      <c r="K453" s="42">
        <v>7031.232</v>
      </c>
      <c r="L453" s="42">
        <v>2343.7399999999998</v>
      </c>
      <c r="M453" s="38">
        <v>0</v>
      </c>
    </row>
    <row r="454" spans="1:13" ht="15" customHeight="1" x14ac:dyDescent="0.3">
      <c r="A454" s="38" t="s">
        <v>984</v>
      </c>
      <c r="B454" s="40">
        <v>18824</v>
      </c>
      <c r="C454" s="41">
        <v>0.156</v>
      </c>
      <c r="D454" s="38">
        <v>36</v>
      </c>
      <c r="E454" s="38" t="s">
        <v>35</v>
      </c>
      <c r="F454" s="38" t="s">
        <v>80</v>
      </c>
      <c r="G454" s="38">
        <v>106474</v>
      </c>
      <c r="H454" s="43">
        <v>0.2</v>
      </c>
      <c r="I454" s="43">
        <v>0.55000000000000004</v>
      </c>
      <c r="J454" s="38">
        <v>30.7</v>
      </c>
      <c r="K454" s="42">
        <v>8809.6319999999996</v>
      </c>
      <c r="L454" s="42">
        <v>2936.54</v>
      </c>
      <c r="M454" s="38">
        <v>0</v>
      </c>
    </row>
    <row r="455" spans="1:13" ht="15" customHeight="1" x14ac:dyDescent="0.3">
      <c r="A455" s="44" t="s">
        <v>986</v>
      </c>
      <c r="B455" s="46">
        <v>11617</v>
      </c>
      <c r="C455" s="47">
        <v>0.20300000000000001</v>
      </c>
      <c r="D455" s="44">
        <v>36</v>
      </c>
      <c r="E455" s="44" t="s">
        <v>36</v>
      </c>
      <c r="F455" s="44" t="s">
        <v>257</v>
      </c>
      <c r="G455" s="44">
        <v>90006</v>
      </c>
      <c r="H455" s="49">
        <v>0.36</v>
      </c>
      <c r="I455" s="49">
        <v>0.86</v>
      </c>
      <c r="J455" s="44">
        <v>30.5</v>
      </c>
      <c r="K455" s="48">
        <v>7074.7529999999997</v>
      </c>
      <c r="L455" s="48">
        <v>-5949.76</v>
      </c>
      <c r="M455" s="44">
        <v>0</v>
      </c>
    </row>
    <row r="456" spans="1:13" ht="15" customHeight="1" x14ac:dyDescent="0.3">
      <c r="A456" s="38" t="s">
        <v>988</v>
      </c>
      <c r="B456" s="40">
        <v>20614</v>
      </c>
      <c r="C456" s="41">
        <v>9.6000000000000002E-2</v>
      </c>
      <c r="D456" s="38">
        <v>60</v>
      </c>
      <c r="E456" s="38" t="s">
        <v>35</v>
      </c>
      <c r="F456" s="38" t="s">
        <v>80</v>
      </c>
      <c r="G456" s="38">
        <v>40878</v>
      </c>
      <c r="H456" s="43">
        <v>0.28000000000000003</v>
      </c>
      <c r="I456" s="43">
        <v>0.89</v>
      </c>
      <c r="J456" s="38">
        <v>30.5</v>
      </c>
      <c r="K456" s="42">
        <v>9894.7199999999993</v>
      </c>
      <c r="L456" s="42">
        <v>1978.94</v>
      </c>
      <c r="M456" s="38">
        <v>0</v>
      </c>
    </row>
    <row r="457" spans="1:13" ht="15" customHeight="1" x14ac:dyDescent="0.3">
      <c r="A457" s="50" t="s">
        <v>990</v>
      </c>
      <c r="B457" s="52">
        <v>9234</v>
      </c>
      <c r="C457" s="53">
        <v>0.14199999999999999</v>
      </c>
      <c r="D457" s="50">
        <v>36</v>
      </c>
      <c r="E457" s="50" t="s">
        <v>38</v>
      </c>
      <c r="F457" s="50" t="s">
        <v>60</v>
      </c>
      <c r="G457" s="50">
        <v>131132</v>
      </c>
      <c r="H457" s="55">
        <v>0.33</v>
      </c>
      <c r="I457" s="55">
        <v>0.63</v>
      </c>
      <c r="J457" s="50">
        <v>30.4</v>
      </c>
      <c r="K457" s="54">
        <v>3933.6840000000002</v>
      </c>
      <c r="L457" s="54">
        <v>-9234</v>
      </c>
      <c r="M457" s="50">
        <v>1</v>
      </c>
    </row>
    <row r="458" spans="1:13" ht="15" customHeight="1" x14ac:dyDescent="0.3">
      <c r="A458" s="56" t="s">
        <v>992</v>
      </c>
      <c r="B458" s="58">
        <v>30619</v>
      </c>
      <c r="C458" s="59">
        <v>0.20399999999999999</v>
      </c>
      <c r="D458" s="56">
        <v>36</v>
      </c>
      <c r="E458" s="56" t="s">
        <v>37</v>
      </c>
      <c r="F458" s="56" t="s">
        <v>60</v>
      </c>
      <c r="G458" s="56">
        <v>34765</v>
      </c>
      <c r="H458" s="61">
        <v>0.27</v>
      </c>
      <c r="I458" s="61">
        <v>0.56999999999999995</v>
      </c>
      <c r="J458" s="56">
        <v>30.4</v>
      </c>
      <c r="K458" s="60">
        <v>18738.828000000001</v>
      </c>
      <c r="L458" s="60">
        <v>-22178.9</v>
      </c>
      <c r="M458" s="56">
        <v>1</v>
      </c>
    </row>
    <row r="459" spans="1:13" ht="15" customHeight="1" x14ac:dyDescent="0.3">
      <c r="A459" s="38" t="s">
        <v>994</v>
      </c>
      <c r="B459" s="40">
        <v>11177</v>
      </c>
      <c r="C459" s="41">
        <v>7.8E-2</v>
      </c>
      <c r="D459" s="38">
        <v>36</v>
      </c>
      <c r="E459" s="38" t="s">
        <v>35</v>
      </c>
      <c r="F459" s="38" t="s">
        <v>83</v>
      </c>
      <c r="G459" s="38">
        <v>128132</v>
      </c>
      <c r="H459" s="43">
        <v>0.44</v>
      </c>
      <c r="I459" s="43">
        <v>0.68</v>
      </c>
      <c r="J459" s="38">
        <v>30.3</v>
      </c>
      <c r="K459" s="42">
        <v>2615.4180000000001</v>
      </c>
      <c r="L459" s="42">
        <v>871.81</v>
      </c>
      <c r="M459" s="38">
        <v>0</v>
      </c>
    </row>
    <row r="460" spans="1:13" ht="15" customHeight="1" x14ac:dyDescent="0.3">
      <c r="A460" s="44" t="s">
        <v>996</v>
      </c>
      <c r="B460" s="46">
        <v>27723</v>
      </c>
      <c r="C460" s="47">
        <v>0.17499999999999999</v>
      </c>
      <c r="D460" s="44">
        <v>60</v>
      </c>
      <c r="E460" s="44" t="s">
        <v>36</v>
      </c>
      <c r="F460" s="44" t="s">
        <v>257</v>
      </c>
      <c r="G460" s="44">
        <v>76525</v>
      </c>
      <c r="H460" s="49">
        <v>0.15</v>
      </c>
      <c r="I460" s="49">
        <v>0.82</v>
      </c>
      <c r="J460" s="44">
        <v>30.3</v>
      </c>
      <c r="K460" s="48">
        <v>24257.625</v>
      </c>
      <c r="L460" s="48">
        <v>-15006.01</v>
      </c>
      <c r="M460" s="44">
        <v>0</v>
      </c>
    </row>
    <row r="461" spans="1:13" ht="15" customHeight="1" x14ac:dyDescent="0.3">
      <c r="A461" s="44" t="s">
        <v>998</v>
      </c>
      <c r="B461" s="46">
        <v>30866</v>
      </c>
      <c r="C461" s="47">
        <v>0.155</v>
      </c>
      <c r="D461" s="44">
        <v>60</v>
      </c>
      <c r="E461" s="44" t="s">
        <v>36</v>
      </c>
      <c r="F461" s="44" t="s">
        <v>66</v>
      </c>
      <c r="G461" s="44">
        <v>62821</v>
      </c>
      <c r="H461" s="49">
        <v>0.16</v>
      </c>
      <c r="I461" s="49">
        <v>0.65</v>
      </c>
      <c r="J461" s="44">
        <v>30.2</v>
      </c>
      <c r="K461" s="48">
        <v>23921.15</v>
      </c>
      <c r="L461" s="48">
        <v>-25430.58</v>
      </c>
      <c r="M461" s="44">
        <v>0</v>
      </c>
    </row>
    <row r="462" spans="1:13" ht="15" customHeight="1" x14ac:dyDescent="0.3">
      <c r="A462" s="56" t="s">
        <v>1000</v>
      </c>
      <c r="B462" s="58">
        <v>5470</v>
      </c>
      <c r="C462" s="59">
        <v>0.127</v>
      </c>
      <c r="D462" s="56">
        <v>60</v>
      </c>
      <c r="E462" s="56" t="s">
        <v>37</v>
      </c>
      <c r="F462" s="56" t="s">
        <v>80</v>
      </c>
      <c r="G462" s="56">
        <v>38597</v>
      </c>
      <c r="H462" s="61">
        <v>0.3</v>
      </c>
      <c r="I462" s="61">
        <v>0.79</v>
      </c>
      <c r="J462" s="56">
        <v>30.2</v>
      </c>
      <c r="K462" s="60">
        <v>3473.45</v>
      </c>
      <c r="L462" s="60">
        <v>-3211.4</v>
      </c>
      <c r="M462" s="56">
        <v>1</v>
      </c>
    </row>
    <row r="463" spans="1:13" ht="15" customHeight="1" x14ac:dyDescent="0.3">
      <c r="A463" s="44" t="s">
        <v>1002</v>
      </c>
      <c r="B463" s="46">
        <v>30734</v>
      </c>
      <c r="C463" s="47">
        <v>0.13800000000000001</v>
      </c>
      <c r="D463" s="44">
        <v>36</v>
      </c>
      <c r="E463" s="44" t="s">
        <v>36</v>
      </c>
      <c r="F463" s="44" t="s">
        <v>80</v>
      </c>
      <c r="G463" s="44">
        <v>76922</v>
      </c>
      <c r="H463" s="49">
        <v>0.17</v>
      </c>
      <c r="I463" s="49">
        <v>0.8</v>
      </c>
      <c r="J463" s="44">
        <v>30.2</v>
      </c>
      <c r="K463" s="48">
        <v>12723.876</v>
      </c>
      <c r="L463" s="48">
        <v>-28489.1</v>
      </c>
      <c r="M463" s="44">
        <v>0</v>
      </c>
    </row>
    <row r="464" spans="1:13" ht="15" customHeight="1" x14ac:dyDescent="0.3">
      <c r="A464" s="44" t="s">
        <v>1004</v>
      </c>
      <c r="B464" s="46">
        <v>5114</v>
      </c>
      <c r="C464" s="47">
        <v>0.13300000000000001</v>
      </c>
      <c r="D464" s="44">
        <v>36</v>
      </c>
      <c r="E464" s="44" t="s">
        <v>36</v>
      </c>
      <c r="F464" s="44" t="s">
        <v>60</v>
      </c>
      <c r="G464" s="44">
        <v>30336</v>
      </c>
      <c r="H464" s="49">
        <v>0.5</v>
      </c>
      <c r="I464" s="49">
        <v>0.69</v>
      </c>
      <c r="J464" s="44">
        <v>30.1</v>
      </c>
      <c r="K464" s="48">
        <v>2040.4860000000001</v>
      </c>
      <c r="L464" s="48">
        <v>-4853.37</v>
      </c>
      <c r="M464" s="44">
        <v>0</v>
      </c>
    </row>
    <row r="465" spans="1:13" ht="15" customHeight="1" x14ac:dyDescent="0.3">
      <c r="A465" s="38" t="s">
        <v>1006</v>
      </c>
      <c r="B465" s="40">
        <v>37487</v>
      </c>
      <c r="C465" s="41">
        <v>0.152</v>
      </c>
      <c r="D465" s="38">
        <v>36</v>
      </c>
      <c r="E465" s="38" t="s">
        <v>35</v>
      </c>
      <c r="F465" s="38" t="s">
        <v>60</v>
      </c>
      <c r="G465" s="38">
        <v>116402</v>
      </c>
      <c r="H465" s="43">
        <v>0.36</v>
      </c>
      <c r="I465" s="43">
        <v>0.68</v>
      </c>
      <c r="J465" s="38">
        <v>30.1</v>
      </c>
      <c r="K465" s="42">
        <v>17094.072</v>
      </c>
      <c r="L465" s="42">
        <v>5698.02</v>
      </c>
      <c r="M465" s="38">
        <v>0</v>
      </c>
    </row>
    <row r="466" spans="1:13" ht="15" customHeight="1" x14ac:dyDescent="0.3">
      <c r="A466" s="44" t="s">
        <v>1008</v>
      </c>
      <c r="B466" s="46">
        <v>19546</v>
      </c>
      <c r="C466" s="47">
        <v>0.19600000000000001</v>
      </c>
      <c r="D466" s="44">
        <v>36</v>
      </c>
      <c r="E466" s="44" t="s">
        <v>36</v>
      </c>
      <c r="F466" s="44" t="s">
        <v>66</v>
      </c>
      <c r="G466" s="44">
        <v>58302</v>
      </c>
      <c r="H466" s="49">
        <v>0.3</v>
      </c>
      <c r="I466" s="49">
        <v>0.88</v>
      </c>
      <c r="J466" s="44">
        <v>30</v>
      </c>
      <c r="K466" s="48">
        <v>11493.048000000001</v>
      </c>
      <c r="L466" s="48">
        <v>-17164.64</v>
      </c>
      <c r="M466" s="44">
        <v>0</v>
      </c>
    </row>
    <row r="467" spans="1:13" ht="15" customHeight="1" x14ac:dyDescent="0.3">
      <c r="A467" s="44" t="s">
        <v>1010</v>
      </c>
      <c r="B467" s="46">
        <v>24486</v>
      </c>
      <c r="C467" s="47">
        <v>0.122</v>
      </c>
      <c r="D467" s="44">
        <v>60</v>
      </c>
      <c r="E467" s="44" t="s">
        <v>36</v>
      </c>
      <c r="F467" s="44" t="s">
        <v>60</v>
      </c>
      <c r="G467" s="44">
        <v>121400</v>
      </c>
      <c r="H467" s="49">
        <v>0.39</v>
      </c>
      <c r="I467" s="49">
        <v>0.7</v>
      </c>
      <c r="J467" s="44">
        <v>30</v>
      </c>
      <c r="K467" s="48">
        <v>14936.46</v>
      </c>
      <c r="L467" s="48">
        <v>-15047.23</v>
      </c>
      <c r="M467" s="44">
        <v>0</v>
      </c>
    </row>
    <row r="468" spans="1:13" ht="15" customHeight="1" x14ac:dyDescent="0.3">
      <c r="A468" s="50" t="s">
        <v>1012</v>
      </c>
      <c r="B468" s="52">
        <v>19752</v>
      </c>
      <c r="C468" s="53">
        <v>0.16700000000000001</v>
      </c>
      <c r="D468" s="50">
        <v>60</v>
      </c>
      <c r="E468" s="50" t="s">
        <v>38</v>
      </c>
      <c r="F468" s="50" t="s">
        <v>83</v>
      </c>
      <c r="G468" s="50">
        <v>127057</v>
      </c>
      <c r="H468" s="55">
        <v>0.43</v>
      </c>
      <c r="I468" s="55">
        <v>0.64</v>
      </c>
      <c r="J468" s="50">
        <v>29.9</v>
      </c>
      <c r="K468" s="54">
        <v>16492.919999999998</v>
      </c>
      <c r="L468" s="54">
        <v>-19752</v>
      </c>
      <c r="M468" s="50">
        <v>1</v>
      </c>
    </row>
    <row r="469" spans="1:13" ht="15" customHeight="1" x14ac:dyDescent="0.3">
      <c r="A469" s="38" t="s">
        <v>1014</v>
      </c>
      <c r="B469" s="40">
        <v>33581</v>
      </c>
      <c r="C469" s="41">
        <v>0.14099999999999999</v>
      </c>
      <c r="D469" s="38">
        <v>60</v>
      </c>
      <c r="E469" s="38" t="s">
        <v>35</v>
      </c>
      <c r="F469" s="38" t="s">
        <v>60</v>
      </c>
      <c r="G469" s="38">
        <v>119959</v>
      </c>
      <c r="H469" s="43">
        <v>0.2</v>
      </c>
      <c r="I469" s="43">
        <v>0.81</v>
      </c>
      <c r="J469" s="38">
        <v>29.9</v>
      </c>
      <c r="K469" s="42">
        <v>23674.605</v>
      </c>
      <c r="L469" s="42">
        <v>4734.92</v>
      </c>
      <c r="M469" s="38">
        <v>0</v>
      </c>
    </row>
    <row r="470" spans="1:13" ht="15" customHeight="1" x14ac:dyDescent="0.3">
      <c r="A470" s="38" t="s">
        <v>1016</v>
      </c>
      <c r="B470" s="40">
        <v>33123</v>
      </c>
      <c r="C470" s="41">
        <v>0.11</v>
      </c>
      <c r="D470" s="38">
        <v>36</v>
      </c>
      <c r="E470" s="38" t="s">
        <v>35</v>
      </c>
      <c r="F470" s="38" t="s">
        <v>83</v>
      </c>
      <c r="G470" s="38">
        <v>73395</v>
      </c>
      <c r="H470" s="43">
        <v>0.22</v>
      </c>
      <c r="I470" s="43">
        <v>0.75</v>
      </c>
      <c r="J470" s="38">
        <v>29.9</v>
      </c>
      <c r="K470" s="42">
        <v>10930.59</v>
      </c>
      <c r="L470" s="42">
        <v>3643.53</v>
      </c>
      <c r="M470" s="38">
        <v>0</v>
      </c>
    </row>
    <row r="471" spans="1:13" ht="15" customHeight="1" x14ac:dyDescent="0.3">
      <c r="A471" s="38" t="s">
        <v>1018</v>
      </c>
      <c r="B471" s="40">
        <v>27431</v>
      </c>
      <c r="C471" s="41">
        <v>0.215</v>
      </c>
      <c r="D471" s="38">
        <v>36</v>
      </c>
      <c r="E471" s="38" t="s">
        <v>35</v>
      </c>
      <c r="F471" s="38" t="s">
        <v>114</v>
      </c>
      <c r="G471" s="38">
        <v>133466</v>
      </c>
      <c r="H471" s="43">
        <v>0.3</v>
      </c>
      <c r="I471" s="43">
        <v>0.78</v>
      </c>
      <c r="J471" s="38">
        <v>29.9</v>
      </c>
      <c r="K471" s="42">
        <v>17692.994999999999</v>
      </c>
      <c r="L471" s="42">
        <v>5897.66</v>
      </c>
      <c r="M471" s="38">
        <v>0</v>
      </c>
    </row>
    <row r="472" spans="1:13" ht="15" customHeight="1" x14ac:dyDescent="0.3">
      <c r="A472" s="44" t="s">
        <v>1020</v>
      </c>
      <c r="B472" s="46">
        <v>8394</v>
      </c>
      <c r="C472" s="47">
        <v>0.13300000000000001</v>
      </c>
      <c r="D472" s="44">
        <v>36</v>
      </c>
      <c r="E472" s="44" t="s">
        <v>36</v>
      </c>
      <c r="F472" s="44" t="s">
        <v>83</v>
      </c>
      <c r="G472" s="44">
        <v>50884</v>
      </c>
      <c r="H472" s="49">
        <v>0.28000000000000003</v>
      </c>
      <c r="I472" s="49">
        <v>0.91</v>
      </c>
      <c r="J472" s="44">
        <v>29.9</v>
      </c>
      <c r="K472" s="48">
        <v>3349.2060000000001</v>
      </c>
      <c r="L472" s="48">
        <v>-5873.9</v>
      </c>
      <c r="M472" s="44">
        <v>0</v>
      </c>
    </row>
    <row r="473" spans="1:13" ht="15" customHeight="1" x14ac:dyDescent="0.3">
      <c r="A473" s="38" t="s">
        <v>1022</v>
      </c>
      <c r="B473" s="40">
        <v>5255</v>
      </c>
      <c r="C473" s="41">
        <v>9.2999999999999999E-2</v>
      </c>
      <c r="D473" s="38">
        <v>60</v>
      </c>
      <c r="E473" s="38" t="s">
        <v>35</v>
      </c>
      <c r="F473" s="38" t="s">
        <v>257</v>
      </c>
      <c r="G473" s="38">
        <v>146205</v>
      </c>
      <c r="H473" s="43">
        <v>0.14000000000000001</v>
      </c>
      <c r="I473" s="43">
        <v>0.82</v>
      </c>
      <c r="J473" s="38">
        <v>29.8</v>
      </c>
      <c r="K473" s="42">
        <v>2443.5749999999998</v>
      </c>
      <c r="L473" s="42">
        <v>488.72</v>
      </c>
      <c r="M473" s="38">
        <v>0</v>
      </c>
    </row>
    <row r="474" spans="1:13" ht="15" customHeight="1" x14ac:dyDescent="0.3">
      <c r="A474" s="38" t="s">
        <v>1024</v>
      </c>
      <c r="B474" s="40">
        <v>13651</v>
      </c>
      <c r="C474" s="41">
        <v>0.2</v>
      </c>
      <c r="D474" s="38">
        <v>36</v>
      </c>
      <c r="E474" s="38" t="s">
        <v>35</v>
      </c>
      <c r="F474" s="38" t="s">
        <v>60</v>
      </c>
      <c r="G474" s="38">
        <v>68712</v>
      </c>
      <c r="H474" s="43">
        <v>0.48</v>
      </c>
      <c r="I474" s="43">
        <v>0.51</v>
      </c>
      <c r="J474" s="38">
        <v>29.7</v>
      </c>
      <c r="K474" s="42">
        <v>8190.6</v>
      </c>
      <c r="L474" s="42">
        <v>2730.2</v>
      </c>
      <c r="M474" s="38">
        <v>0</v>
      </c>
    </row>
    <row r="475" spans="1:13" ht="15" customHeight="1" x14ac:dyDescent="0.3">
      <c r="A475" s="50" t="s">
        <v>1026</v>
      </c>
      <c r="B475" s="52">
        <v>32401</v>
      </c>
      <c r="C475" s="53">
        <v>0.224</v>
      </c>
      <c r="D475" s="50">
        <v>36</v>
      </c>
      <c r="E475" s="50" t="s">
        <v>38</v>
      </c>
      <c r="F475" s="50" t="s">
        <v>80</v>
      </c>
      <c r="G475" s="50">
        <v>146192</v>
      </c>
      <c r="H475" s="55">
        <v>0.16</v>
      </c>
      <c r="I475" s="55">
        <v>0.95</v>
      </c>
      <c r="J475" s="50">
        <v>29.6</v>
      </c>
      <c r="K475" s="54">
        <v>21773.472000000002</v>
      </c>
      <c r="L475" s="54">
        <v>-32401</v>
      </c>
      <c r="M475" s="50">
        <v>1</v>
      </c>
    </row>
    <row r="476" spans="1:13" ht="15" customHeight="1" x14ac:dyDescent="0.3">
      <c r="A476" s="56" t="s">
        <v>1028</v>
      </c>
      <c r="B476" s="58">
        <v>17422</v>
      </c>
      <c r="C476" s="59">
        <v>5.7000000000000002E-2</v>
      </c>
      <c r="D476" s="56">
        <v>36</v>
      </c>
      <c r="E476" s="56" t="s">
        <v>37</v>
      </c>
      <c r="F476" s="56" t="s">
        <v>257</v>
      </c>
      <c r="G476" s="56">
        <v>114425</v>
      </c>
      <c r="H476" s="61">
        <v>0.46</v>
      </c>
      <c r="I476" s="61">
        <v>0.67</v>
      </c>
      <c r="J476" s="56">
        <v>29.6</v>
      </c>
      <c r="K476" s="60">
        <v>2979.1619999999998</v>
      </c>
      <c r="L476" s="60">
        <v>-11154.74</v>
      </c>
      <c r="M476" s="56">
        <v>1</v>
      </c>
    </row>
    <row r="477" spans="1:13" ht="15" customHeight="1" x14ac:dyDescent="0.3">
      <c r="A477" s="38" t="s">
        <v>1030</v>
      </c>
      <c r="B477" s="40">
        <v>8967</v>
      </c>
      <c r="C477" s="41">
        <v>7.0000000000000007E-2</v>
      </c>
      <c r="D477" s="38">
        <v>60</v>
      </c>
      <c r="E477" s="38" t="s">
        <v>35</v>
      </c>
      <c r="F477" s="38" t="s">
        <v>60</v>
      </c>
      <c r="G477" s="38">
        <v>65440</v>
      </c>
      <c r="H477" s="43">
        <v>0.31</v>
      </c>
      <c r="I477" s="43">
        <v>0.88</v>
      </c>
      <c r="J477" s="38">
        <v>29.6</v>
      </c>
      <c r="K477" s="42">
        <v>3138.45</v>
      </c>
      <c r="L477" s="42">
        <v>627.69000000000096</v>
      </c>
      <c r="M477" s="38">
        <v>0</v>
      </c>
    </row>
    <row r="478" spans="1:13" ht="15" customHeight="1" x14ac:dyDescent="0.3">
      <c r="A478" s="44" t="s">
        <v>1032</v>
      </c>
      <c r="B478" s="46">
        <v>15663</v>
      </c>
      <c r="C478" s="47">
        <v>0.219</v>
      </c>
      <c r="D478" s="44">
        <v>60</v>
      </c>
      <c r="E478" s="44" t="s">
        <v>36</v>
      </c>
      <c r="F478" s="44" t="s">
        <v>60</v>
      </c>
      <c r="G478" s="44">
        <v>71258</v>
      </c>
      <c r="H478" s="49">
        <v>0.15</v>
      </c>
      <c r="I478" s="49">
        <v>0.85</v>
      </c>
      <c r="J478" s="44">
        <v>29.5</v>
      </c>
      <c r="K478" s="48">
        <v>17150.985000000001</v>
      </c>
      <c r="L478" s="48">
        <v>-13229.17</v>
      </c>
      <c r="M478" s="44">
        <v>0</v>
      </c>
    </row>
    <row r="479" spans="1:13" ht="15" customHeight="1" x14ac:dyDescent="0.3">
      <c r="A479" s="44" t="s">
        <v>1034</v>
      </c>
      <c r="B479" s="46">
        <v>26712</v>
      </c>
      <c r="C479" s="47">
        <v>0.13200000000000001</v>
      </c>
      <c r="D479" s="44">
        <v>60</v>
      </c>
      <c r="E479" s="44" t="s">
        <v>36</v>
      </c>
      <c r="F479" s="44" t="s">
        <v>83</v>
      </c>
      <c r="G479" s="44">
        <v>126371</v>
      </c>
      <c r="H479" s="49">
        <v>0.38</v>
      </c>
      <c r="I479" s="49">
        <v>0.78</v>
      </c>
      <c r="J479" s="44">
        <v>29.5</v>
      </c>
      <c r="K479" s="48">
        <v>17629.919999999998</v>
      </c>
      <c r="L479" s="48">
        <v>-16309.62</v>
      </c>
      <c r="M479" s="44">
        <v>0</v>
      </c>
    </row>
    <row r="480" spans="1:13" ht="15" customHeight="1" x14ac:dyDescent="0.3">
      <c r="A480" s="56" t="s">
        <v>1036</v>
      </c>
      <c r="B480" s="58">
        <v>25077</v>
      </c>
      <c r="C480" s="59">
        <v>0.19800000000000001</v>
      </c>
      <c r="D480" s="56">
        <v>36</v>
      </c>
      <c r="E480" s="56" t="s">
        <v>37</v>
      </c>
      <c r="F480" s="56" t="s">
        <v>71</v>
      </c>
      <c r="G480" s="56">
        <v>86233</v>
      </c>
      <c r="H480" s="61">
        <v>0.42</v>
      </c>
      <c r="I480" s="61">
        <v>0.83</v>
      </c>
      <c r="J480" s="56">
        <v>29.5</v>
      </c>
      <c r="K480" s="60">
        <v>14895.737999999999</v>
      </c>
      <c r="L480" s="60">
        <v>-13106.52</v>
      </c>
      <c r="M480" s="56">
        <v>1</v>
      </c>
    </row>
    <row r="481" spans="1:13" ht="15" customHeight="1" x14ac:dyDescent="0.3">
      <c r="A481" s="50" t="s">
        <v>1038</v>
      </c>
      <c r="B481" s="52">
        <v>28788</v>
      </c>
      <c r="C481" s="53">
        <v>8.5999999999999993E-2</v>
      </c>
      <c r="D481" s="50">
        <v>36</v>
      </c>
      <c r="E481" s="50" t="s">
        <v>38</v>
      </c>
      <c r="F481" s="50" t="s">
        <v>71</v>
      </c>
      <c r="G481" s="50">
        <v>114481</v>
      </c>
      <c r="H481" s="55">
        <v>0.2</v>
      </c>
      <c r="I481" s="55">
        <v>0.74</v>
      </c>
      <c r="J481" s="50">
        <v>29.5</v>
      </c>
      <c r="K481" s="54">
        <v>7427.3040000000001</v>
      </c>
      <c r="L481" s="54">
        <v>-28788</v>
      </c>
      <c r="M481" s="50">
        <v>1</v>
      </c>
    </row>
    <row r="482" spans="1:13" ht="15" customHeight="1" x14ac:dyDescent="0.3">
      <c r="A482" s="44" t="s">
        <v>1040</v>
      </c>
      <c r="B482" s="46">
        <v>2762</v>
      </c>
      <c r="C482" s="47">
        <v>5.1999999999999998E-2</v>
      </c>
      <c r="D482" s="44">
        <v>36</v>
      </c>
      <c r="E482" s="44" t="s">
        <v>36</v>
      </c>
      <c r="F482" s="44" t="s">
        <v>66</v>
      </c>
      <c r="G482" s="44">
        <v>75276</v>
      </c>
      <c r="H482" s="49">
        <v>0.31</v>
      </c>
      <c r="I482" s="49">
        <v>0.78</v>
      </c>
      <c r="J482" s="44">
        <v>29.4</v>
      </c>
      <c r="K482" s="48">
        <v>430.87200000000001</v>
      </c>
      <c r="L482" s="48">
        <v>-1516.89</v>
      </c>
      <c r="M482" s="44">
        <v>0</v>
      </c>
    </row>
    <row r="483" spans="1:13" ht="15" customHeight="1" x14ac:dyDescent="0.3">
      <c r="A483" s="38" t="s">
        <v>1042</v>
      </c>
      <c r="B483" s="40">
        <v>16048</v>
      </c>
      <c r="C483" s="41">
        <v>7.2999999999999995E-2</v>
      </c>
      <c r="D483" s="38">
        <v>60</v>
      </c>
      <c r="E483" s="38" t="s">
        <v>35</v>
      </c>
      <c r="F483" s="38" t="s">
        <v>80</v>
      </c>
      <c r="G483" s="38">
        <v>75095</v>
      </c>
      <c r="H483" s="43">
        <v>0.31</v>
      </c>
      <c r="I483" s="43">
        <v>0.76</v>
      </c>
      <c r="J483" s="38">
        <v>29.4</v>
      </c>
      <c r="K483" s="42">
        <v>5857.52</v>
      </c>
      <c r="L483" s="42">
        <v>1171.5</v>
      </c>
      <c r="M483" s="38">
        <v>0</v>
      </c>
    </row>
    <row r="484" spans="1:13" ht="15" customHeight="1" x14ac:dyDescent="0.3">
      <c r="A484" s="38" t="s">
        <v>1044</v>
      </c>
      <c r="B484" s="40">
        <v>3808</v>
      </c>
      <c r="C484" s="41">
        <v>0.187</v>
      </c>
      <c r="D484" s="38">
        <v>60</v>
      </c>
      <c r="E484" s="38" t="s">
        <v>35</v>
      </c>
      <c r="F484" s="38" t="s">
        <v>66</v>
      </c>
      <c r="G484" s="38">
        <v>136609</v>
      </c>
      <c r="H484" s="43">
        <v>0.18</v>
      </c>
      <c r="I484" s="43">
        <v>0.67</v>
      </c>
      <c r="J484" s="38">
        <v>29.4</v>
      </c>
      <c r="K484" s="42">
        <v>3560.48</v>
      </c>
      <c r="L484" s="42">
        <v>712.1</v>
      </c>
      <c r="M484" s="38">
        <v>0</v>
      </c>
    </row>
    <row r="485" spans="1:13" ht="15" customHeight="1" x14ac:dyDescent="0.3">
      <c r="A485" s="44" t="s">
        <v>1046</v>
      </c>
      <c r="B485" s="46">
        <v>32982</v>
      </c>
      <c r="C485" s="47">
        <v>0.104</v>
      </c>
      <c r="D485" s="44">
        <v>36</v>
      </c>
      <c r="E485" s="44" t="s">
        <v>36</v>
      </c>
      <c r="F485" s="44" t="s">
        <v>80</v>
      </c>
      <c r="G485" s="44">
        <v>108257</v>
      </c>
      <c r="H485" s="49">
        <v>0.5</v>
      </c>
      <c r="I485" s="49">
        <v>0.6</v>
      </c>
      <c r="J485" s="44">
        <v>29.4</v>
      </c>
      <c r="K485" s="48">
        <v>10290.384</v>
      </c>
      <c r="L485" s="48">
        <v>-27595.88</v>
      </c>
      <c r="M485" s="44">
        <v>0</v>
      </c>
    </row>
    <row r="486" spans="1:13" ht="15" customHeight="1" x14ac:dyDescent="0.3">
      <c r="A486" s="38" t="s">
        <v>1048</v>
      </c>
      <c r="B486" s="40">
        <v>26683</v>
      </c>
      <c r="C486" s="41">
        <v>0.16200000000000001</v>
      </c>
      <c r="D486" s="38">
        <v>60</v>
      </c>
      <c r="E486" s="38" t="s">
        <v>35</v>
      </c>
      <c r="F486" s="38" t="s">
        <v>80</v>
      </c>
      <c r="G486" s="38">
        <v>78225</v>
      </c>
      <c r="H486" s="43">
        <v>0.28000000000000003</v>
      </c>
      <c r="I486" s="43">
        <v>0.6</v>
      </c>
      <c r="J486" s="38">
        <v>29.3</v>
      </c>
      <c r="K486" s="42">
        <v>21613.23</v>
      </c>
      <c r="L486" s="42">
        <v>4322.6499999999996</v>
      </c>
      <c r="M486" s="38">
        <v>0</v>
      </c>
    </row>
    <row r="487" spans="1:13" ht="15" customHeight="1" x14ac:dyDescent="0.3">
      <c r="A487" s="38" t="s">
        <v>1050</v>
      </c>
      <c r="B487" s="40">
        <v>13713</v>
      </c>
      <c r="C487" s="41">
        <v>0.159</v>
      </c>
      <c r="D487" s="38">
        <v>36</v>
      </c>
      <c r="E487" s="38" t="s">
        <v>35</v>
      </c>
      <c r="F487" s="38" t="s">
        <v>60</v>
      </c>
      <c r="G487" s="38">
        <v>82656</v>
      </c>
      <c r="H487" s="43">
        <v>0.15</v>
      </c>
      <c r="I487" s="43">
        <v>0.94</v>
      </c>
      <c r="J487" s="38">
        <v>29.3</v>
      </c>
      <c r="K487" s="42">
        <v>6541.1009999999997</v>
      </c>
      <c r="L487" s="42">
        <v>2180.37</v>
      </c>
      <c r="M487" s="38">
        <v>0</v>
      </c>
    </row>
    <row r="488" spans="1:13" ht="15" customHeight="1" x14ac:dyDescent="0.3">
      <c r="A488" s="38" t="s">
        <v>1052</v>
      </c>
      <c r="B488" s="40">
        <v>6084</v>
      </c>
      <c r="C488" s="41">
        <v>8.2000000000000003E-2</v>
      </c>
      <c r="D488" s="38">
        <v>60</v>
      </c>
      <c r="E488" s="38" t="s">
        <v>35</v>
      </c>
      <c r="F488" s="38" t="s">
        <v>60</v>
      </c>
      <c r="G488" s="38">
        <v>102374</v>
      </c>
      <c r="H488" s="43">
        <v>0.39</v>
      </c>
      <c r="I488" s="43">
        <v>0.54</v>
      </c>
      <c r="J488" s="38">
        <v>29.3</v>
      </c>
      <c r="K488" s="42">
        <v>2494.44</v>
      </c>
      <c r="L488" s="42">
        <v>498.89</v>
      </c>
      <c r="M488" s="38">
        <v>0</v>
      </c>
    </row>
    <row r="489" spans="1:13" ht="15" customHeight="1" x14ac:dyDescent="0.3">
      <c r="A489" s="38" t="s">
        <v>1054</v>
      </c>
      <c r="B489" s="40">
        <v>24164</v>
      </c>
      <c r="C489" s="41">
        <v>0.19</v>
      </c>
      <c r="D489" s="38">
        <v>36</v>
      </c>
      <c r="E489" s="38" t="s">
        <v>35</v>
      </c>
      <c r="F489" s="38" t="s">
        <v>83</v>
      </c>
      <c r="G489" s="38">
        <v>87616</v>
      </c>
      <c r="H489" s="43">
        <v>0.31</v>
      </c>
      <c r="I489" s="43">
        <v>0.64</v>
      </c>
      <c r="J489" s="38">
        <v>29.1</v>
      </c>
      <c r="K489" s="42">
        <v>13773.48</v>
      </c>
      <c r="L489" s="42">
        <v>4591.16</v>
      </c>
      <c r="M489" s="38">
        <v>0</v>
      </c>
    </row>
    <row r="490" spans="1:13" ht="15" customHeight="1" x14ac:dyDescent="0.3">
      <c r="A490" s="38" t="s">
        <v>1056</v>
      </c>
      <c r="B490" s="40">
        <v>12130</v>
      </c>
      <c r="C490" s="41">
        <v>5.0999999999999997E-2</v>
      </c>
      <c r="D490" s="38">
        <v>36</v>
      </c>
      <c r="E490" s="38" t="s">
        <v>35</v>
      </c>
      <c r="F490" s="38" t="s">
        <v>60</v>
      </c>
      <c r="G490" s="38">
        <v>48074</v>
      </c>
      <c r="H490" s="43">
        <v>0.32</v>
      </c>
      <c r="I490" s="43">
        <v>0.87</v>
      </c>
      <c r="J490" s="38">
        <v>29.1</v>
      </c>
      <c r="K490" s="42">
        <v>1855.89</v>
      </c>
      <c r="L490" s="42">
        <v>618.62999999999897</v>
      </c>
      <c r="M490" s="38">
        <v>0</v>
      </c>
    </row>
    <row r="491" spans="1:13" ht="15" customHeight="1" x14ac:dyDescent="0.3">
      <c r="A491" s="38" t="s">
        <v>1058</v>
      </c>
      <c r="B491" s="40">
        <v>36150</v>
      </c>
      <c r="C491" s="41">
        <v>5.3999999999999999E-2</v>
      </c>
      <c r="D491" s="38">
        <v>60</v>
      </c>
      <c r="E491" s="38" t="s">
        <v>35</v>
      </c>
      <c r="F491" s="38" t="s">
        <v>83</v>
      </c>
      <c r="G491" s="38">
        <v>63418</v>
      </c>
      <c r="H491" s="43">
        <v>0.16</v>
      </c>
      <c r="I491" s="43">
        <v>0.59</v>
      </c>
      <c r="J491" s="38">
        <v>29.1</v>
      </c>
      <c r="K491" s="42">
        <v>9760.5</v>
      </c>
      <c r="L491" s="42">
        <v>1952.1</v>
      </c>
      <c r="M491" s="38">
        <v>0</v>
      </c>
    </row>
    <row r="492" spans="1:13" ht="15" customHeight="1" x14ac:dyDescent="0.3">
      <c r="A492" s="44" t="s">
        <v>1060</v>
      </c>
      <c r="B492" s="46">
        <v>29495</v>
      </c>
      <c r="C492" s="47">
        <v>7.1999999999999995E-2</v>
      </c>
      <c r="D492" s="44">
        <v>36</v>
      </c>
      <c r="E492" s="44" t="s">
        <v>36</v>
      </c>
      <c r="F492" s="44" t="s">
        <v>83</v>
      </c>
      <c r="G492" s="44">
        <v>148360</v>
      </c>
      <c r="H492" s="49">
        <v>0.11</v>
      </c>
      <c r="I492" s="49">
        <v>0.91</v>
      </c>
      <c r="J492" s="44">
        <v>29.1</v>
      </c>
      <c r="K492" s="48">
        <v>6370.92</v>
      </c>
      <c r="L492" s="48">
        <v>-21065.42</v>
      </c>
      <c r="M492" s="44">
        <v>0</v>
      </c>
    </row>
    <row r="493" spans="1:13" ht="15" customHeight="1" x14ac:dyDescent="0.3">
      <c r="A493" s="44" t="s">
        <v>1062</v>
      </c>
      <c r="B493" s="46">
        <v>8843</v>
      </c>
      <c r="C493" s="47">
        <v>0.183</v>
      </c>
      <c r="D493" s="44">
        <v>36</v>
      </c>
      <c r="E493" s="44" t="s">
        <v>36</v>
      </c>
      <c r="F493" s="44" t="s">
        <v>66</v>
      </c>
      <c r="G493" s="44">
        <v>127859</v>
      </c>
      <c r="H493" s="49">
        <v>0.42</v>
      </c>
      <c r="I493" s="49">
        <v>0.89</v>
      </c>
      <c r="J493" s="44">
        <v>29.1</v>
      </c>
      <c r="K493" s="48">
        <v>4854.8069999999998</v>
      </c>
      <c r="L493" s="48">
        <v>-5293.2</v>
      </c>
      <c r="M493" s="44">
        <v>0</v>
      </c>
    </row>
    <row r="494" spans="1:13" ht="15" customHeight="1" x14ac:dyDescent="0.3">
      <c r="A494" s="56" t="s">
        <v>1064</v>
      </c>
      <c r="B494" s="58">
        <v>21662</v>
      </c>
      <c r="C494" s="59">
        <v>0.217</v>
      </c>
      <c r="D494" s="56">
        <v>36</v>
      </c>
      <c r="E494" s="56" t="s">
        <v>37</v>
      </c>
      <c r="F494" s="56" t="s">
        <v>80</v>
      </c>
      <c r="G494" s="56">
        <v>46999</v>
      </c>
      <c r="H494" s="61">
        <v>0.19</v>
      </c>
      <c r="I494" s="61">
        <v>0.84</v>
      </c>
      <c r="J494" s="56">
        <v>29</v>
      </c>
      <c r="K494" s="60">
        <v>14101.962</v>
      </c>
      <c r="L494" s="60">
        <v>-19841.68</v>
      </c>
      <c r="M494" s="56">
        <v>1</v>
      </c>
    </row>
    <row r="495" spans="1:13" ht="15" customHeight="1" x14ac:dyDescent="0.3">
      <c r="A495" s="38" t="s">
        <v>1066</v>
      </c>
      <c r="B495" s="40">
        <v>39138</v>
      </c>
      <c r="C495" s="41">
        <v>6.7000000000000004E-2</v>
      </c>
      <c r="D495" s="38">
        <v>36</v>
      </c>
      <c r="E495" s="38" t="s">
        <v>35</v>
      </c>
      <c r="F495" s="38" t="s">
        <v>80</v>
      </c>
      <c r="G495" s="38">
        <v>78920</v>
      </c>
      <c r="H495" s="43">
        <v>0.21</v>
      </c>
      <c r="I495" s="43">
        <v>0.57999999999999996</v>
      </c>
      <c r="J495" s="38">
        <v>29</v>
      </c>
      <c r="K495" s="42">
        <v>7866.7380000000103</v>
      </c>
      <c r="L495" s="42">
        <v>2622.25</v>
      </c>
      <c r="M495" s="38">
        <v>0</v>
      </c>
    </row>
    <row r="496" spans="1:13" ht="15" customHeight="1" x14ac:dyDescent="0.3">
      <c r="A496" s="38" t="s">
        <v>1068</v>
      </c>
      <c r="B496" s="40">
        <v>3475</v>
      </c>
      <c r="C496" s="41">
        <v>9.4E-2</v>
      </c>
      <c r="D496" s="38">
        <v>36</v>
      </c>
      <c r="E496" s="38" t="s">
        <v>35</v>
      </c>
      <c r="F496" s="38" t="s">
        <v>71</v>
      </c>
      <c r="G496" s="38">
        <v>68134</v>
      </c>
      <c r="H496" s="43">
        <v>0.21</v>
      </c>
      <c r="I496" s="43">
        <v>0.78</v>
      </c>
      <c r="J496" s="38">
        <v>29</v>
      </c>
      <c r="K496" s="42">
        <v>979.95</v>
      </c>
      <c r="L496" s="42">
        <v>326.64999999999998</v>
      </c>
      <c r="M496" s="38">
        <v>0</v>
      </c>
    </row>
    <row r="497" spans="1:13" ht="15" customHeight="1" x14ac:dyDescent="0.3">
      <c r="A497" s="56" t="s">
        <v>1070</v>
      </c>
      <c r="B497" s="58">
        <v>13411</v>
      </c>
      <c r="C497" s="59">
        <v>0.185</v>
      </c>
      <c r="D497" s="56">
        <v>36</v>
      </c>
      <c r="E497" s="56" t="s">
        <v>37</v>
      </c>
      <c r="F497" s="56" t="s">
        <v>60</v>
      </c>
      <c r="G497" s="56">
        <v>60266</v>
      </c>
      <c r="H497" s="61">
        <v>0.45</v>
      </c>
      <c r="I497" s="61">
        <v>0.61</v>
      </c>
      <c r="J497" s="56">
        <v>29</v>
      </c>
      <c r="K497" s="60">
        <v>7443.1049999999996</v>
      </c>
      <c r="L497" s="60">
        <v>-11346.07</v>
      </c>
      <c r="M497" s="56">
        <v>1</v>
      </c>
    </row>
    <row r="498" spans="1:13" ht="15" customHeight="1" x14ac:dyDescent="0.3">
      <c r="A498" s="44" t="s">
        <v>1072</v>
      </c>
      <c r="B498" s="46">
        <v>18482</v>
      </c>
      <c r="C498" s="47">
        <v>0.113</v>
      </c>
      <c r="D498" s="44">
        <v>60</v>
      </c>
      <c r="E498" s="44" t="s">
        <v>36</v>
      </c>
      <c r="F498" s="44" t="s">
        <v>83</v>
      </c>
      <c r="G498" s="44">
        <v>94575</v>
      </c>
      <c r="H498" s="49">
        <v>0.42</v>
      </c>
      <c r="I498" s="49">
        <v>0.95</v>
      </c>
      <c r="J498" s="44">
        <v>28.9</v>
      </c>
      <c r="K498" s="48">
        <v>10442.33</v>
      </c>
      <c r="L498" s="48">
        <v>-15339.75</v>
      </c>
      <c r="M498" s="44">
        <v>0</v>
      </c>
    </row>
    <row r="499" spans="1:13" ht="15" customHeight="1" x14ac:dyDescent="0.3">
      <c r="A499" s="38" t="s">
        <v>1074</v>
      </c>
      <c r="B499" s="40">
        <v>19850</v>
      </c>
      <c r="C499" s="41">
        <v>0.14599999999999999</v>
      </c>
      <c r="D499" s="38">
        <v>60</v>
      </c>
      <c r="E499" s="38" t="s">
        <v>35</v>
      </c>
      <c r="F499" s="38" t="s">
        <v>83</v>
      </c>
      <c r="G499" s="38">
        <v>65959</v>
      </c>
      <c r="H499" s="43">
        <v>0.12</v>
      </c>
      <c r="I499" s="43">
        <v>0.74</v>
      </c>
      <c r="J499" s="38">
        <v>28.7</v>
      </c>
      <c r="K499" s="42">
        <v>14490.5</v>
      </c>
      <c r="L499" s="42">
        <v>2898.1</v>
      </c>
      <c r="M499" s="38">
        <v>0</v>
      </c>
    </row>
    <row r="500" spans="1:13" ht="15" customHeight="1" x14ac:dyDescent="0.3">
      <c r="A500" s="38" t="s">
        <v>1076</v>
      </c>
      <c r="B500" s="40">
        <v>27122</v>
      </c>
      <c r="C500" s="41">
        <v>7.0999999999999994E-2</v>
      </c>
      <c r="D500" s="38">
        <v>60</v>
      </c>
      <c r="E500" s="38" t="s">
        <v>35</v>
      </c>
      <c r="F500" s="38" t="s">
        <v>71</v>
      </c>
      <c r="G500" s="38">
        <v>88160</v>
      </c>
      <c r="H500" s="43">
        <v>0.27</v>
      </c>
      <c r="I500" s="43">
        <v>0.62</v>
      </c>
      <c r="J500" s="38">
        <v>28.7</v>
      </c>
      <c r="K500" s="42">
        <v>9628.31</v>
      </c>
      <c r="L500" s="42">
        <v>1925.66</v>
      </c>
      <c r="M500" s="38">
        <v>0</v>
      </c>
    </row>
    <row r="501" spans="1:13" ht="15" customHeight="1" x14ac:dyDescent="0.3">
      <c r="A501" s="38" t="s">
        <v>1078</v>
      </c>
      <c r="B501" s="40">
        <v>9601</v>
      </c>
      <c r="C501" s="41">
        <v>0.107</v>
      </c>
      <c r="D501" s="38">
        <v>60</v>
      </c>
      <c r="E501" s="38" t="s">
        <v>35</v>
      </c>
      <c r="F501" s="38" t="s">
        <v>66</v>
      </c>
      <c r="G501" s="38">
        <v>141497</v>
      </c>
      <c r="H501" s="43">
        <v>0.18</v>
      </c>
      <c r="I501" s="43">
        <v>0.73</v>
      </c>
      <c r="J501" s="38">
        <v>28.7</v>
      </c>
      <c r="K501" s="42">
        <v>5136.5349999999999</v>
      </c>
      <c r="L501" s="42">
        <v>1027.31</v>
      </c>
      <c r="M501" s="38">
        <v>0</v>
      </c>
    </row>
    <row r="502" spans="1:13" ht="15" customHeight="1" x14ac:dyDescent="0.3">
      <c r="A502" s="38" t="s">
        <v>1080</v>
      </c>
      <c r="B502" s="40">
        <v>7430</v>
      </c>
      <c r="C502" s="41">
        <v>0.13</v>
      </c>
      <c r="D502" s="38">
        <v>60</v>
      </c>
      <c r="E502" s="38" t="s">
        <v>35</v>
      </c>
      <c r="F502" s="38" t="s">
        <v>257</v>
      </c>
      <c r="G502" s="38">
        <v>72946</v>
      </c>
      <c r="H502" s="43">
        <v>0.4</v>
      </c>
      <c r="I502" s="43">
        <v>0.56000000000000005</v>
      </c>
      <c r="J502" s="38">
        <v>28.6</v>
      </c>
      <c r="K502" s="42">
        <v>4829.5</v>
      </c>
      <c r="L502" s="42">
        <v>965.9</v>
      </c>
      <c r="M502" s="38">
        <v>0</v>
      </c>
    </row>
    <row r="503" spans="1:13" ht="15" customHeight="1" x14ac:dyDescent="0.3">
      <c r="A503" s="38" t="s">
        <v>1082</v>
      </c>
      <c r="B503" s="40">
        <v>6895</v>
      </c>
      <c r="C503" s="41">
        <v>0.2</v>
      </c>
      <c r="D503" s="38">
        <v>60</v>
      </c>
      <c r="E503" s="38" t="s">
        <v>35</v>
      </c>
      <c r="F503" s="38" t="s">
        <v>114</v>
      </c>
      <c r="G503" s="38">
        <v>94712</v>
      </c>
      <c r="H503" s="43">
        <v>0.2</v>
      </c>
      <c r="I503" s="43">
        <v>0.55000000000000004</v>
      </c>
      <c r="J503" s="38">
        <v>28.5</v>
      </c>
      <c r="K503" s="42">
        <v>6895</v>
      </c>
      <c r="L503" s="42">
        <v>1379</v>
      </c>
      <c r="M503" s="38">
        <v>0</v>
      </c>
    </row>
    <row r="504" spans="1:13" ht="15" customHeight="1" x14ac:dyDescent="0.3">
      <c r="A504" s="38" t="s">
        <v>1084</v>
      </c>
      <c r="B504" s="40">
        <v>30300</v>
      </c>
      <c r="C504" s="41">
        <v>0.19500000000000001</v>
      </c>
      <c r="D504" s="38">
        <v>36</v>
      </c>
      <c r="E504" s="38" t="s">
        <v>35</v>
      </c>
      <c r="F504" s="38" t="s">
        <v>83</v>
      </c>
      <c r="G504" s="38">
        <v>121748</v>
      </c>
      <c r="H504" s="43">
        <v>0.11</v>
      </c>
      <c r="I504" s="43">
        <v>0.6</v>
      </c>
      <c r="J504" s="38">
        <v>28.5</v>
      </c>
      <c r="K504" s="42">
        <v>17725.5</v>
      </c>
      <c r="L504" s="42">
        <v>5908.5</v>
      </c>
      <c r="M504" s="38">
        <v>0</v>
      </c>
    </row>
    <row r="505" spans="1:13" ht="15" customHeight="1" x14ac:dyDescent="0.3">
      <c r="A505" s="38" t="s">
        <v>1086</v>
      </c>
      <c r="B505" s="40">
        <v>37914</v>
      </c>
      <c r="C505" s="41">
        <v>0.19900000000000001</v>
      </c>
      <c r="D505" s="38">
        <v>36</v>
      </c>
      <c r="E505" s="38" t="s">
        <v>35</v>
      </c>
      <c r="F505" s="38" t="s">
        <v>257</v>
      </c>
      <c r="G505" s="38">
        <v>125432</v>
      </c>
      <c r="H505" s="43">
        <v>0.23</v>
      </c>
      <c r="I505" s="43">
        <v>0.62</v>
      </c>
      <c r="J505" s="38">
        <v>28.4</v>
      </c>
      <c r="K505" s="42">
        <v>22634.657999999999</v>
      </c>
      <c r="L505" s="42">
        <v>7544.89</v>
      </c>
      <c r="M505" s="38">
        <v>0</v>
      </c>
    </row>
    <row r="506" spans="1:13" ht="15" customHeight="1" x14ac:dyDescent="0.3">
      <c r="A506" s="44" t="s">
        <v>1088</v>
      </c>
      <c r="B506" s="46">
        <v>19333</v>
      </c>
      <c r="C506" s="47">
        <v>8.4000000000000005E-2</v>
      </c>
      <c r="D506" s="44">
        <v>36</v>
      </c>
      <c r="E506" s="44" t="s">
        <v>36</v>
      </c>
      <c r="F506" s="44" t="s">
        <v>80</v>
      </c>
      <c r="G506" s="44">
        <v>135078</v>
      </c>
      <c r="H506" s="49">
        <v>0.49</v>
      </c>
      <c r="I506" s="49">
        <v>0.84</v>
      </c>
      <c r="J506" s="44">
        <v>28.4</v>
      </c>
      <c r="K506" s="48">
        <v>4871.9160000000002</v>
      </c>
      <c r="L506" s="48">
        <v>-15230.38</v>
      </c>
      <c r="M506" s="44">
        <v>0</v>
      </c>
    </row>
    <row r="507" spans="1:13" ht="15" customHeight="1" x14ac:dyDescent="0.3">
      <c r="A507" s="38" t="s">
        <v>1090</v>
      </c>
      <c r="B507" s="40">
        <v>31137</v>
      </c>
      <c r="C507" s="41">
        <v>9.7000000000000003E-2</v>
      </c>
      <c r="D507" s="38">
        <v>36</v>
      </c>
      <c r="E507" s="38" t="s">
        <v>35</v>
      </c>
      <c r="F507" s="38" t="s">
        <v>83</v>
      </c>
      <c r="G507" s="38">
        <v>42497</v>
      </c>
      <c r="H507" s="43">
        <v>0.13</v>
      </c>
      <c r="I507" s="43">
        <v>0.93</v>
      </c>
      <c r="J507" s="38">
        <v>28.4</v>
      </c>
      <c r="K507" s="42">
        <v>9060.8670000000002</v>
      </c>
      <c r="L507" s="42">
        <v>3020.29</v>
      </c>
      <c r="M507" s="38">
        <v>0</v>
      </c>
    </row>
    <row r="508" spans="1:13" ht="15" customHeight="1" x14ac:dyDescent="0.3">
      <c r="A508" s="38" t="s">
        <v>1092</v>
      </c>
      <c r="B508" s="40">
        <v>5853</v>
      </c>
      <c r="C508" s="41">
        <v>0.23</v>
      </c>
      <c r="D508" s="38">
        <v>60</v>
      </c>
      <c r="E508" s="38" t="s">
        <v>35</v>
      </c>
      <c r="F508" s="38" t="s">
        <v>80</v>
      </c>
      <c r="G508" s="38">
        <v>81756</v>
      </c>
      <c r="H508" s="43">
        <v>0.28000000000000003</v>
      </c>
      <c r="I508" s="43">
        <v>0.92</v>
      </c>
      <c r="J508" s="38">
        <v>28.3</v>
      </c>
      <c r="K508" s="42">
        <v>6730.95</v>
      </c>
      <c r="L508" s="42">
        <v>1346.19</v>
      </c>
      <c r="M508" s="38">
        <v>0</v>
      </c>
    </row>
    <row r="509" spans="1:13" ht="15" customHeight="1" x14ac:dyDescent="0.3">
      <c r="A509" s="44" t="s">
        <v>1094</v>
      </c>
      <c r="B509" s="46">
        <v>33496</v>
      </c>
      <c r="C509" s="47">
        <v>7.0000000000000007E-2</v>
      </c>
      <c r="D509" s="44">
        <v>36</v>
      </c>
      <c r="E509" s="44" t="s">
        <v>36</v>
      </c>
      <c r="F509" s="44" t="s">
        <v>114</v>
      </c>
      <c r="G509" s="44">
        <v>41410</v>
      </c>
      <c r="H509" s="49">
        <v>0.42</v>
      </c>
      <c r="I509" s="49">
        <v>0.65</v>
      </c>
      <c r="J509" s="44">
        <v>28.3</v>
      </c>
      <c r="K509" s="48">
        <v>7034.16</v>
      </c>
      <c r="L509" s="48">
        <v>-23390.73</v>
      </c>
      <c r="M509" s="44">
        <v>0</v>
      </c>
    </row>
    <row r="510" spans="1:13" ht="15" customHeight="1" x14ac:dyDescent="0.3">
      <c r="A510" s="44" t="s">
        <v>1096</v>
      </c>
      <c r="B510" s="46">
        <v>37035</v>
      </c>
      <c r="C510" s="47">
        <v>0.219</v>
      </c>
      <c r="D510" s="44">
        <v>60</v>
      </c>
      <c r="E510" s="44" t="s">
        <v>36</v>
      </c>
      <c r="F510" s="44" t="s">
        <v>114</v>
      </c>
      <c r="G510" s="44">
        <v>113106</v>
      </c>
      <c r="H510" s="49">
        <v>0.13</v>
      </c>
      <c r="I510" s="49">
        <v>0.59</v>
      </c>
      <c r="J510" s="44">
        <v>28.2</v>
      </c>
      <c r="K510" s="48">
        <v>40553.324999999997</v>
      </c>
      <c r="L510" s="48">
        <v>-23035.55</v>
      </c>
      <c r="M510" s="44">
        <v>0</v>
      </c>
    </row>
    <row r="511" spans="1:13" ht="15" customHeight="1" x14ac:dyDescent="0.3">
      <c r="A511" s="44" t="s">
        <v>1098</v>
      </c>
      <c r="B511" s="46">
        <v>7924</v>
      </c>
      <c r="C511" s="47">
        <v>8.3000000000000004E-2</v>
      </c>
      <c r="D511" s="44">
        <v>60</v>
      </c>
      <c r="E511" s="44" t="s">
        <v>36</v>
      </c>
      <c r="F511" s="44" t="s">
        <v>80</v>
      </c>
      <c r="G511" s="44">
        <v>83772</v>
      </c>
      <c r="H511" s="49">
        <v>0.46</v>
      </c>
      <c r="I511" s="49">
        <v>0.56000000000000005</v>
      </c>
      <c r="J511" s="44">
        <v>28.2</v>
      </c>
      <c r="K511" s="48">
        <v>3288.46</v>
      </c>
      <c r="L511" s="48">
        <v>-4362.25</v>
      </c>
      <c r="M511" s="44">
        <v>0</v>
      </c>
    </row>
    <row r="512" spans="1:13" ht="15" customHeight="1" x14ac:dyDescent="0.3">
      <c r="A512" s="38" t="s">
        <v>1100</v>
      </c>
      <c r="B512" s="40">
        <v>17967</v>
      </c>
      <c r="C512" s="41">
        <v>0.19800000000000001</v>
      </c>
      <c r="D512" s="38">
        <v>60</v>
      </c>
      <c r="E512" s="38" t="s">
        <v>35</v>
      </c>
      <c r="F512" s="38" t="s">
        <v>83</v>
      </c>
      <c r="G512" s="38">
        <v>81539</v>
      </c>
      <c r="H512" s="43">
        <v>0.12</v>
      </c>
      <c r="I512" s="43">
        <v>0.77</v>
      </c>
      <c r="J512" s="38">
        <v>28.1</v>
      </c>
      <c r="K512" s="42">
        <v>17787.330000000002</v>
      </c>
      <c r="L512" s="42">
        <v>3557.47</v>
      </c>
      <c r="M512" s="38">
        <v>0</v>
      </c>
    </row>
    <row r="513" spans="1:13" ht="15" customHeight="1" x14ac:dyDescent="0.3">
      <c r="A513" s="44" t="s">
        <v>1102</v>
      </c>
      <c r="B513" s="46">
        <v>19088</v>
      </c>
      <c r="C513" s="47">
        <v>0.11799999999999999</v>
      </c>
      <c r="D513" s="44">
        <v>60</v>
      </c>
      <c r="E513" s="44" t="s">
        <v>36</v>
      </c>
      <c r="F513" s="44" t="s">
        <v>60</v>
      </c>
      <c r="G513" s="44">
        <v>44334</v>
      </c>
      <c r="H513" s="49">
        <v>0.16</v>
      </c>
      <c r="I513" s="49">
        <v>0.71</v>
      </c>
      <c r="J513" s="44">
        <v>28.1</v>
      </c>
      <c r="K513" s="48">
        <v>11261.92</v>
      </c>
      <c r="L513" s="48">
        <v>-9750.2999999999993</v>
      </c>
      <c r="M513" s="44">
        <v>0</v>
      </c>
    </row>
    <row r="514" spans="1:13" ht="15" customHeight="1" x14ac:dyDescent="0.3">
      <c r="A514" s="44" t="s">
        <v>1104</v>
      </c>
      <c r="B514" s="46">
        <v>35801</v>
      </c>
      <c r="C514" s="47">
        <v>0.215</v>
      </c>
      <c r="D514" s="44">
        <v>60</v>
      </c>
      <c r="E514" s="44" t="s">
        <v>36</v>
      </c>
      <c r="F514" s="44" t="s">
        <v>83</v>
      </c>
      <c r="G514" s="44">
        <v>67019</v>
      </c>
      <c r="H514" s="49">
        <v>0.21</v>
      </c>
      <c r="I514" s="49">
        <v>0.69</v>
      </c>
      <c r="J514" s="44">
        <v>28</v>
      </c>
      <c r="K514" s="48">
        <v>38486.074999999997</v>
      </c>
      <c r="L514" s="48">
        <v>-25744.01</v>
      </c>
      <c r="M514" s="44">
        <v>0</v>
      </c>
    </row>
    <row r="515" spans="1:13" ht="15" customHeight="1" x14ac:dyDescent="0.3">
      <c r="A515" s="44" t="s">
        <v>1106</v>
      </c>
      <c r="B515" s="46">
        <v>33784</v>
      </c>
      <c r="C515" s="47">
        <v>0.23599999999999999</v>
      </c>
      <c r="D515" s="44">
        <v>60</v>
      </c>
      <c r="E515" s="44" t="s">
        <v>36</v>
      </c>
      <c r="F515" s="44" t="s">
        <v>80</v>
      </c>
      <c r="G515" s="44">
        <v>92671</v>
      </c>
      <c r="H515" s="49">
        <v>0.42</v>
      </c>
      <c r="I515" s="49">
        <v>0.85</v>
      </c>
      <c r="J515" s="44">
        <v>28</v>
      </c>
      <c r="K515" s="48">
        <v>39865.120000000003</v>
      </c>
      <c r="L515" s="48">
        <v>-24582.71</v>
      </c>
      <c r="M515" s="44">
        <v>0</v>
      </c>
    </row>
    <row r="516" spans="1:13" ht="15" customHeight="1" x14ac:dyDescent="0.3">
      <c r="A516" s="38" t="s">
        <v>1108</v>
      </c>
      <c r="B516" s="40">
        <v>12122</v>
      </c>
      <c r="C516" s="41">
        <v>6.9000000000000006E-2</v>
      </c>
      <c r="D516" s="38">
        <v>60</v>
      </c>
      <c r="E516" s="38" t="s">
        <v>35</v>
      </c>
      <c r="F516" s="38" t="s">
        <v>60</v>
      </c>
      <c r="G516" s="38">
        <v>107241</v>
      </c>
      <c r="H516" s="43">
        <v>0.18</v>
      </c>
      <c r="I516" s="43">
        <v>0.6</v>
      </c>
      <c r="J516" s="38">
        <v>27.9</v>
      </c>
      <c r="K516" s="42">
        <v>4182.09</v>
      </c>
      <c r="L516" s="42">
        <v>836.42</v>
      </c>
      <c r="M516" s="38">
        <v>0</v>
      </c>
    </row>
    <row r="517" spans="1:13" ht="15" customHeight="1" x14ac:dyDescent="0.3">
      <c r="A517" s="44" t="s">
        <v>1110</v>
      </c>
      <c r="B517" s="46">
        <v>9073</v>
      </c>
      <c r="C517" s="47">
        <v>6.9000000000000006E-2</v>
      </c>
      <c r="D517" s="44">
        <v>36</v>
      </c>
      <c r="E517" s="44" t="s">
        <v>36</v>
      </c>
      <c r="F517" s="44" t="s">
        <v>80</v>
      </c>
      <c r="G517" s="44">
        <v>65595</v>
      </c>
      <c r="H517" s="49">
        <v>0.33</v>
      </c>
      <c r="I517" s="49">
        <v>0.64</v>
      </c>
      <c r="J517" s="44">
        <v>27.9</v>
      </c>
      <c r="K517" s="48">
        <v>1878.1110000000001</v>
      </c>
      <c r="L517" s="48">
        <v>-7550.65</v>
      </c>
      <c r="M517" s="44">
        <v>0</v>
      </c>
    </row>
    <row r="518" spans="1:13" ht="15" customHeight="1" x14ac:dyDescent="0.3">
      <c r="A518" s="38" t="s">
        <v>1112</v>
      </c>
      <c r="B518" s="40">
        <v>38650</v>
      </c>
      <c r="C518" s="41">
        <v>6.2E-2</v>
      </c>
      <c r="D518" s="38">
        <v>60</v>
      </c>
      <c r="E518" s="38" t="s">
        <v>35</v>
      </c>
      <c r="F518" s="38" t="s">
        <v>66</v>
      </c>
      <c r="G518" s="38">
        <v>147449</v>
      </c>
      <c r="H518" s="43">
        <v>0.42</v>
      </c>
      <c r="I518" s="43">
        <v>0.61</v>
      </c>
      <c r="J518" s="38">
        <v>27.9</v>
      </c>
      <c r="K518" s="42">
        <v>11981.5</v>
      </c>
      <c r="L518" s="42">
        <v>2396.3000000000002</v>
      </c>
      <c r="M518" s="38">
        <v>0</v>
      </c>
    </row>
    <row r="519" spans="1:13" ht="15" customHeight="1" x14ac:dyDescent="0.3">
      <c r="A519" s="44" t="s">
        <v>1114</v>
      </c>
      <c r="B519" s="46">
        <v>11793</v>
      </c>
      <c r="C519" s="47">
        <v>9.8000000000000004E-2</v>
      </c>
      <c r="D519" s="44">
        <v>36</v>
      </c>
      <c r="E519" s="44" t="s">
        <v>36</v>
      </c>
      <c r="F519" s="44" t="s">
        <v>60</v>
      </c>
      <c r="G519" s="44">
        <v>105301</v>
      </c>
      <c r="H519" s="49">
        <v>0.16</v>
      </c>
      <c r="I519" s="49">
        <v>0.82</v>
      </c>
      <c r="J519" s="44">
        <v>27.8</v>
      </c>
      <c r="K519" s="48">
        <v>3467.1419999999998</v>
      </c>
      <c r="L519" s="48">
        <v>-8013.8</v>
      </c>
      <c r="M519" s="44">
        <v>0</v>
      </c>
    </row>
    <row r="520" spans="1:13" ht="15" customHeight="1" x14ac:dyDescent="0.3">
      <c r="A520" s="44" t="s">
        <v>1116</v>
      </c>
      <c r="B520" s="46">
        <v>31015</v>
      </c>
      <c r="C520" s="47">
        <v>8.3000000000000004E-2</v>
      </c>
      <c r="D520" s="44">
        <v>36</v>
      </c>
      <c r="E520" s="44" t="s">
        <v>36</v>
      </c>
      <c r="F520" s="44" t="s">
        <v>66</v>
      </c>
      <c r="G520" s="44">
        <v>108653</v>
      </c>
      <c r="H520" s="49">
        <v>0.26</v>
      </c>
      <c r="I520" s="49">
        <v>0.92</v>
      </c>
      <c r="J520" s="44">
        <v>27.7</v>
      </c>
      <c r="K520" s="48">
        <v>7722.7349999999997</v>
      </c>
      <c r="L520" s="48">
        <v>-25135.599999999999</v>
      </c>
      <c r="M520" s="44">
        <v>0</v>
      </c>
    </row>
    <row r="521" spans="1:13" ht="15" customHeight="1" x14ac:dyDescent="0.3">
      <c r="A521" s="38" t="s">
        <v>1118</v>
      </c>
      <c r="B521" s="40">
        <v>22627</v>
      </c>
      <c r="C521" s="41">
        <v>0.14199999999999999</v>
      </c>
      <c r="D521" s="38">
        <v>60</v>
      </c>
      <c r="E521" s="38" t="s">
        <v>35</v>
      </c>
      <c r="F521" s="38" t="s">
        <v>66</v>
      </c>
      <c r="G521" s="38">
        <v>102307</v>
      </c>
      <c r="H521" s="43">
        <v>0.15</v>
      </c>
      <c r="I521" s="43">
        <v>0.72</v>
      </c>
      <c r="J521" s="38">
        <v>27.5</v>
      </c>
      <c r="K521" s="42">
        <v>16065.17</v>
      </c>
      <c r="L521" s="42">
        <v>3213.03</v>
      </c>
      <c r="M521" s="38">
        <v>0</v>
      </c>
    </row>
    <row r="522" spans="1:13" ht="15" customHeight="1" x14ac:dyDescent="0.3">
      <c r="A522" s="38" t="s">
        <v>1120</v>
      </c>
      <c r="B522" s="40">
        <v>39197</v>
      </c>
      <c r="C522" s="41">
        <v>0.24</v>
      </c>
      <c r="D522" s="38">
        <v>36</v>
      </c>
      <c r="E522" s="38" t="s">
        <v>35</v>
      </c>
      <c r="F522" s="38" t="s">
        <v>60</v>
      </c>
      <c r="G522" s="38">
        <v>30203</v>
      </c>
      <c r="H522" s="43">
        <v>0.33</v>
      </c>
      <c r="I522" s="43">
        <v>0.83</v>
      </c>
      <c r="J522" s="38">
        <v>27.5</v>
      </c>
      <c r="K522" s="42">
        <v>28221.84</v>
      </c>
      <c r="L522" s="42">
        <v>9407.2800000000007</v>
      </c>
      <c r="M522" s="38">
        <v>0</v>
      </c>
    </row>
    <row r="523" spans="1:13" ht="15" customHeight="1" x14ac:dyDescent="0.3">
      <c r="A523" s="38" t="s">
        <v>1122</v>
      </c>
      <c r="B523" s="40">
        <v>7894</v>
      </c>
      <c r="C523" s="41">
        <v>0.153</v>
      </c>
      <c r="D523" s="38">
        <v>36</v>
      </c>
      <c r="E523" s="38" t="s">
        <v>35</v>
      </c>
      <c r="F523" s="38" t="s">
        <v>60</v>
      </c>
      <c r="G523" s="38">
        <v>83664</v>
      </c>
      <c r="H523" s="43">
        <v>0.17</v>
      </c>
      <c r="I523" s="43">
        <v>0.62</v>
      </c>
      <c r="J523" s="38">
        <v>27.5</v>
      </c>
      <c r="K523" s="42">
        <v>3623.346</v>
      </c>
      <c r="L523" s="42">
        <v>1207.78</v>
      </c>
      <c r="M523" s="38">
        <v>0</v>
      </c>
    </row>
    <row r="524" spans="1:13" ht="15" customHeight="1" x14ac:dyDescent="0.3">
      <c r="A524" s="44" t="s">
        <v>1124</v>
      </c>
      <c r="B524" s="46">
        <v>34997</v>
      </c>
      <c r="C524" s="47">
        <v>0.214</v>
      </c>
      <c r="D524" s="44">
        <v>36</v>
      </c>
      <c r="E524" s="44" t="s">
        <v>36</v>
      </c>
      <c r="F524" s="44" t="s">
        <v>60</v>
      </c>
      <c r="G524" s="44">
        <v>50789</v>
      </c>
      <c r="H524" s="49">
        <v>0.39</v>
      </c>
      <c r="I524" s="49">
        <v>0.88</v>
      </c>
      <c r="J524" s="44">
        <v>27.5</v>
      </c>
      <c r="K524" s="48">
        <v>22468.074000000001</v>
      </c>
      <c r="L524" s="48">
        <v>-19721.990000000002</v>
      </c>
      <c r="M524" s="44">
        <v>0</v>
      </c>
    </row>
    <row r="525" spans="1:13" ht="15" customHeight="1" x14ac:dyDescent="0.3">
      <c r="A525" s="38" t="s">
        <v>1126</v>
      </c>
      <c r="B525" s="40">
        <v>35958</v>
      </c>
      <c r="C525" s="41">
        <v>0.08</v>
      </c>
      <c r="D525" s="38">
        <v>36</v>
      </c>
      <c r="E525" s="38" t="s">
        <v>35</v>
      </c>
      <c r="F525" s="38" t="s">
        <v>66</v>
      </c>
      <c r="G525" s="38">
        <v>107485</v>
      </c>
      <c r="H525" s="43">
        <v>0.36</v>
      </c>
      <c r="I525" s="43">
        <v>0.89</v>
      </c>
      <c r="J525" s="38">
        <v>27.5</v>
      </c>
      <c r="K525" s="42">
        <v>8629.92</v>
      </c>
      <c r="L525" s="42">
        <v>2876.64</v>
      </c>
      <c r="M525" s="38">
        <v>0</v>
      </c>
    </row>
    <row r="526" spans="1:13" ht="15" customHeight="1" x14ac:dyDescent="0.3">
      <c r="A526" s="38" t="s">
        <v>1128</v>
      </c>
      <c r="B526" s="40">
        <v>23890</v>
      </c>
      <c r="C526" s="41">
        <v>9.5000000000000001E-2</v>
      </c>
      <c r="D526" s="38">
        <v>36</v>
      </c>
      <c r="E526" s="38" t="s">
        <v>35</v>
      </c>
      <c r="F526" s="38" t="s">
        <v>60</v>
      </c>
      <c r="G526" s="38">
        <v>144019</v>
      </c>
      <c r="H526" s="43">
        <v>0.15</v>
      </c>
      <c r="I526" s="43">
        <v>0.86</v>
      </c>
      <c r="J526" s="38">
        <v>27.4</v>
      </c>
      <c r="K526" s="42">
        <v>6808.65</v>
      </c>
      <c r="L526" s="42">
        <v>2269.5500000000002</v>
      </c>
      <c r="M526" s="38">
        <v>0</v>
      </c>
    </row>
    <row r="527" spans="1:13" ht="15" customHeight="1" x14ac:dyDescent="0.3">
      <c r="A527" s="38" t="s">
        <v>1130</v>
      </c>
      <c r="B527" s="40">
        <v>16901</v>
      </c>
      <c r="C527" s="41">
        <v>7.0999999999999994E-2</v>
      </c>
      <c r="D527" s="38">
        <v>60</v>
      </c>
      <c r="E527" s="38" t="s">
        <v>35</v>
      </c>
      <c r="F527" s="38" t="s">
        <v>80</v>
      </c>
      <c r="G527" s="38">
        <v>112103</v>
      </c>
      <c r="H527" s="43">
        <v>0.22</v>
      </c>
      <c r="I527" s="43">
        <v>0.82</v>
      </c>
      <c r="J527" s="38">
        <v>27.4</v>
      </c>
      <c r="K527" s="42">
        <v>5999.8549999999996</v>
      </c>
      <c r="L527" s="42">
        <v>1199.97</v>
      </c>
      <c r="M527" s="38">
        <v>0</v>
      </c>
    </row>
    <row r="528" spans="1:13" ht="15" customHeight="1" x14ac:dyDescent="0.3">
      <c r="A528" s="38" t="s">
        <v>1132</v>
      </c>
      <c r="B528" s="40">
        <v>14737</v>
      </c>
      <c r="C528" s="41">
        <v>7.4999999999999997E-2</v>
      </c>
      <c r="D528" s="38">
        <v>36</v>
      </c>
      <c r="E528" s="38" t="s">
        <v>35</v>
      </c>
      <c r="F528" s="38" t="s">
        <v>60</v>
      </c>
      <c r="G528" s="38">
        <v>36859</v>
      </c>
      <c r="H528" s="43">
        <v>0.19</v>
      </c>
      <c r="I528" s="43">
        <v>0.8</v>
      </c>
      <c r="J528" s="38">
        <v>27.4</v>
      </c>
      <c r="K528" s="42">
        <v>3315.8249999999998</v>
      </c>
      <c r="L528" s="42">
        <v>1105.28</v>
      </c>
      <c r="M528" s="38">
        <v>0</v>
      </c>
    </row>
    <row r="529" spans="1:13" ht="15" customHeight="1" x14ac:dyDescent="0.3">
      <c r="A529" s="44" t="s">
        <v>1134</v>
      </c>
      <c r="B529" s="46">
        <v>8657</v>
      </c>
      <c r="C529" s="47">
        <v>0.14199999999999999</v>
      </c>
      <c r="D529" s="44">
        <v>36</v>
      </c>
      <c r="E529" s="44" t="s">
        <v>36</v>
      </c>
      <c r="F529" s="44" t="s">
        <v>71</v>
      </c>
      <c r="G529" s="44">
        <v>49259</v>
      </c>
      <c r="H529" s="49">
        <v>0.14000000000000001</v>
      </c>
      <c r="I529" s="49">
        <v>0.54</v>
      </c>
      <c r="J529" s="44">
        <v>27.4</v>
      </c>
      <c r="K529" s="48">
        <v>3687.8820000000001</v>
      </c>
      <c r="L529" s="48">
        <v>-4816.62</v>
      </c>
      <c r="M529" s="44">
        <v>0</v>
      </c>
    </row>
    <row r="530" spans="1:13" ht="15" customHeight="1" x14ac:dyDescent="0.3">
      <c r="A530" s="38" t="s">
        <v>1136</v>
      </c>
      <c r="B530" s="40">
        <v>11749</v>
      </c>
      <c r="C530" s="41">
        <v>6.2E-2</v>
      </c>
      <c r="D530" s="38">
        <v>60</v>
      </c>
      <c r="E530" s="38" t="s">
        <v>35</v>
      </c>
      <c r="F530" s="38" t="s">
        <v>80</v>
      </c>
      <c r="G530" s="38">
        <v>48816</v>
      </c>
      <c r="H530" s="43">
        <v>0.12</v>
      </c>
      <c r="I530" s="43">
        <v>0.59</v>
      </c>
      <c r="J530" s="38">
        <v>27.2</v>
      </c>
      <c r="K530" s="42">
        <v>3642.19</v>
      </c>
      <c r="L530" s="42">
        <v>728.44000000000096</v>
      </c>
      <c r="M530" s="38">
        <v>0</v>
      </c>
    </row>
    <row r="531" spans="1:13" ht="15" customHeight="1" x14ac:dyDescent="0.3">
      <c r="A531" s="56" t="s">
        <v>1138</v>
      </c>
      <c r="B531" s="58">
        <v>29687</v>
      </c>
      <c r="C531" s="59">
        <v>0.15</v>
      </c>
      <c r="D531" s="56">
        <v>60</v>
      </c>
      <c r="E531" s="56" t="s">
        <v>37</v>
      </c>
      <c r="F531" s="56" t="s">
        <v>83</v>
      </c>
      <c r="G531" s="56">
        <v>106509</v>
      </c>
      <c r="H531" s="61">
        <v>0.47</v>
      </c>
      <c r="I531" s="61">
        <v>0.72</v>
      </c>
      <c r="J531" s="56">
        <v>27.2</v>
      </c>
      <c r="K531" s="60">
        <v>22265.25</v>
      </c>
      <c r="L531" s="60">
        <v>-22847.15</v>
      </c>
      <c r="M531" s="56">
        <v>1</v>
      </c>
    </row>
    <row r="532" spans="1:13" ht="15" customHeight="1" x14ac:dyDescent="0.3">
      <c r="A532" s="38" t="s">
        <v>1140</v>
      </c>
      <c r="B532" s="40">
        <v>24650</v>
      </c>
      <c r="C532" s="41">
        <v>8.4000000000000005E-2</v>
      </c>
      <c r="D532" s="38">
        <v>36</v>
      </c>
      <c r="E532" s="38" t="s">
        <v>35</v>
      </c>
      <c r="F532" s="38" t="s">
        <v>60</v>
      </c>
      <c r="G532" s="38">
        <v>49288</v>
      </c>
      <c r="H532" s="43">
        <v>0.16</v>
      </c>
      <c r="I532" s="43">
        <v>0.63</v>
      </c>
      <c r="J532" s="38">
        <v>27.2</v>
      </c>
      <c r="K532" s="42">
        <v>6211.8</v>
      </c>
      <c r="L532" s="42">
        <v>2070.6</v>
      </c>
      <c r="M532" s="38">
        <v>0</v>
      </c>
    </row>
    <row r="533" spans="1:13" ht="15" customHeight="1" x14ac:dyDescent="0.3">
      <c r="A533" s="38" t="s">
        <v>1142</v>
      </c>
      <c r="B533" s="40">
        <v>6704</v>
      </c>
      <c r="C533" s="41">
        <v>0.16600000000000001</v>
      </c>
      <c r="D533" s="38">
        <v>60</v>
      </c>
      <c r="E533" s="38" t="s">
        <v>35</v>
      </c>
      <c r="F533" s="38" t="s">
        <v>80</v>
      </c>
      <c r="G533" s="38">
        <v>49942</v>
      </c>
      <c r="H533" s="43">
        <v>0.13</v>
      </c>
      <c r="I533" s="43">
        <v>0.83</v>
      </c>
      <c r="J533" s="38">
        <v>27.2</v>
      </c>
      <c r="K533" s="42">
        <v>5564.32</v>
      </c>
      <c r="L533" s="42">
        <v>1112.8599999999999</v>
      </c>
      <c r="M533" s="38">
        <v>0</v>
      </c>
    </row>
    <row r="534" spans="1:13" ht="15" customHeight="1" x14ac:dyDescent="0.3">
      <c r="A534" s="38" t="s">
        <v>1144</v>
      </c>
      <c r="B534" s="40">
        <v>8179</v>
      </c>
      <c r="C534" s="41">
        <v>0.22500000000000001</v>
      </c>
      <c r="D534" s="38">
        <v>60</v>
      </c>
      <c r="E534" s="38" t="s">
        <v>35</v>
      </c>
      <c r="F534" s="38" t="s">
        <v>66</v>
      </c>
      <c r="G534" s="38">
        <v>56616</v>
      </c>
      <c r="H534" s="43">
        <v>0.37</v>
      </c>
      <c r="I534" s="43">
        <v>0.5</v>
      </c>
      <c r="J534" s="38">
        <v>27.2</v>
      </c>
      <c r="K534" s="42">
        <v>9201.375</v>
      </c>
      <c r="L534" s="42">
        <v>1840.28</v>
      </c>
      <c r="M534" s="38">
        <v>0</v>
      </c>
    </row>
    <row r="535" spans="1:13" ht="15" customHeight="1" x14ac:dyDescent="0.3">
      <c r="A535" s="38" t="s">
        <v>1146</v>
      </c>
      <c r="B535" s="40">
        <v>33975</v>
      </c>
      <c r="C535" s="41">
        <v>7.3999999999999996E-2</v>
      </c>
      <c r="D535" s="38">
        <v>36</v>
      </c>
      <c r="E535" s="38" t="s">
        <v>35</v>
      </c>
      <c r="F535" s="38" t="s">
        <v>80</v>
      </c>
      <c r="G535" s="38">
        <v>55338</v>
      </c>
      <c r="H535" s="43">
        <v>0.26</v>
      </c>
      <c r="I535" s="43">
        <v>0.73</v>
      </c>
      <c r="J535" s="38">
        <v>27.2</v>
      </c>
      <c r="K535" s="42">
        <v>7542.45</v>
      </c>
      <c r="L535" s="42">
        <v>2514.15</v>
      </c>
      <c r="M535" s="38">
        <v>0</v>
      </c>
    </row>
    <row r="536" spans="1:13" ht="15" customHeight="1" x14ac:dyDescent="0.3">
      <c r="A536" s="38" t="s">
        <v>1148</v>
      </c>
      <c r="B536" s="40">
        <v>32598</v>
      </c>
      <c r="C536" s="41">
        <v>0.17899999999999999</v>
      </c>
      <c r="D536" s="38">
        <v>60</v>
      </c>
      <c r="E536" s="38" t="s">
        <v>35</v>
      </c>
      <c r="F536" s="38" t="s">
        <v>257</v>
      </c>
      <c r="G536" s="38">
        <v>135141</v>
      </c>
      <c r="H536" s="43">
        <v>0.3</v>
      </c>
      <c r="I536" s="43">
        <v>0.56999999999999995</v>
      </c>
      <c r="J536" s="38">
        <v>27.1</v>
      </c>
      <c r="K536" s="42">
        <v>29175.21</v>
      </c>
      <c r="L536" s="42">
        <v>5835.04</v>
      </c>
      <c r="M536" s="38">
        <v>0</v>
      </c>
    </row>
    <row r="537" spans="1:13" ht="15" customHeight="1" x14ac:dyDescent="0.3">
      <c r="A537" s="38" t="s">
        <v>1150</v>
      </c>
      <c r="B537" s="40">
        <v>36643</v>
      </c>
      <c r="C537" s="41">
        <v>0.20499999999999999</v>
      </c>
      <c r="D537" s="38">
        <v>36</v>
      </c>
      <c r="E537" s="38" t="s">
        <v>35</v>
      </c>
      <c r="F537" s="38" t="s">
        <v>71</v>
      </c>
      <c r="G537" s="38">
        <v>128618</v>
      </c>
      <c r="H537" s="43">
        <v>0.19</v>
      </c>
      <c r="I537" s="43">
        <v>0.91</v>
      </c>
      <c r="J537" s="38">
        <v>27</v>
      </c>
      <c r="K537" s="42">
        <v>22535.445</v>
      </c>
      <c r="L537" s="42">
        <v>7511.82</v>
      </c>
      <c r="M537" s="38">
        <v>0</v>
      </c>
    </row>
    <row r="538" spans="1:13" ht="15" customHeight="1" x14ac:dyDescent="0.3">
      <c r="A538" s="56" t="s">
        <v>1152</v>
      </c>
      <c r="B538" s="58">
        <v>18602</v>
      </c>
      <c r="C538" s="59">
        <v>5.2999999999999999E-2</v>
      </c>
      <c r="D538" s="56">
        <v>36</v>
      </c>
      <c r="E538" s="56" t="s">
        <v>37</v>
      </c>
      <c r="F538" s="56" t="s">
        <v>60</v>
      </c>
      <c r="G538" s="56">
        <v>111159</v>
      </c>
      <c r="H538" s="61">
        <v>0.41</v>
      </c>
      <c r="I538" s="61">
        <v>0.65</v>
      </c>
      <c r="J538" s="56">
        <v>27</v>
      </c>
      <c r="K538" s="60">
        <v>2957.7179999999998</v>
      </c>
      <c r="L538" s="60">
        <v>-13907.49</v>
      </c>
      <c r="M538" s="56">
        <v>1</v>
      </c>
    </row>
    <row r="539" spans="1:13" ht="15" customHeight="1" x14ac:dyDescent="0.3">
      <c r="A539" s="44" t="s">
        <v>1154</v>
      </c>
      <c r="B539" s="46">
        <v>8373</v>
      </c>
      <c r="C539" s="47">
        <v>0.19400000000000001</v>
      </c>
      <c r="D539" s="44">
        <v>60</v>
      </c>
      <c r="E539" s="44" t="s">
        <v>36</v>
      </c>
      <c r="F539" s="44" t="s">
        <v>114</v>
      </c>
      <c r="G539" s="44">
        <v>101088</v>
      </c>
      <c r="H539" s="49">
        <v>0.31</v>
      </c>
      <c r="I539" s="49">
        <v>0.71</v>
      </c>
      <c r="J539" s="44">
        <v>27</v>
      </c>
      <c r="K539" s="48">
        <v>8121.81</v>
      </c>
      <c r="L539" s="48">
        <v>-6564.46</v>
      </c>
      <c r="M539" s="44">
        <v>0</v>
      </c>
    </row>
    <row r="540" spans="1:13" ht="15" customHeight="1" x14ac:dyDescent="0.3">
      <c r="A540" s="38" t="s">
        <v>1156</v>
      </c>
      <c r="B540" s="40">
        <v>30757</v>
      </c>
      <c r="C540" s="41">
        <v>0.14899999999999999</v>
      </c>
      <c r="D540" s="38">
        <v>36</v>
      </c>
      <c r="E540" s="38" t="s">
        <v>35</v>
      </c>
      <c r="F540" s="38" t="s">
        <v>71</v>
      </c>
      <c r="G540" s="38">
        <v>67701</v>
      </c>
      <c r="H540" s="43">
        <v>0.39</v>
      </c>
      <c r="I540" s="43">
        <v>0.88</v>
      </c>
      <c r="J540" s="38">
        <v>26.9</v>
      </c>
      <c r="K540" s="42">
        <v>13748.379000000001</v>
      </c>
      <c r="L540" s="42">
        <v>4582.79</v>
      </c>
      <c r="M540" s="38">
        <v>0</v>
      </c>
    </row>
    <row r="541" spans="1:13" ht="15" customHeight="1" x14ac:dyDescent="0.3">
      <c r="A541" s="38" t="s">
        <v>1158</v>
      </c>
      <c r="B541" s="40">
        <v>17371</v>
      </c>
      <c r="C541" s="41">
        <v>0.13</v>
      </c>
      <c r="D541" s="38">
        <v>36</v>
      </c>
      <c r="E541" s="38" t="s">
        <v>35</v>
      </c>
      <c r="F541" s="38" t="s">
        <v>60</v>
      </c>
      <c r="G541" s="38">
        <v>34886</v>
      </c>
      <c r="H541" s="43">
        <v>0.12</v>
      </c>
      <c r="I541" s="43">
        <v>0.93</v>
      </c>
      <c r="J541" s="38">
        <v>26.9</v>
      </c>
      <c r="K541" s="42">
        <v>6774.69</v>
      </c>
      <c r="L541" s="42">
        <v>2258.23</v>
      </c>
      <c r="M541" s="38">
        <v>0</v>
      </c>
    </row>
    <row r="542" spans="1:13" ht="15" customHeight="1" x14ac:dyDescent="0.3">
      <c r="A542" s="38" t="s">
        <v>1160</v>
      </c>
      <c r="B542" s="40">
        <v>16023</v>
      </c>
      <c r="C542" s="41">
        <v>0.16500000000000001</v>
      </c>
      <c r="D542" s="38">
        <v>36</v>
      </c>
      <c r="E542" s="38" t="s">
        <v>35</v>
      </c>
      <c r="F542" s="38" t="s">
        <v>60</v>
      </c>
      <c r="G542" s="38">
        <v>138944</v>
      </c>
      <c r="H542" s="43">
        <v>0.28000000000000003</v>
      </c>
      <c r="I542" s="43">
        <v>0.89</v>
      </c>
      <c r="J542" s="38">
        <v>26.9</v>
      </c>
      <c r="K542" s="42">
        <v>7931.3850000000002</v>
      </c>
      <c r="L542" s="42">
        <v>2643.8</v>
      </c>
      <c r="M542" s="38">
        <v>0</v>
      </c>
    </row>
    <row r="543" spans="1:13" ht="15" customHeight="1" x14ac:dyDescent="0.3">
      <c r="A543" s="38" t="s">
        <v>1162</v>
      </c>
      <c r="B543" s="40">
        <v>26923</v>
      </c>
      <c r="C543" s="41">
        <v>0.156</v>
      </c>
      <c r="D543" s="38">
        <v>60</v>
      </c>
      <c r="E543" s="38" t="s">
        <v>35</v>
      </c>
      <c r="F543" s="38" t="s">
        <v>83</v>
      </c>
      <c r="G543" s="38">
        <v>127905</v>
      </c>
      <c r="H543" s="43">
        <v>0.35</v>
      </c>
      <c r="I543" s="43">
        <v>0.7</v>
      </c>
      <c r="J543" s="38">
        <v>26.8</v>
      </c>
      <c r="K543" s="42">
        <v>20999.94</v>
      </c>
      <c r="L543" s="42">
        <v>4199.99</v>
      </c>
      <c r="M543" s="38">
        <v>0</v>
      </c>
    </row>
    <row r="544" spans="1:13" ht="15" customHeight="1" x14ac:dyDescent="0.3">
      <c r="A544" s="44" t="s">
        <v>1164</v>
      </c>
      <c r="B544" s="46">
        <v>7640</v>
      </c>
      <c r="C544" s="47">
        <v>0.186</v>
      </c>
      <c r="D544" s="44">
        <v>36</v>
      </c>
      <c r="E544" s="44" t="s">
        <v>36</v>
      </c>
      <c r="F544" s="44" t="s">
        <v>60</v>
      </c>
      <c r="G544" s="44">
        <v>70172</v>
      </c>
      <c r="H544" s="49">
        <v>0.21</v>
      </c>
      <c r="I544" s="49">
        <v>0.67</v>
      </c>
      <c r="J544" s="44">
        <v>26.8</v>
      </c>
      <c r="K544" s="48">
        <v>4263.12</v>
      </c>
      <c r="L544" s="48">
        <v>-6470.3</v>
      </c>
      <c r="M544" s="44">
        <v>0</v>
      </c>
    </row>
    <row r="545" spans="1:13" ht="15" customHeight="1" x14ac:dyDescent="0.3">
      <c r="A545" s="44" t="s">
        <v>1166</v>
      </c>
      <c r="B545" s="46">
        <v>13149</v>
      </c>
      <c r="C545" s="47">
        <v>0.16800000000000001</v>
      </c>
      <c r="D545" s="44">
        <v>36</v>
      </c>
      <c r="E545" s="44" t="s">
        <v>36</v>
      </c>
      <c r="F545" s="44" t="s">
        <v>83</v>
      </c>
      <c r="G545" s="44">
        <v>119037</v>
      </c>
      <c r="H545" s="49">
        <v>0.45</v>
      </c>
      <c r="I545" s="49">
        <v>0.6</v>
      </c>
      <c r="J545" s="44">
        <v>26.8</v>
      </c>
      <c r="K545" s="48">
        <v>6627.0959999999995</v>
      </c>
      <c r="L545" s="48">
        <v>-8659.02</v>
      </c>
      <c r="M545" s="44">
        <v>0</v>
      </c>
    </row>
    <row r="546" spans="1:13" ht="15" customHeight="1" x14ac:dyDescent="0.3">
      <c r="A546" s="38" t="s">
        <v>1168</v>
      </c>
      <c r="B546" s="40">
        <v>12046</v>
      </c>
      <c r="C546" s="41">
        <v>0.216</v>
      </c>
      <c r="D546" s="38">
        <v>36</v>
      </c>
      <c r="E546" s="38" t="s">
        <v>35</v>
      </c>
      <c r="F546" s="38" t="s">
        <v>80</v>
      </c>
      <c r="G546" s="38">
        <v>106848</v>
      </c>
      <c r="H546" s="43">
        <v>0.19</v>
      </c>
      <c r="I546" s="43">
        <v>0.7</v>
      </c>
      <c r="J546" s="38">
        <v>26.7</v>
      </c>
      <c r="K546" s="42">
        <v>7805.808</v>
      </c>
      <c r="L546" s="42">
        <v>2601.94</v>
      </c>
      <c r="M546" s="38">
        <v>0</v>
      </c>
    </row>
    <row r="547" spans="1:13" ht="15" customHeight="1" x14ac:dyDescent="0.3">
      <c r="A547" s="44" t="s">
        <v>1170</v>
      </c>
      <c r="B547" s="46">
        <v>25791</v>
      </c>
      <c r="C547" s="47">
        <v>9.4E-2</v>
      </c>
      <c r="D547" s="44">
        <v>60</v>
      </c>
      <c r="E547" s="44" t="s">
        <v>36</v>
      </c>
      <c r="F547" s="44" t="s">
        <v>80</v>
      </c>
      <c r="G547" s="44">
        <v>122067</v>
      </c>
      <c r="H547" s="49">
        <v>0.3</v>
      </c>
      <c r="I547" s="49">
        <v>0.87</v>
      </c>
      <c r="J547" s="44">
        <v>26.7</v>
      </c>
      <c r="K547" s="48">
        <v>12121.77</v>
      </c>
      <c r="L547" s="48">
        <v>-18078.37</v>
      </c>
      <c r="M547" s="44">
        <v>0</v>
      </c>
    </row>
    <row r="548" spans="1:13" ht="15" customHeight="1" x14ac:dyDescent="0.3">
      <c r="A548" s="44" t="s">
        <v>1172</v>
      </c>
      <c r="B548" s="46">
        <v>9502</v>
      </c>
      <c r="C548" s="47">
        <v>0.20599999999999999</v>
      </c>
      <c r="D548" s="44">
        <v>60</v>
      </c>
      <c r="E548" s="44" t="s">
        <v>36</v>
      </c>
      <c r="F548" s="44" t="s">
        <v>60</v>
      </c>
      <c r="G548" s="44">
        <v>140986</v>
      </c>
      <c r="H548" s="49">
        <v>0.44</v>
      </c>
      <c r="I548" s="49">
        <v>0.77</v>
      </c>
      <c r="J548" s="44">
        <v>26.7</v>
      </c>
      <c r="K548" s="48">
        <v>9787.06</v>
      </c>
      <c r="L548" s="48">
        <v>-6998.73</v>
      </c>
      <c r="M548" s="44">
        <v>0</v>
      </c>
    </row>
    <row r="549" spans="1:13" ht="15" customHeight="1" x14ac:dyDescent="0.3">
      <c r="A549" s="38" t="s">
        <v>1174</v>
      </c>
      <c r="B549" s="40">
        <v>25363</v>
      </c>
      <c r="C549" s="41">
        <v>9.4E-2</v>
      </c>
      <c r="D549" s="38">
        <v>36</v>
      </c>
      <c r="E549" s="38" t="s">
        <v>35</v>
      </c>
      <c r="F549" s="38" t="s">
        <v>80</v>
      </c>
      <c r="G549" s="38">
        <v>72043</v>
      </c>
      <c r="H549" s="43">
        <v>0.16</v>
      </c>
      <c r="I549" s="43">
        <v>0.52</v>
      </c>
      <c r="J549" s="38">
        <v>26.5</v>
      </c>
      <c r="K549" s="42">
        <v>7152.366</v>
      </c>
      <c r="L549" s="42">
        <v>2384.12</v>
      </c>
      <c r="M549" s="38">
        <v>0</v>
      </c>
    </row>
    <row r="550" spans="1:13" ht="15" customHeight="1" x14ac:dyDescent="0.3">
      <c r="A550" s="38" t="s">
        <v>1176</v>
      </c>
      <c r="B550" s="40">
        <v>6445</v>
      </c>
      <c r="C550" s="41">
        <v>0.20899999999999999</v>
      </c>
      <c r="D550" s="38">
        <v>36</v>
      </c>
      <c r="E550" s="38" t="s">
        <v>35</v>
      </c>
      <c r="F550" s="38" t="s">
        <v>83</v>
      </c>
      <c r="G550" s="38">
        <v>69850</v>
      </c>
      <c r="H550" s="43">
        <v>0.11</v>
      </c>
      <c r="I550" s="43">
        <v>0.75</v>
      </c>
      <c r="J550" s="38">
        <v>26.5</v>
      </c>
      <c r="K550" s="42">
        <v>4041.0149999999999</v>
      </c>
      <c r="L550" s="42">
        <v>1347</v>
      </c>
      <c r="M550" s="38">
        <v>0</v>
      </c>
    </row>
    <row r="551" spans="1:13" ht="15" customHeight="1" x14ac:dyDescent="0.3">
      <c r="A551" s="38" t="s">
        <v>1178</v>
      </c>
      <c r="B551" s="40">
        <v>35084</v>
      </c>
      <c r="C551" s="41">
        <v>0.17899999999999999</v>
      </c>
      <c r="D551" s="38">
        <v>36</v>
      </c>
      <c r="E551" s="38" t="s">
        <v>35</v>
      </c>
      <c r="F551" s="38" t="s">
        <v>114</v>
      </c>
      <c r="G551" s="38">
        <v>105476</v>
      </c>
      <c r="H551" s="43">
        <v>0.11</v>
      </c>
      <c r="I551" s="43">
        <v>0.68</v>
      </c>
      <c r="J551" s="38">
        <v>26.5</v>
      </c>
      <c r="K551" s="42">
        <v>18840.108</v>
      </c>
      <c r="L551" s="42">
        <v>6280.04</v>
      </c>
      <c r="M551" s="38">
        <v>0</v>
      </c>
    </row>
    <row r="552" spans="1:13" ht="15" customHeight="1" x14ac:dyDescent="0.3">
      <c r="A552" s="56" t="s">
        <v>1180</v>
      </c>
      <c r="B552" s="58">
        <v>28083</v>
      </c>
      <c r="C552" s="59">
        <v>0.20100000000000001</v>
      </c>
      <c r="D552" s="56">
        <v>36</v>
      </c>
      <c r="E552" s="56" t="s">
        <v>37</v>
      </c>
      <c r="F552" s="56" t="s">
        <v>60</v>
      </c>
      <c r="G552" s="56">
        <v>82113</v>
      </c>
      <c r="H552" s="61">
        <v>0.43</v>
      </c>
      <c r="I552" s="61">
        <v>0.52</v>
      </c>
      <c r="J552" s="56">
        <v>26.4</v>
      </c>
      <c r="K552" s="60">
        <v>16934.048999999999</v>
      </c>
      <c r="L552" s="60">
        <v>-19280.89</v>
      </c>
      <c r="M552" s="56">
        <v>1</v>
      </c>
    </row>
    <row r="553" spans="1:13" ht="15" customHeight="1" x14ac:dyDescent="0.3">
      <c r="A553" s="38" t="s">
        <v>1182</v>
      </c>
      <c r="B553" s="40">
        <v>32860</v>
      </c>
      <c r="C553" s="41">
        <v>0.10299999999999999</v>
      </c>
      <c r="D553" s="38">
        <v>36</v>
      </c>
      <c r="E553" s="38" t="s">
        <v>35</v>
      </c>
      <c r="F553" s="38" t="s">
        <v>60</v>
      </c>
      <c r="G553" s="38">
        <v>130315</v>
      </c>
      <c r="H553" s="43">
        <v>0.27</v>
      </c>
      <c r="I553" s="43">
        <v>0.65</v>
      </c>
      <c r="J553" s="38">
        <v>26.4</v>
      </c>
      <c r="K553" s="42">
        <v>10153.74</v>
      </c>
      <c r="L553" s="42">
        <v>3384.58</v>
      </c>
      <c r="M553" s="38">
        <v>0</v>
      </c>
    </row>
    <row r="554" spans="1:13" ht="15" customHeight="1" x14ac:dyDescent="0.3">
      <c r="A554" s="38" t="s">
        <v>1184</v>
      </c>
      <c r="B554" s="40">
        <v>28570</v>
      </c>
      <c r="C554" s="41">
        <v>8.8999999999999996E-2</v>
      </c>
      <c r="D554" s="38">
        <v>36</v>
      </c>
      <c r="E554" s="38" t="s">
        <v>35</v>
      </c>
      <c r="F554" s="38" t="s">
        <v>60</v>
      </c>
      <c r="G554" s="38">
        <v>93185</v>
      </c>
      <c r="H554" s="43">
        <v>0.23</v>
      </c>
      <c r="I554" s="43">
        <v>0.74</v>
      </c>
      <c r="J554" s="38">
        <v>26.4</v>
      </c>
      <c r="K554" s="42">
        <v>7628.19</v>
      </c>
      <c r="L554" s="42">
        <v>2542.73</v>
      </c>
      <c r="M554" s="38">
        <v>0</v>
      </c>
    </row>
    <row r="555" spans="1:13" ht="15" customHeight="1" x14ac:dyDescent="0.3">
      <c r="A555" s="44" t="s">
        <v>1186</v>
      </c>
      <c r="B555" s="46">
        <v>28961</v>
      </c>
      <c r="C555" s="47">
        <v>5.8999999999999997E-2</v>
      </c>
      <c r="D555" s="44">
        <v>36</v>
      </c>
      <c r="E555" s="44" t="s">
        <v>36</v>
      </c>
      <c r="F555" s="44" t="s">
        <v>80</v>
      </c>
      <c r="G555" s="44">
        <v>62101</v>
      </c>
      <c r="H555" s="49">
        <v>0.39</v>
      </c>
      <c r="I555" s="49">
        <v>0.78</v>
      </c>
      <c r="J555" s="44">
        <v>26.4</v>
      </c>
      <c r="K555" s="48">
        <v>5126.0969999999998</v>
      </c>
      <c r="L555" s="48">
        <v>-27418.86</v>
      </c>
      <c r="M555" s="44">
        <v>0</v>
      </c>
    </row>
    <row r="556" spans="1:13" ht="15" customHeight="1" x14ac:dyDescent="0.3">
      <c r="A556" s="38" t="s">
        <v>1188</v>
      </c>
      <c r="B556" s="40">
        <v>3396</v>
      </c>
      <c r="C556" s="41">
        <v>9.7000000000000003E-2</v>
      </c>
      <c r="D556" s="38">
        <v>36</v>
      </c>
      <c r="E556" s="38" t="s">
        <v>35</v>
      </c>
      <c r="F556" s="38" t="s">
        <v>83</v>
      </c>
      <c r="G556" s="38">
        <v>140942</v>
      </c>
      <c r="H556" s="43">
        <v>0.34</v>
      </c>
      <c r="I556" s="43">
        <v>0.83</v>
      </c>
      <c r="J556" s="38">
        <v>26.3</v>
      </c>
      <c r="K556" s="42">
        <v>988.23599999999999</v>
      </c>
      <c r="L556" s="42">
        <v>329.41</v>
      </c>
      <c r="M556" s="38">
        <v>0</v>
      </c>
    </row>
    <row r="557" spans="1:13" ht="15" customHeight="1" x14ac:dyDescent="0.3">
      <c r="A557" s="44" t="s">
        <v>1190</v>
      </c>
      <c r="B557" s="46">
        <v>25557</v>
      </c>
      <c r="C557" s="47">
        <v>7.3999999999999996E-2</v>
      </c>
      <c r="D557" s="44">
        <v>36</v>
      </c>
      <c r="E557" s="44" t="s">
        <v>36</v>
      </c>
      <c r="F557" s="44" t="s">
        <v>83</v>
      </c>
      <c r="G557" s="44">
        <v>144444</v>
      </c>
      <c r="H557" s="49">
        <v>0.45</v>
      </c>
      <c r="I557" s="49">
        <v>0.73</v>
      </c>
      <c r="J557" s="44">
        <v>26.3</v>
      </c>
      <c r="K557" s="48">
        <v>5673.6540000000005</v>
      </c>
      <c r="L557" s="48">
        <v>-21491.18</v>
      </c>
      <c r="M557" s="44">
        <v>0</v>
      </c>
    </row>
    <row r="558" spans="1:13" ht="15" customHeight="1" x14ac:dyDescent="0.3">
      <c r="A558" s="38" t="s">
        <v>1192</v>
      </c>
      <c r="B558" s="40">
        <v>26169</v>
      </c>
      <c r="C558" s="41">
        <v>0.25</v>
      </c>
      <c r="D558" s="38">
        <v>36</v>
      </c>
      <c r="E558" s="38" t="s">
        <v>35</v>
      </c>
      <c r="F558" s="38" t="s">
        <v>66</v>
      </c>
      <c r="G558" s="38">
        <v>142086</v>
      </c>
      <c r="H558" s="43">
        <v>0.12</v>
      </c>
      <c r="I558" s="43">
        <v>0.61</v>
      </c>
      <c r="J558" s="38">
        <v>26.3</v>
      </c>
      <c r="K558" s="42">
        <v>19626.75</v>
      </c>
      <c r="L558" s="42">
        <v>6542.25</v>
      </c>
      <c r="M558" s="38">
        <v>0</v>
      </c>
    </row>
    <row r="559" spans="1:13" ht="15" customHeight="1" x14ac:dyDescent="0.3">
      <c r="A559" s="44" t="s">
        <v>1194</v>
      </c>
      <c r="B559" s="46">
        <v>9429</v>
      </c>
      <c r="C559" s="47">
        <v>0.245</v>
      </c>
      <c r="D559" s="44">
        <v>60</v>
      </c>
      <c r="E559" s="44" t="s">
        <v>36</v>
      </c>
      <c r="F559" s="44" t="s">
        <v>80</v>
      </c>
      <c r="G559" s="44">
        <v>95785</v>
      </c>
      <c r="H559" s="49">
        <v>0.4</v>
      </c>
      <c r="I559" s="49">
        <v>0.71</v>
      </c>
      <c r="J559" s="44">
        <v>26.2</v>
      </c>
      <c r="K559" s="48">
        <v>11550.525</v>
      </c>
      <c r="L559" s="48">
        <v>-5569.49</v>
      </c>
      <c r="M559" s="44">
        <v>0</v>
      </c>
    </row>
    <row r="560" spans="1:13" ht="15" customHeight="1" x14ac:dyDescent="0.3">
      <c r="A560" s="44" t="s">
        <v>1196</v>
      </c>
      <c r="B560" s="46">
        <v>28117</v>
      </c>
      <c r="C560" s="47">
        <v>0.24399999999999999</v>
      </c>
      <c r="D560" s="44">
        <v>60</v>
      </c>
      <c r="E560" s="44" t="s">
        <v>36</v>
      </c>
      <c r="F560" s="44" t="s">
        <v>60</v>
      </c>
      <c r="G560" s="44">
        <v>77574</v>
      </c>
      <c r="H560" s="49">
        <v>0.23</v>
      </c>
      <c r="I560" s="49">
        <v>0.72</v>
      </c>
      <c r="J560" s="44">
        <v>26.2</v>
      </c>
      <c r="K560" s="48">
        <v>34302.74</v>
      </c>
      <c r="L560" s="48">
        <v>-15409.35</v>
      </c>
      <c r="M560" s="44">
        <v>0</v>
      </c>
    </row>
    <row r="561" spans="1:13" ht="15" customHeight="1" x14ac:dyDescent="0.3">
      <c r="A561" s="44" t="s">
        <v>1198</v>
      </c>
      <c r="B561" s="46">
        <v>31811</v>
      </c>
      <c r="C561" s="47">
        <v>9.7000000000000003E-2</v>
      </c>
      <c r="D561" s="44">
        <v>60</v>
      </c>
      <c r="E561" s="44" t="s">
        <v>36</v>
      </c>
      <c r="F561" s="44" t="s">
        <v>60</v>
      </c>
      <c r="G561" s="44">
        <v>124386</v>
      </c>
      <c r="H561" s="49">
        <v>0.48</v>
      </c>
      <c r="I561" s="49">
        <v>0.63</v>
      </c>
      <c r="J561" s="44">
        <v>26.2</v>
      </c>
      <c r="K561" s="48">
        <v>15428.334999999999</v>
      </c>
      <c r="L561" s="48">
        <v>-17018.759999999998</v>
      </c>
      <c r="M561" s="44">
        <v>0</v>
      </c>
    </row>
    <row r="562" spans="1:13" ht="15" customHeight="1" x14ac:dyDescent="0.3">
      <c r="A562" s="38" t="s">
        <v>1200</v>
      </c>
      <c r="B562" s="40">
        <v>30984</v>
      </c>
      <c r="C562" s="41">
        <v>0.20899999999999999</v>
      </c>
      <c r="D562" s="38">
        <v>60</v>
      </c>
      <c r="E562" s="38" t="s">
        <v>35</v>
      </c>
      <c r="F562" s="38" t="s">
        <v>83</v>
      </c>
      <c r="G562" s="38">
        <v>64812</v>
      </c>
      <c r="H562" s="43">
        <v>0.44</v>
      </c>
      <c r="I562" s="43">
        <v>0.59</v>
      </c>
      <c r="J562" s="38">
        <v>26.2</v>
      </c>
      <c r="K562" s="42">
        <v>32378.28</v>
      </c>
      <c r="L562" s="42">
        <v>6475.66</v>
      </c>
      <c r="M562" s="38">
        <v>0</v>
      </c>
    </row>
    <row r="563" spans="1:13" ht="15" customHeight="1" x14ac:dyDescent="0.3">
      <c r="A563" s="44" t="s">
        <v>1202</v>
      </c>
      <c r="B563" s="46">
        <v>30430</v>
      </c>
      <c r="C563" s="47">
        <v>0.183</v>
      </c>
      <c r="D563" s="44">
        <v>60</v>
      </c>
      <c r="E563" s="44" t="s">
        <v>36</v>
      </c>
      <c r="F563" s="44" t="s">
        <v>114</v>
      </c>
      <c r="G563" s="44">
        <v>57216</v>
      </c>
      <c r="H563" s="49">
        <v>0.41</v>
      </c>
      <c r="I563" s="49">
        <v>0.67</v>
      </c>
      <c r="J563" s="44">
        <v>26.2</v>
      </c>
      <c r="K563" s="48">
        <v>27843.45</v>
      </c>
      <c r="L563" s="48">
        <v>-23545.21</v>
      </c>
      <c r="M563" s="44">
        <v>0</v>
      </c>
    </row>
    <row r="564" spans="1:13" ht="15" customHeight="1" x14ac:dyDescent="0.3">
      <c r="A564" s="38" t="s">
        <v>1204</v>
      </c>
      <c r="B564" s="40">
        <v>32367</v>
      </c>
      <c r="C564" s="41">
        <v>0.13</v>
      </c>
      <c r="D564" s="38">
        <v>36</v>
      </c>
      <c r="E564" s="38" t="s">
        <v>35</v>
      </c>
      <c r="F564" s="38" t="s">
        <v>66</v>
      </c>
      <c r="G564" s="38">
        <v>81257</v>
      </c>
      <c r="H564" s="43">
        <v>0.42</v>
      </c>
      <c r="I564" s="43">
        <v>0.76</v>
      </c>
      <c r="J564" s="38">
        <v>26.1</v>
      </c>
      <c r="K564" s="42">
        <v>12623.13</v>
      </c>
      <c r="L564" s="42">
        <v>4207.71</v>
      </c>
      <c r="M564" s="38">
        <v>0</v>
      </c>
    </row>
    <row r="565" spans="1:13" ht="15" customHeight="1" x14ac:dyDescent="0.3">
      <c r="A565" s="44" t="s">
        <v>1206</v>
      </c>
      <c r="B565" s="46">
        <v>15437</v>
      </c>
      <c r="C565" s="47">
        <v>0.215</v>
      </c>
      <c r="D565" s="44">
        <v>60</v>
      </c>
      <c r="E565" s="44" t="s">
        <v>36</v>
      </c>
      <c r="F565" s="44" t="s">
        <v>60</v>
      </c>
      <c r="G565" s="44">
        <v>136651</v>
      </c>
      <c r="H565" s="49">
        <v>0.4</v>
      </c>
      <c r="I565" s="49">
        <v>0.69</v>
      </c>
      <c r="J565" s="44">
        <v>26.1</v>
      </c>
      <c r="K565" s="48">
        <v>16594.775000000001</v>
      </c>
      <c r="L565" s="48">
        <v>-11169.4</v>
      </c>
      <c r="M565" s="44">
        <v>0</v>
      </c>
    </row>
    <row r="566" spans="1:13" ht="15" customHeight="1" x14ac:dyDescent="0.3">
      <c r="A566" s="38" t="s">
        <v>1208</v>
      </c>
      <c r="B566" s="40">
        <v>31620</v>
      </c>
      <c r="C566" s="41">
        <v>0.24</v>
      </c>
      <c r="D566" s="38">
        <v>36</v>
      </c>
      <c r="E566" s="38" t="s">
        <v>35</v>
      </c>
      <c r="F566" s="38" t="s">
        <v>66</v>
      </c>
      <c r="G566" s="38">
        <v>137173</v>
      </c>
      <c r="H566" s="43">
        <v>0.43</v>
      </c>
      <c r="I566" s="43">
        <v>0.56000000000000005</v>
      </c>
      <c r="J566" s="38">
        <v>26.1</v>
      </c>
      <c r="K566" s="42">
        <v>22766.400000000001</v>
      </c>
      <c r="L566" s="42">
        <v>7588.8</v>
      </c>
      <c r="M566" s="38">
        <v>0</v>
      </c>
    </row>
    <row r="567" spans="1:13" ht="15" customHeight="1" x14ac:dyDescent="0.3">
      <c r="A567" s="38" t="s">
        <v>1210</v>
      </c>
      <c r="B567" s="40">
        <v>15716</v>
      </c>
      <c r="C567" s="41">
        <v>0.06</v>
      </c>
      <c r="D567" s="38">
        <v>36</v>
      </c>
      <c r="E567" s="38" t="s">
        <v>35</v>
      </c>
      <c r="F567" s="38" t="s">
        <v>80</v>
      </c>
      <c r="G567" s="38">
        <v>49309</v>
      </c>
      <c r="H567" s="43">
        <v>0.22</v>
      </c>
      <c r="I567" s="43">
        <v>0.53</v>
      </c>
      <c r="J567" s="38">
        <v>26.1</v>
      </c>
      <c r="K567" s="42">
        <v>2828.88</v>
      </c>
      <c r="L567" s="42">
        <v>942.95999999999901</v>
      </c>
      <c r="M567" s="38">
        <v>0</v>
      </c>
    </row>
    <row r="568" spans="1:13" ht="15" customHeight="1" x14ac:dyDescent="0.3">
      <c r="A568" s="38" t="s">
        <v>1212</v>
      </c>
      <c r="B568" s="40">
        <v>37059</v>
      </c>
      <c r="C568" s="41">
        <v>7.0000000000000007E-2</v>
      </c>
      <c r="D568" s="38">
        <v>60</v>
      </c>
      <c r="E568" s="38" t="s">
        <v>35</v>
      </c>
      <c r="F568" s="38" t="s">
        <v>60</v>
      </c>
      <c r="G568" s="38">
        <v>59437</v>
      </c>
      <c r="H568" s="43">
        <v>0.21</v>
      </c>
      <c r="I568" s="43">
        <v>0.54</v>
      </c>
      <c r="J568" s="38">
        <v>26.1</v>
      </c>
      <c r="K568" s="42">
        <v>12970.65</v>
      </c>
      <c r="L568" s="42">
        <v>2594.13</v>
      </c>
      <c r="M568" s="38">
        <v>0</v>
      </c>
    </row>
    <row r="569" spans="1:13" ht="15" customHeight="1" x14ac:dyDescent="0.3">
      <c r="A569" s="38" t="s">
        <v>1214</v>
      </c>
      <c r="B569" s="40">
        <v>18778</v>
      </c>
      <c r="C569" s="41">
        <v>0.17100000000000001</v>
      </c>
      <c r="D569" s="38">
        <v>60</v>
      </c>
      <c r="E569" s="38" t="s">
        <v>35</v>
      </c>
      <c r="F569" s="38" t="s">
        <v>83</v>
      </c>
      <c r="G569" s="38">
        <v>49583</v>
      </c>
      <c r="H569" s="43">
        <v>0.11</v>
      </c>
      <c r="I569" s="43">
        <v>0.66</v>
      </c>
      <c r="J569" s="38">
        <v>26.1</v>
      </c>
      <c r="K569" s="42">
        <v>16055.19</v>
      </c>
      <c r="L569" s="42">
        <v>3211.04</v>
      </c>
      <c r="M569" s="38">
        <v>0</v>
      </c>
    </row>
    <row r="570" spans="1:13" ht="15" customHeight="1" x14ac:dyDescent="0.3">
      <c r="A570" s="50" t="s">
        <v>1216</v>
      </c>
      <c r="B570" s="52">
        <v>13677</v>
      </c>
      <c r="C570" s="53">
        <v>0.19700000000000001</v>
      </c>
      <c r="D570" s="50">
        <v>36</v>
      </c>
      <c r="E570" s="50" t="s">
        <v>38</v>
      </c>
      <c r="F570" s="50" t="s">
        <v>80</v>
      </c>
      <c r="G570" s="50">
        <v>108484</v>
      </c>
      <c r="H570" s="55">
        <v>0.38</v>
      </c>
      <c r="I570" s="55">
        <v>0.6</v>
      </c>
      <c r="J570" s="50">
        <v>26</v>
      </c>
      <c r="K570" s="54">
        <v>8083.107</v>
      </c>
      <c r="L570" s="54">
        <v>-13677</v>
      </c>
      <c r="M570" s="50">
        <v>1</v>
      </c>
    </row>
    <row r="571" spans="1:13" ht="15" customHeight="1" x14ac:dyDescent="0.3">
      <c r="A571" s="50" t="s">
        <v>1218</v>
      </c>
      <c r="B571" s="52">
        <v>38873</v>
      </c>
      <c r="C571" s="53">
        <v>0.156</v>
      </c>
      <c r="D571" s="50">
        <v>36</v>
      </c>
      <c r="E571" s="50" t="s">
        <v>38</v>
      </c>
      <c r="F571" s="50" t="s">
        <v>60</v>
      </c>
      <c r="G571" s="50">
        <v>106537</v>
      </c>
      <c r="H571" s="55">
        <v>0.25</v>
      </c>
      <c r="I571" s="55">
        <v>0.62</v>
      </c>
      <c r="J571" s="50">
        <v>25.9</v>
      </c>
      <c r="K571" s="54">
        <v>18192.563999999998</v>
      </c>
      <c r="L571" s="54">
        <v>-38873</v>
      </c>
      <c r="M571" s="50">
        <v>1</v>
      </c>
    </row>
    <row r="572" spans="1:13" ht="15" customHeight="1" x14ac:dyDescent="0.3">
      <c r="A572" s="50" t="s">
        <v>1220</v>
      </c>
      <c r="B572" s="52">
        <v>13803</v>
      </c>
      <c r="C572" s="53">
        <v>0.13900000000000001</v>
      </c>
      <c r="D572" s="50">
        <v>36</v>
      </c>
      <c r="E572" s="50" t="s">
        <v>38</v>
      </c>
      <c r="F572" s="50" t="s">
        <v>60</v>
      </c>
      <c r="G572" s="50">
        <v>48263</v>
      </c>
      <c r="H572" s="55">
        <v>0.37</v>
      </c>
      <c r="I572" s="55">
        <v>0.93</v>
      </c>
      <c r="J572" s="50">
        <v>25.9</v>
      </c>
      <c r="K572" s="54">
        <v>5755.8509999999997</v>
      </c>
      <c r="L572" s="54">
        <v>-13803</v>
      </c>
      <c r="M572" s="50">
        <v>1</v>
      </c>
    </row>
    <row r="573" spans="1:13" ht="15" customHeight="1" x14ac:dyDescent="0.3">
      <c r="A573" s="38" t="s">
        <v>1222</v>
      </c>
      <c r="B573" s="40">
        <v>26619</v>
      </c>
      <c r="C573" s="41">
        <v>0.17</v>
      </c>
      <c r="D573" s="38">
        <v>60</v>
      </c>
      <c r="E573" s="38" t="s">
        <v>35</v>
      </c>
      <c r="F573" s="38" t="s">
        <v>60</v>
      </c>
      <c r="G573" s="38">
        <v>64700</v>
      </c>
      <c r="H573" s="43">
        <v>0.34</v>
      </c>
      <c r="I573" s="43">
        <v>0.8</v>
      </c>
      <c r="J573" s="38">
        <v>25.9</v>
      </c>
      <c r="K573" s="42">
        <v>22626.15</v>
      </c>
      <c r="L573" s="42">
        <v>4525.2299999999996</v>
      </c>
      <c r="M573" s="38">
        <v>0</v>
      </c>
    </row>
    <row r="574" spans="1:13" ht="15" customHeight="1" x14ac:dyDescent="0.3">
      <c r="A574" s="38" t="s">
        <v>1224</v>
      </c>
      <c r="B574" s="40">
        <v>20342</v>
      </c>
      <c r="C574" s="41">
        <v>0.14399999999999999</v>
      </c>
      <c r="D574" s="38">
        <v>60</v>
      </c>
      <c r="E574" s="38" t="s">
        <v>35</v>
      </c>
      <c r="F574" s="38" t="s">
        <v>66</v>
      </c>
      <c r="G574" s="38">
        <v>53906</v>
      </c>
      <c r="H574" s="43">
        <v>0.24</v>
      </c>
      <c r="I574" s="43">
        <v>0.55000000000000004</v>
      </c>
      <c r="J574" s="38">
        <v>25.8</v>
      </c>
      <c r="K574" s="42">
        <v>14646.24</v>
      </c>
      <c r="L574" s="42">
        <v>2929.25</v>
      </c>
      <c r="M574" s="38">
        <v>0</v>
      </c>
    </row>
    <row r="575" spans="1:13" ht="15" customHeight="1" x14ac:dyDescent="0.3">
      <c r="A575" s="44" t="s">
        <v>1226</v>
      </c>
      <c r="B575" s="46">
        <v>21581</v>
      </c>
      <c r="C575" s="47">
        <v>0.223</v>
      </c>
      <c r="D575" s="44">
        <v>60</v>
      </c>
      <c r="E575" s="44" t="s">
        <v>36</v>
      </c>
      <c r="F575" s="44" t="s">
        <v>83</v>
      </c>
      <c r="G575" s="44">
        <v>96798</v>
      </c>
      <c r="H575" s="49">
        <v>0.15</v>
      </c>
      <c r="I575" s="49">
        <v>0.93</v>
      </c>
      <c r="J575" s="44">
        <v>25.8</v>
      </c>
      <c r="K575" s="48">
        <v>24062.814999999999</v>
      </c>
      <c r="L575" s="48">
        <v>-16770.87</v>
      </c>
      <c r="M575" s="44">
        <v>0</v>
      </c>
    </row>
    <row r="576" spans="1:13" ht="15" customHeight="1" x14ac:dyDescent="0.3">
      <c r="A576" s="44" t="s">
        <v>1228</v>
      </c>
      <c r="B576" s="46">
        <v>27928</v>
      </c>
      <c r="C576" s="47">
        <v>0.10100000000000001</v>
      </c>
      <c r="D576" s="44">
        <v>36</v>
      </c>
      <c r="E576" s="44" t="s">
        <v>36</v>
      </c>
      <c r="F576" s="44" t="s">
        <v>60</v>
      </c>
      <c r="G576" s="44">
        <v>36587</v>
      </c>
      <c r="H576" s="49">
        <v>0.1</v>
      </c>
      <c r="I576" s="49">
        <v>0.57999999999999996</v>
      </c>
      <c r="J576" s="44">
        <v>25.8</v>
      </c>
      <c r="K576" s="48">
        <v>8462.1839999999993</v>
      </c>
      <c r="L576" s="48">
        <v>-19242.87</v>
      </c>
      <c r="M576" s="44">
        <v>0</v>
      </c>
    </row>
    <row r="577" spans="1:13" ht="15" customHeight="1" x14ac:dyDescent="0.3">
      <c r="A577" s="38" t="s">
        <v>1230</v>
      </c>
      <c r="B577" s="40">
        <v>14507</v>
      </c>
      <c r="C577" s="41">
        <v>0.23899999999999999</v>
      </c>
      <c r="D577" s="38">
        <v>60</v>
      </c>
      <c r="E577" s="38" t="s">
        <v>35</v>
      </c>
      <c r="F577" s="38" t="s">
        <v>80</v>
      </c>
      <c r="G577" s="38">
        <v>98798</v>
      </c>
      <c r="H577" s="43">
        <v>0.5</v>
      </c>
      <c r="I577" s="43">
        <v>0.55000000000000004</v>
      </c>
      <c r="J577" s="38">
        <v>25.6</v>
      </c>
      <c r="K577" s="42">
        <v>17335.865000000002</v>
      </c>
      <c r="L577" s="42">
        <v>3467.17</v>
      </c>
      <c r="M577" s="38">
        <v>0</v>
      </c>
    </row>
    <row r="578" spans="1:13" ht="15" customHeight="1" x14ac:dyDescent="0.3">
      <c r="A578" s="38" t="s">
        <v>1232</v>
      </c>
      <c r="B578" s="40">
        <v>24510</v>
      </c>
      <c r="C578" s="41">
        <v>5.1999999999999998E-2</v>
      </c>
      <c r="D578" s="38">
        <v>36</v>
      </c>
      <c r="E578" s="38" t="s">
        <v>35</v>
      </c>
      <c r="F578" s="38" t="s">
        <v>71</v>
      </c>
      <c r="G578" s="38">
        <v>92522</v>
      </c>
      <c r="H578" s="43">
        <v>0.43</v>
      </c>
      <c r="I578" s="43">
        <v>0.7</v>
      </c>
      <c r="J578" s="38">
        <v>25.6</v>
      </c>
      <c r="K578" s="42">
        <v>3823.56</v>
      </c>
      <c r="L578" s="42">
        <v>1274.52</v>
      </c>
      <c r="M578" s="38">
        <v>0</v>
      </c>
    </row>
    <row r="579" spans="1:13" ht="15" customHeight="1" x14ac:dyDescent="0.3">
      <c r="A579" s="38" t="s">
        <v>1234</v>
      </c>
      <c r="B579" s="40">
        <v>28208</v>
      </c>
      <c r="C579" s="41">
        <v>0.24399999999999999</v>
      </c>
      <c r="D579" s="38">
        <v>60</v>
      </c>
      <c r="E579" s="38" t="s">
        <v>35</v>
      </c>
      <c r="F579" s="38" t="s">
        <v>83</v>
      </c>
      <c r="G579" s="38">
        <v>45916</v>
      </c>
      <c r="H579" s="43">
        <v>0.36</v>
      </c>
      <c r="I579" s="43">
        <v>0.89</v>
      </c>
      <c r="J579" s="38">
        <v>25.6</v>
      </c>
      <c r="K579" s="42">
        <v>34413.760000000002</v>
      </c>
      <c r="L579" s="42">
        <v>6882.75</v>
      </c>
      <c r="M579" s="38">
        <v>0</v>
      </c>
    </row>
    <row r="580" spans="1:13" ht="15" customHeight="1" x14ac:dyDescent="0.3">
      <c r="A580" s="50" t="s">
        <v>1236</v>
      </c>
      <c r="B580" s="52">
        <v>23641</v>
      </c>
      <c r="C580" s="53">
        <v>0.125</v>
      </c>
      <c r="D580" s="50">
        <v>60</v>
      </c>
      <c r="E580" s="50" t="s">
        <v>38</v>
      </c>
      <c r="F580" s="50" t="s">
        <v>66</v>
      </c>
      <c r="G580" s="50">
        <v>99783</v>
      </c>
      <c r="H580" s="55">
        <v>0.47</v>
      </c>
      <c r="I580" s="55">
        <v>0.72</v>
      </c>
      <c r="J580" s="50">
        <v>25.6</v>
      </c>
      <c r="K580" s="54">
        <v>14775.625</v>
      </c>
      <c r="L580" s="54">
        <v>-23641</v>
      </c>
      <c r="M580" s="50">
        <v>1</v>
      </c>
    </row>
    <row r="581" spans="1:13" ht="15" customHeight="1" x14ac:dyDescent="0.3">
      <c r="A581" s="38" t="s">
        <v>1238</v>
      </c>
      <c r="B581" s="40">
        <v>9820</v>
      </c>
      <c r="C581" s="41">
        <v>0.17199999999999999</v>
      </c>
      <c r="D581" s="38">
        <v>36</v>
      </c>
      <c r="E581" s="38" t="s">
        <v>35</v>
      </c>
      <c r="F581" s="38" t="s">
        <v>83</v>
      </c>
      <c r="G581" s="38">
        <v>65710</v>
      </c>
      <c r="H581" s="43">
        <v>0.28000000000000003</v>
      </c>
      <c r="I581" s="43">
        <v>0.52</v>
      </c>
      <c r="J581" s="38">
        <v>25.5</v>
      </c>
      <c r="K581" s="42">
        <v>5067.12</v>
      </c>
      <c r="L581" s="42">
        <v>1689.04</v>
      </c>
      <c r="M581" s="38">
        <v>0</v>
      </c>
    </row>
    <row r="582" spans="1:13" ht="15" customHeight="1" x14ac:dyDescent="0.3">
      <c r="A582" s="38" t="s">
        <v>1240</v>
      </c>
      <c r="B582" s="40">
        <v>38114</v>
      </c>
      <c r="C582" s="41">
        <v>7.8E-2</v>
      </c>
      <c r="D582" s="38">
        <v>36</v>
      </c>
      <c r="E582" s="38" t="s">
        <v>35</v>
      </c>
      <c r="F582" s="38" t="s">
        <v>66</v>
      </c>
      <c r="G582" s="38">
        <v>51839</v>
      </c>
      <c r="H582" s="43">
        <v>0.48</v>
      </c>
      <c r="I582" s="43">
        <v>0.51</v>
      </c>
      <c r="J582" s="38">
        <v>25.5</v>
      </c>
      <c r="K582" s="42">
        <v>8918.6759999999995</v>
      </c>
      <c r="L582" s="42">
        <v>2972.89</v>
      </c>
      <c r="M582" s="38">
        <v>0</v>
      </c>
    </row>
    <row r="583" spans="1:13" ht="15" customHeight="1" x14ac:dyDescent="0.3">
      <c r="A583" s="38" t="s">
        <v>1242</v>
      </c>
      <c r="B583" s="40">
        <v>2742</v>
      </c>
      <c r="C583" s="41">
        <v>0.16</v>
      </c>
      <c r="D583" s="38">
        <v>36</v>
      </c>
      <c r="E583" s="38" t="s">
        <v>35</v>
      </c>
      <c r="F583" s="38" t="s">
        <v>80</v>
      </c>
      <c r="G583" s="38">
        <v>41151</v>
      </c>
      <c r="H583" s="43">
        <v>0.2</v>
      </c>
      <c r="I583" s="43">
        <v>0.73</v>
      </c>
      <c r="J583" s="38">
        <v>25.5</v>
      </c>
      <c r="K583" s="42">
        <v>1316.16</v>
      </c>
      <c r="L583" s="42">
        <v>438.72</v>
      </c>
      <c r="M583" s="38">
        <v>0</v>
      </c>
    </row>
    <row r="584" spans="1:13" ht="15" customHeight="1" x14ac:dyDescent="0.3">
      <c r="A584" s="44" t="s">
        <v>1244</v>
      </c>
      <c r="B584" s="46">
        <v>8009</v>
      </c>
      <c r="C584" s="47">
        <v>0.108</v>
      </c>
      <c r="D584" s="44">
        <v>60</v>
      </c>
      <c r="E584" s="44" t="s">
        <v>36</v>
      </c>
      <c r="F584" s="44" t="s">
        <v>80</v>
      </c>
      <c r="G584" s="44">
        <v>100014</v>
      </c>
      <c r="H584" s="49">
        <v>0.42</v>
      </c>
      <c r="I584" s="49">
        <v>0.9</v>
      </c>
      <c r="J584" s="44">
        <v>25.5</v>
      </c>
      <c r="K584" s="48">
        <v>4324.8599999999997</v>
      </c>
      <c r="L584" s="48">
        <v>-5655.59</v>
      </c>
      <c r="M584" s="44">
        <v>0</v>
      </c>
    </row>
    <row r="585" spans="1:13" ht="15" customHeight="1" x14ac:dyDescent="0.3">
      <c r="A585" s="38" t="s">
        <v>1246</v>
      </c>
      <c r="B585" s="40">
        <v>9595</v>
      </c>
      <c r="C585" s="41">
        <v>0.24</v>
      </c>
      <c r="D585" s="38">
        <v>60</v>
      </c>
      <c r="E585" s="38" t="s">
        <v>35</v>
      </c>
      <c r="F585" s="38" t="s">
        <v>60</v>
      </c>
      <c r="G585" s="38">
        <v>48814</v>
      </c>
      <c r="H585" s="43">
        <v>0.18</v>
      </c>
      <c r="I585" s="43">
        <v>0.72</v>
      </c>
      <c r="J585" s="38">
        <v>25.5</v>
      </c>
      <c r="K585" s="42">
        <v>11514</v>
      </c>
      <c r="L585" s="42">
        <v>2302.8000000000002</v>
      </c>
      <c r="M585" s="38">
        <v>0</v>
      </c>
    </row>
    <row r="586" spans="1:13" ht="15" customHeight="1" x14ac:dyDescent="0.3">
      <c r="A586" s="38" t="s">
        <v>1248</v>
      </c>
      <c r="B586" s="40">
        <v>3719</v>
      </c>
      <c r="C586" s="41">
        <v>0.246</v>
      </c>
      <c r="D586" s="38">
        <v>60</v>
      </c>
      <c r="E586" s="38" t="s">
        <v>35</v>
      </c>
      <c r="F586" s="38" t="s">
        <v>83</v>
      </c>
      <c r="G586" s="38">
        <v>47375</v>
      </c>
      <c r="H586" s="43">
        <v>0.38</v>
      </c>
      <c r="I586" s="43">
        <v>0.71</v>
      </c>
      <c r="J586" s="38">
        <v>25.5</v>
      </c>
      <c r="K586" s="42">
        <v>4574.37</v>
      </c>
      <c r="L586" s="42">
        <v>914.87</v>
      </c>
      <c r="M586" s="38">
        <v>0</v>
      </c>
    </row>
    <row r="587" spans="1:13" ht="15" customHeight="1" x14ac:dyDescent="0.3">
      <c r="A587" s="38" t="s">
        <v>1250</v>
      </c>
      <c r="B587" s="40">
        <v>25063</v>
      </c>
      <c r="C587" s="41">
        <v>0.20699999999999999</v>
      </c>
      <c r="D587" s="38">
        <v>36</v>
      </c>
      <c r="E587" s="38" t="s">
        <v>35</v>
      </c>
      <c r="F587" s="38" t="s">
        <v>257</v>
      </c>
      <c r="G587" s="38">
        <v>148094</v>
      </c>
      <c r="H587" s="43">
        <v>0.41</v>
      </c>
      <c r="I587" s="43">
        <v>0.72</v>
      </c>
      <c r="J587" s="38">
        <v>25.4</v>
      </c>
      <c r="K587" s="42">
        <v>15564.123</v>
      </c>
      <c r="L587" s="42">
        <v>5188.04</v>
      </c>
      <c r="M587" s="38">
        <v>0</v>
      </c>
    </row>
    <row r="588" spans="1:13" ht="15" customHeight="1" x14ac:dyDescent="0.3">
      <c r="A588" s="38" t="s">
        <v>1252</v>
      </c>
      <c r="B588" s="40">
        <v>24265</v>
      </c>
      <c r="C588" s="41">
        <v>5.8999999999999997E-2</v>
      </c>
      <c r="D588" s="38">
        <v>36</v>
      </c>
      <c r="E588" s="38" t="s">
        <v>35</v>
      </c>
      <c r="F588" s="38" t="s">
        <v>60</v>
      </c>
      <c r="G588" s="38">
        <v>80357</v>
      </c>
      <c r="H588" s="43">
        <v>0.28000000000000003</v>
      </c>
      <c r="I588" s="43">
        <v>0.51</v>
      </c>
      <c r="J588" s="38">
        <v>25.4</v>
      </c>
      <c r="K588" s="42">
        <v>4294.9049999999997</v>
      </c>
      <c r="L588" s="42">
        <v>1431.64</v>
      </c>
      <c r="M588" s="38">
        <v>0</v>
      </c>
    </row>
    <row r="589" spans="1:13" ht="15" customHeight="1" x14ac:dyDescent="0.3">
      <c r="A589" s="38" t="s">
        <v>1254</v>
      </c>
      <c r="B589" s="40">
        <v>36732</v>
      </c>
      <c r="C589" s="41">
        <v>5.8999999999999997E-2</v>
      </c>
      <c r="D589" s="38">
        <v>60</v>
      </c>
      <c r="E589" s="38" t="s">
        <v>35</v>
      </c>
      <c r="F589" s="38" t="s">
        <v>114</v>
      </c>
      <c r="G589" s="38">
        <v>61508</v>
      </c>
      <c r="H589" s="43">
        <v>0.33</v>
      </c>
      <c r="I589" s="43">
        <v>0.73</v>
      </c>
      <c r="J589" s="38">
        <v>25.4</v>
      </c>
      <c r="K589" s="42">
        <v>10835.94</v>
      </c>
      <c r="L589" s="42">
        <v>2167.19</v>
      </c>
      <c r="M589" s="38">
        <v>0</v>
      </c>
    </row>
    <row r="590" spans="1:13" ht="15" customHeight="1" x14ac:dyDescent="0.3">
      <c r="A590" s="38" t="s">
        <v>1256</v>
      </c>
      <c r="B590" s="40">
        <v>7276</v>
      </c>
      <c r="C590" s="41">
        <v>0.10199999999999999</v>
      </c>
      <c r="D590" s="38">
        <v>36</v>
      </c>
      <c r="E590" s="38" t="s">
        <v>35</v>
      </c>
      <c r="F590" s="38" t="s">
        <v>71</v>
      </c>
      <c r="G590" s="38">
        <v>94729</v>
      </c>
      <c r="H590" s="43">
        <v>0.1</v>
      </c>
      <c r="I590" s="43">
        <v>0.88</v>
      </c>
      <c r="J590" s="38">
        <v>25.4</v>
      </c>
      <c r="K590" s="42">
        <v>2226.4560000000001</v>
      </c>
      <c r="L590" s="42">
        <v>742.15</v>
      </c>
      <c r="M590" s="38">
        <v>0</v>
      </c>
    </row>
    <row r="591" spans="1:13" ht="15" customHeight="1" x14ac:dyDescent="0.3">
      <c r="A591" s="38" t="s">
        <v>1258</v>
      </c>
      <c r="B591" s="40">
        <v>1145</v>
      </c>
      <c r="C591" s="41">
        <v>0.248</v>
      </c>
      <c r="D591" s="38">
        <v>60</v>
      </c>
      <c r="E591" s="38" t="s">
        <v>35</v>
      </c>
      <c r="F591" s="38" t="s">
        <v>60</v>
      </c>
      <c r="G591" s="38">
        <v>75397</v>
      </c>
      <c r="H591" s="43">
        <v>0.3</v>
      </c>
      <c r="I591" s="43">
        <v>0.73</v>
      </c>
      <c r="J591" s="38">
        <v>25.3</v>
      </c>
      <c r="K591" s="42">
        <v>1419.8</v>
      </c>
      <c r="L591" s="42">
        <v>283.95999999999998</v>
      </c>
      <c r="M591" s="38">
        <v>0</v>
      </c>
    </row>
    <row r="592" spans="1:13" ht="15" customHeight="1" x14ac:dyDescent="0.3">
      <c r="A592" s="38" t="s">
        <v>1260</v>
      </c>
      <c r="B592" s="40">
        <v>18343</v>
      </c>
      <c r="C592" s="41">
        <v>7.2999999999999995E-2</v>
      </c>
      <c r="D592" s="38">
        <v>60</v>
      </c>
      <c r="E592" s="38" t="s">
        <v>35</v>
      </c>
      <c r="F592" s="38" t="s">
        <v>66</v>
      </c>
      <c r="G592" s="38">
        <v>49173</v>
      </c>
      <c r="H592" s="43">
        <v>0.3</v>
      </c>
      <c r="I592" s="43">
        <v>0.61</v>
      </c>
      <c r="J592" s="38">
        <v>25.3</v>
      </c>
      <c r="K592" s="42">
        <v>6695.1949999999997</v>
      </c>
      <c r="L592" s="42">
        <v>1339.04</v>
      </c>
      <c r="M592" s="38">
        <v>0</v>
      </c>
    </row>
    <row r="593" spans="1:13" ht="15" customHeight="1" x14ac:dyDescent="0.3">
      <c r="A593" s="56" t="s">
        <v>1262</v>
      </c>
      <c r="B593" s="58">
        <v>16251</v>
      </c>
      <c r="C593" s="59">
        <v>0.13400000000000001</v>
      </c>
      <c r="D593" s="56">
        <v>36</v>
      </c>
      <c r="E593" s="56" t="s">
        <v>37</v>
      </c>
      <c r="F593" s="56" t="s">
        <v>60</v>
      </c>
      <c r="G593" s="56">
        <v>138106</v>
      </c>
      <c r="H593" s="61">
        <v>0.19</v>
      </c>
      <c r="I593" s="61">
        <v>0.91</v>
      </c>
      <c r="J593" s="56">
        <v>25.3</v>
      </c>
      <c r="K593" s="60">
        <v>6532.902</v>
      </c>
      <c r="L593" s="60">
        <v>-14606.31</v>
      </c>
      <c r="M593" s="56">
        <v>1</v>
      </c>
    </row>
    <row r="594" spans="1:13" ht="15" customHeight="1" x14ac:dyDescent="0.3">
      <c r="A594" s="38" t="s">
        <v>1264</v>
      </c>
      <c r="B594" s="40">
        <v>7012</v>
      </c>
      <c r="C594" s="41">
        <v>0.186</v>
      </c>
      <c r="D594" s="38">
        <v>60</v>
      </c>
      <c r="E594" s="38" t="s">
        <v>35</v>
      </c>
      <c r="F594" s="38" t="s">
        <v>114</v>
      </c>
      <c r="G594" s="38">
        <v>131739</v>
      </c>
      <c r="H594" s="43">
        <v>0.34</v>
      </c>
      <c r="I594" s="43">
        <v>0.87</v>
      </c>
      <c r="J594" s="38">
        <v>25.3</v>
      </c>
      <c r="K594" s="42">
        <v>6521.16</v>
      </c>
      <c r="L594" s="42">
        <v>1304.23</v>
      </c>
      <c r="M594" s="38">
        <v>0</v>
      </c>
    </row>
    <row r="595" spans="1:13" ht="15" customHeight="1" x14ac:dyDescent="0.3">
      <c r="A595" s="44" t="s">
        <v>1266</v>
      </c>
      <c r="B595" s="46">
        <v>29087</v>
      </c>
      <c r="C595" s="47">
        <v>0.114</v>
      </c>
      <c r="D595" s="44">
        <v>60</v>
      </c>
      <c r="E595" s="44" t="s">
        <v>36</v>
      </c>
      <c r="F595" s="44" t="s">
        <v>114</v>
      </c>
      <c r="G595" s="44">
        <v>39941</v>
      </c>
      <c r="H595" s="49">
        <v>0.28999999999999998</v>
      </c>
      <c r="I595" s="49">
        <v>0.93</v>
      </c>
      <c r="J595" s="44">
        <v>25.1</v>
      </c>
      <c r="K595" s="48">
        <v>16579.59</v>
      </c>
      <c r="L595" s="48">
        <v>-17327.22</v>
      </c>
      <c r="M595" s="44">
        <v>0</v>
      </c>
    </row>
    <row r="596" spans="1:13" ht="15" customHeight="1" x14ac:dyDescent="0.3">
      <c r="A596" s="38" t="s">
        <v>1268</v>
      </c>
      <c r="B596" s="40">
        <v>20975</v>
      </c>
      <c r="C596" s="41">
        <v>0.14499999999999999</v>
      </c>
      <c r="D596" s="38">
        <v>36</v>
      </c>
      <c r="E596" s="38" t="s">
        <v>35</v>
      </c>
      <c r="F596" s="38" t="s">
        <v>80</v>
      </c>
      <c r="G596" s="38">
        <v>109675</v>
      </c>
      <c r="H596" s="43">
        <v>0.11</v>
      </c>
      <c r="I596" s="43">
        <v>0.71</v>
      </c>
      <c r="J596" s="38">
        <v>25.1</v>
      </c>
      <c r="K596" s="42">
        <v>9124.125</v>
      </c>
      <c r="L596" s="42">
        <v>3041.38</v>
      </c>
      <c r="M596" s="38">
        <v>0</v>
      </c>
    </row>
    <row r="597" spans="1:13" ht="15" customHeight="1" x14ac:dyDescent="0.3">
      <c r="A597" s="38" t="s">
        <v>1270</v>
      </c>
      <c r="B597" s="40">
        <v>26537</v>
      </c>
      <c r="C597" s="41">
        <v>8.5000000000000006E-2</v>
      </c>
      <c r="D597" s="38">
        <v>36</v>
      </c>
      <c r="E597" s="38" t="s">
        <v>35</v>
      </c>
      <c r="F597" s="38" t="s">
        <v>60</v>
      </c>
      <c r="G597" s="38">
        <v>48108</v>
      </c>
      <c r="H597" s="43">
        <v>0.18</v>
      </c>
      <c r="I597" s="43">
        <v>0.5</v>
      </c>
      <c r="J597" s="38">
        <v>25</v>
      </c>
      <c r="K597" s="42">
        <v>6766.9350000000004</v>
      </c>
      <c r="L597" s="42">
        <v>2255.64</v>
      </c>
      <c r="M597" s="38">
        <v>0</v>
      </c>
    </row>
    <row r="598" spans="1:13" ht="15" customHeight="1" x14ac:dyDescent="0.3">
      <c r="A598" s="38" t="s">
        <v>1272</v>
      </c>
      <c r="B598" s="40">
        <v>14919</v>
      </c>
      <c r="C598" s="41">
        <v>8.3000000000000004E-2</v>
      </c>
      <c r="D598" s="38">
        <v>36</v>
      </c>
      <c r="E598" s="38" t="s">
        <v>35</v>
      </c>
      <c r="F598" s="38" t="s">
        <v>257</v>
      </c>
      <c r="G598" s="38">
        <v>102075</v>
      </c>
      <c r="H598" s="43">
        <v>0.25</v>
      </c>
      <c r="I598" s="43">
        <v>0.78</v>
      </c>
      <c r="J598" s="38">
        <v>25</v>
      </c>
      <c r="K598" s="42">
        <v>3714.8310000000001</v>
      </c>
      <c r="L598" s="42">
        <v>1238.28</v>
      </c>
      <c r="M598" s="38">
        <v>0</v>
      </c>
    </row>
    <row r="599" spans="1:13" ht="15" customHeight="1" x14ac:dyDescent="0.3">
      <c r="A599" s="44" t="s">
        <v>1274</v>
      </c>
      <c r="B599" s="46">
        <v>24398</v>
      </c>
      <c r="C599" s="47">
        <v>9.5000000000000001E-2</v>
      </c>
      <c r="D599" s="44">
        <v>60</v>
      </c>
      <c r="E599" s="44" t="s">
        <v>36</v>
      </c>
      <c r="F599" s="44" t="s">
        <v>71</v>
      </c>
      <c r="G599" s="44">
        <v>63998</v>
      </c>
      <c r="H599" s="49">
        <v>0.37</v>
      </c>
      <c r="I599" s="49">
        <v>0.89</v>
      </c>
      <c r="J599" s="44">
        <v>25</v>
      </c>
      <c r="K599" s="48">
        <v>11589.05</v>
      </c>
      <c r="L599" s="48">
        <v>-18452.45</v>
      </c>
      <c r="M599" s="44">
        <v>0</v>
      </c>
    </row>
    <row r="600" spans="1:13" ht="15" customHeight="1" x14ac:dyDescent="0.3">
      <c r="A600" s="44" t="s">
        <v>1276</v>
      </c>
      <c r="B600" s="46">
        <v>38605</v>
      </c>
      <c r="C600" s="47">
        <v>0.16200000000000001</v>
      </c>
      <c r="D600" s="44">
        <v>36</v>
      </c>
      <c r="E600" s="44" t="s">
        <v>36</v>
      </c>
      <c r="F600" s="44" t="s">
        <v>60</v>
      </c>
      <c r="G600" s="44">
        <v>99497</v>
      </c>
      <c r="H600" s="49">
        <v>0.25</v>
      </c>
      <c r="I600" s="49">
        <v>0.76</v>
      </c>
      <c r="J600" s="44">
        <v>25</v>
      </c>
      <c r="K600" s="48">
        <v>18762.03</v>
      </c>
      <c r="L600" s="48">
        <v>-31497.1</v>
      </c>
      <c r="M600" s="44">
        <v>0</v>
      </c>
    </row>
    <row r="601" spans="1:13" ht="15" customHeight="1" x14ac:dyDescent="0.3">
      <c r="A601" s="38" t="s">
        <v>1278</v>
      </c>
      <c r="B601" s="40">
        <v>34130</v>
      </c>
      <c r="C601" s="41">
        <v>0.112</v>
      </c>
      <c r="D601" s="38">
        <v>60</v>
      </c>
      <c r="E601" s="38" t="s">
        <v>35</v>
      </c>
      <c r="F601" s="38" t="s">
        <v>83</v>
      </c>
      <c r="G601" s="38">
        <v>124715</v>
      </c>
      <c r="H601" s="43">
        <v>0.11</v>
      </c>
      <c r="I601" s="43">
        <v>0.71</v>
      </c>
      <c r="J601" s="38">
        <v>25</v>
      </c>
      <c r="K601" s="42">
        <v>19112.8</v>
      </c>
      <c r="L601" s="42">
        <v>3822.56</v>
      </c>
      <c r="M601" s="38">
        <v>0</v>
      </c>
    </row>
    <row r="602" spans="1:13" ht="15" customHeight="1" x14ac:dyDescent="0.3">
      <c r="A602" s="44" t="s">
        <v>1280</v>
      </c>
      <c r="B602" s="46">
        <v>22172</v>
      </c>
      <c r="C602" s="47">
        <v>0.14199999999999999</v>
      </c>
      <c r="D602" s="44">
        <v>60</v>
      </c>
      <c r="E602" s="44" t="s">
        <v>36</v>
      </c>
      <c r="F602" s="44" t="s">
        <v>60</v>
      </c>
      <c r="G602" s="44">
        <v>122910</v>
      </c>
      <c r="H602" s="49">
        <v>0.44</v>
      </c>
      <c r="I602" s="49">
        <v>0.87</v>
      </c>
      <c r="J602" s="44">
        <v>25</v>
      </c>
      <c r="K602" s="48">
        <v>15742.12</v>
      </c>
      <c r="L602" s="48">
        <v>-20040.37</v>
      </c>
      <c r="M602" s="44">
        <v>0</v>
      </c>
    </row>
    <row r="603" spans="1:13" ht="15" customHeight="1" x14ac:dyDescent="0.3">
      <c r="A603" s="38" t="s">
        <v>1282</v>
      </c>
      <c r="B603" s="40">
        <v>36111</v>
      </c>
      <c r="C603" s="41">
        <v>0.14699999999999999</v>
      </c>
      <c r="D603" s="38">
        <v>36</v>
      </c>
      <c r="E603" s="38" t="s">
        <v>35</v>
      </c>
      <c r="F603" s="38" t="s">
        <v>60</v>
      </c>
      <c r="G603" s="38">
        <v>109930</v>
      </c>
      <c r="H603" s="43">
        <v>0.38</v>
      </c>
      <c r="I603" s="43">
        <v>0.74</v>
      </c>
      <c r="J603" s="38">
        <v>24.9</v>
      </c>
      <c r="K603" s="42">
        <v>15924.950999999999</v>
      </c>
      <c r="L603" s="42">
        <v>5308.32</v>
      </c>
      <c r="M603" s="38">
        <v>0</v>
      </c>
    </row>
    <row r="604" spans="1:13" ht="15" customHeight="1" x14ac:dyDescent="0.3">
      <c r="A604" s="50" t="s">
        <v>1284</v>
      </c>
      <c r="B604" s="52">
        <v>11396</v>
      </c>
      <c r="C604" s="53">
        <v>0.214</v>
      </c>
      <c r="D604" s="50">
        <v>36</v>
      </c>
      <c r="E604" s="50" t="s">
        <v>38</v>
      </c>
      <c r="F604" s="50" t="s">
        <v>80</v>
      </c>
      <c r="G604" s="50">
        <v>125040</v>
      </c>
      <c r="H604" s="55">
        <v>0.32</v>
      </c>
      <c r="I604" s="55">
        <v>0.92</v>
      </c>
      <c r="J604" s="50">
        <v>24.9</v>
      </c>
      <c r="K604" s="54">
        <v>7316.232</v>
      </c>
      <c r="L604" s="54">
        <v>-11396</v>
      </c>
      <c r="M604" s="50">
        <v>1</v>
      </c>
    </row>
    <row r="605" spans="1:13" ht="15" customHeight="1" x14ac:dyDescent="0.3">
      <c r="A605" s="44" t="s">
        <v>1286</v>
      </c>
      <c r="B605" s="46">
        <v>23740</v>
      </c>
      <c r="C605" s="47">
        <v>0.113</v>
      </c>
      <c r="D605" s="44">
        <v>36</v>
      </c>
      <c r="E605" s="44" t="s">
        <v>36</v>
      </c>
      <c r="F605" s="44" t="s">
        <v>60</v>
      </c>
      <c r="G605" s="44">
        <v>113639</v>
      </c>
      <c r="H605" s="49">
        <v>0.24</v>
      </c>
      <c r="I605" s="49">
        <v>0.81</v>
      </c>
      <c r="J605" s="44">
        <v>24.8</v>
      </c>
      <c r="K605" s="48">
        <v>8047.86</v>
      </c>
      <c r="L605" s="48">
        <v>-22271.53</v>
      </c>
      <c r="M605" s="44">
        <v>0</v>
      </c>
    </row>
    <row r="606" spans="1:13" ht="15" customHeight="1" x14ac:dyDescent="0.3">
      <c r="A606" s="56" t="s">
        <v>1288</v>
      </c>
      <c r="B606" s="58">
        <v>6542</v>
      </c>
      <c r="C606" s="59">
        <v>0.17399999999999999</v>
      </c>
      <c r="D606" s="56">
        <v>36</v>
      </c>
      <c r="E606" s="56" t="s">
        <v>37</v>
      </c>
      <c r="F606" s="56" t="s">
        <v>83</v>
      </c>
      <c r="G606" s="56">
        <v>148494</v>
      </c>
      <c r="H606" s="61">
        <v>0.39</v>
      </c>
      <c r="I606" s="61">
        <v>0.86</v>
      </c>
      <c r="J606" s="56">
        <v>24.7</v>
      </c>
      <c r="K606" s="60">
        <v>3414.924</v>
      </c>
      <c r="L606" s="60">
        <v>-4919.55</v>
      </c>
      <c r="M606" s="56">
        <v>1</v>
      </c>
    </row>
    <row r="607" spans="1:13" ht="15" customHeight="1" x14ac:dyDescent="0.3">
      <c r="A607" s="38" t="s">
        <v>1290</v>
      </c>
      <c r="B607" s="40">
        <v>36946</v>
      </c>
      <c r="C607" s="41">
        <v>0.19400000000000001</v>
      </c>
      <c r="D607" s="38">
        <v>60</v>
      </c>
      <c r="E607" s="38" t="s">
        <v>35</v>
      </c>
      <c r="F607" s="38" t="s">
        <v>114</v>
      </c>
      <c r="G607" s="38">
        <v>66683</v>
      </c>
      <c r="H607" s="43">
        <v>0.45</v>
      </c>
      <c r="I607" s="43">
        <v>0.73</v>
      </c>
      <c r="J607" s="38">
        <v>24.7</v>
      </c>
      <c r="K607" s="42">
        <v>35837.620000000003</v>
      </c>
      <c r="L607" s="42">
        <v>7167.52</v>
      </c>
      <c r="M607" s="38">
        <v>0</v>
      </c>
    </row>
    <row r="608" spans="1:13" ht="15" customHeight="1" x14ac:dyDescent="0.3">
      <c r="A608" s="44" t="s">
        <v>1292</v>
      </c>
      <c r="B608" s="46">
        <v>36923</v>
      </c>
      <c r="C608" s="47">
        <v>0.106</v>
      </c>
      <c r="D608" s="44">
        <v>60</v>
      </c>
      <c r="E608" s="44" t="s">
        <v>36</v>
      </c>
      <c r="F608" s="44" t="s">
        <v>83</v>
      </c>
      <c r="G608" s="44">
        <v>145217</v>
      </c>
      <c r="H608" s="49">
        <v>0.28000000000000003</v>
      </c>
      <c r="I608" s="49">
        <v>0.6</v>
      </c>
      <c r="J608" s="44">
        <v>24.7</v>
      </c>
      <c r="K608" s="48">
        <v>19569.189999999999</v>
      </c>
      <c r="L608" s="48">
        <v>-27136.76</v>
      </c>
      <c r="M608" s="44">
        <v>0</v>
      </c>
    </row>
    <row r="609" spans="1:13" ht="15" customHeight="1" x14ac:dyDescent="0.3">
      <c r="A609" s="50" t="s">
        <v>1294</v>
      </c>
      <c r="B609" s="52">
        <v>16229</v>
      </c>
      <c r="C609" s="53">
        <v>0.17899999999999999</v>
      </c>
      <c r="D609" s="50">
        <v>36</v>
      </c>
      <c r="E609" s="50" t="s">
        <v>39</v>
      </c>
      <c r="F609" s="50" t="s">
        <v>114</v>
      </c>
      <c r="G609" s="50">
        <v>73307</v>
      </c>
      <c r="H609" s="55">
        <v>0.1</v>
      </c>
      <c r="I609" s="55">
        <v>0.55000000000000004</v>
      </c>
      <c r="J609" s="50">
        <v>24.7</v>
      </c>
      <c r="K609" s="54">
        <v>8714.973</v>
      </c>
      <c r="L609" s="54">
        <v>-16229</v>
      </c>
      <c r="M609" s="50">
        <v>0</v>
      </c>
    </row>
    <row r="610" spans="1:13" ht="15" customHeight="1" x14ac:dyDescent="0.3">
      <c r="A610" s="50" t="s">
        <v>1296</v>
      </c>
      <c r="B610" s="52">
        <v>6901</v>
      </c>
      <c r="C610" s="53">
        <v>5.7000000000000002E-2</v>
      </c>
      <c r="D610" s="50">
        <v>60</v>
      </c>
      <c r="E610" s="50" t="s">
        <v>38</v>
      </c>
      <c r="F610" s="50" t="s">
        <v>60</v>
      </c>
      <c r="G610" s="50">
        <v>75939</v>
      </c>
      <c r="H610" s="55">
        <v>0.15</v>
      </c>
      <c r="I610" s="55">
        <v>0.6</v>
      </c>
      <c r="J610" s="50">
        <v>24.7</v>
      </c>
      <c r="K610" s="54">
        <v>1966.7850000000001</v>
      </c>
      <c r="L610" s="54">
        <v>-6901</v>
      </c>
      <c r="M610" s="50">
        <v>1</v>
      </c>
    </row>
    <row r="611" spans="1:13" ht="15" customHeight="1" x14ac:dyDescent="0.3">
      <c r="A611" s="44" t="s">
        <v>1298</v>
      </c>
      <c r="B611" s="46">
        <v>33376</v>
      </c>
      <c r="C611" s="47">
        <v>0.14299999999999999</v>
      </c>
      <c r="D611" s="44">
        <v>60</v>
      </c>
      <c r="E611" s="44" t="s">
        <v>36</v>
      </c>
      <c r="F611" s="44" t="s">
        <v>71</v>
      </c>
      <c r="G611" s="44">
        <v>35698</v>
      </c>
      <c r="H611" s="49">
        <v>0.37</v>
      </c>
      <c r="I611" s="49">
        <v>0.84</v>
      </c>
      <c r="J611" s="44">
        <v>24.6</v>
      </c>
      <c r="K611" s="48">
        <v>23863.84</v>
      </c>
      <c r="L611" s="48">
        <v>-20299.189999999999</v>
      </c>
      <c r="M611" s="44">
        <v>0</v>
      </c>
    </row>
    <row r="612" spans="1:13" ht="15" customHeight="1" x14ac:dyDescent="0.3">
      <c r="A612" s="56" t="s">
        <v>1300</v>
      </c>
      <c r="B612" s="58">
        <v>25345</v>
      </c>
      <c r="C612" s="59">
        <v>0.158</v>
      </c>
      <c r="D612" s="56">
        <v>36</v>
      </c>
      <c r="E612" s="56" t="s">
        <v>37</v>
      </c>
      <c r="F612" s="56" t="s">
        <v>60</v>
      </c>
      <c r="G612" s="56">
        <v>105886</v>
      </c>
      <c r="H612" s="61">
        <v>0.4</v>
      </c>
      <c r="I612" s="61">
        <v>0.85</v>
      </c>
      <c r="J612" s="56">
        <v>24.5</v>
      </c>
      <c r="K612" s="60">
        <v>12013.53</v>
      </c>
      <c r="L612" s="60">
        <v>-20704.82</v>
      </c>
      <c r="M612" s="56">
        <v>1</v>
      </c>
    </row>
    <row r="613" spans="1:13" ht="15" customHeight="1" x14ac:dyDescent="0.3">
      <c r="A613" s="38" t="s">
        <v>1302</v>
      </c>
      <c r="B613" s="40">
        <v>37336</v>
      </c>
      <c r="C613" s="41">
        <v>0.183</v>
      </c>
      <c r="D613" s="38">
        <v>36</v>
      </c>
      <c r="E613" s="38" t="s">
        <v>35</v>
      </c>
      <c r="F613" s="38" t="s">
        <v>257</v>
      </c>
      <c r="G613" s="38">
        <v>92790</v>
      </c>
      <c r="H613" s="43">
        <v>0.11</v>
      </c>
      <c r="I613" s="43">
        <v>0.84</v>
      </c>
      <c r="J613" s="38">
        <v>24.5</v>
      </c>
      <c r="K613" s="42">
        <v>20497.464</v>
      </c>
      <c r="L613" s="42">
        <v>6832.49</v>
      </c>
      <c r="M613" s="38">
        <v>0</v>
      </c>
    </row>
    <row r="614" spans="1:13" ht="15" customHeight="1" x14ac:dyDescent="0.3">
      <c r="A614" s="44" t="s">
        <v>1304</v>
      </c>
      <c r="B614" s="46">
        <v>3356</v>
      </c>
      <c r="C614" s="47">
        <v>0.16500000000000001</v>
      </c>
      <c r="D614" s="44">
        <v>36</v>
      </c>
      <c r="E614" s="44" t="s">
        <v>36</v>
      </c>
      <c r="F614" s="44" t="s">
        <v>114</v>
      </c>
      <c r="G614" s="44">
        <v>76172</v>
      </c>
      <c r="H614" s="49">
        <v>0.31</v>
      </c>
      <c r="I614" s="49">
        <v>0.79</v>
      </c>
      <c r="J614" s="44">
        <v>24.5</v>
      </c>
      <c r="K614" s="48">
        <v>1661.22</v>
      </c>
      <c r="L614" s="48">
        <v>-2645.93</v>
      </c>
      <c r="M614" s="44">
        <v>0</v>
      </c>
    </row>
    <row r="615" spans="1:13" ht="15" customHeight="1" x14ac:dyDescent="0.3">
      <c r="A615" s="44" t="s">
        <v>1306</v>
      </c>
      <c r="B615" s="46">
        <v>22636</v>
      </c>
      <c r="C615" s="47">
        <v>0.20599999999999999</v>
      </c>
      <c r="D615" s="44">
        <v>36</v>
      </c>
      <c r="E615" s="44" t="s">
        <v>36</v>
      </c>
      <c r="F615" s="44" t="s">
        <v>71</v>
      </c>
      <c r="G615" s="44">
        <v>79649</v>
      </c>
      <c r="H615" s="49">
        <v>0.2</v>
      </c>
      <c r="I615" s="49">
        <v>0.56000000000000005</v>
      </c>
      <c r="J615" s="44">
        <v>24.5</v>
      </c>
      <c r="K615" s="48">
        <v>13989.048000000001</v>
      </c>
      <c r="L615" s="48">
        <v>-13590.95</v>
      </c>
      <c r="M615" s="44">
        <v>0</v>
      </c>
    </row>
    <row r="616" spans="1:13" ht="15" customHeight="1" x14ac:dyDescent="0.3">
      <c r="A616" s="38" t="s">
        <v>1308</v>
      </c>
      <c r="B616" s="40">
        <v>24669</v>
      </c>
      <c r="C616" s="41">
        <v>9.8000000000000004E-2</v>
      </c>
      <c r="D616" s="38">
        <v>60</v>
      </c>
      <c r="E616" s="38" t="s">
        <v>35</v>
      </c>
      <c r="F616" s="38" t="s">
        <v>60</v>
      </c>
      <c r="G616" s="38">
        <v>121456</v>
      </c>
      <c r="H616" s="43">
        <v>0.42</v>
      </c>
      <c r="I616" s="43">
        <v>0.73</v>
      </c>
      <c r="J616" s="38">
        <v>24.5</v>
      </c>
      <c r="K616" s="42">
        <v>12087.81</v>
      </c>
      <c r="L616" s="42">
        <v>2417.56</v>
      </c>
      <c r="M616" s="38">
        <v>0</v>
      </c>
    </row>
    <row r="617" spans="1:13" ht="15" customHeight="1" x14ac:dyDescent="0.3">
      <c r="A617" s="38" t="s">
        <v>1310</v>
      </c>
      <c r="B617" s="40">
        <v>19309</v>
      </c>
      <c r="C617" s="41">
        <v>0.23</v>
      </c>
      <c r="D617" s="38">
        <v>36</v>
      </c>
      <c r="E617" s="38" t="s">
        <v>35</v>
      </c>
      <c r="F617" s="38" t="s">
        <v>114</v>
      </c>
      <c r="G617" s="38">
        <v>101094</v>
      </c>
      <c r="H617" s="43">
        <v>0.15</v>
      </c>
      <c r="I617" s="43">
        <v>0.88</v>
      </c>
      <c r="J617" s="38">
        <v>24.4</v>
      </c>
      <c r="K617" s="42">
        <v>13323.21</v>
      </c>
      <c r="L617" s="42">
        <v>4441.07</v>
      </c>
      <c r="M617" s="38">
        <v>0</v>
      </c>
    </row>
    <row r="618" spans="1:13" ht="15" customHeight="1" x14ac:dyDescent="0.3">
      <c r="A618" s="56" t="s">
        <v>1312</v>
      </c>
      <c r="B618" s="58">
        <v>7090</v>
      </c>
      <c r="C618" s="59">
        <v>5.5E-2</v>
      </c>
      <c r="D618" s="56">
        <v>36</v>
      </c>
      <c r="E618" s="56" t="s">
        <v>37</v>
      </c>
      <c r="F618" s="56" t="s">
        <v>71</v>
      </c>
      <c r="G618" s="56">
        <v>143931</v>
      </c>
      <c r="H618" s="61">
        <v>0.43</v>
      </c>
      <c r="I618" s="61">
        <v>0.71</v>
      </c>
      <c r="J618" s="56">
        <v>24.4</v>
      </c>
      <c r="K618" s="60">
        <v>1169.8499999999999</v>
      </c>
      <c r="L618" s="60">
        <v>-5265.25</v>
      </c>
      <c r="M618" s="56">
        <v>1</v>
      </c>
    </row>
    <row r="619" spans="1:13" ht="15" customHeight="1" x14ac:dyDescent="0.3">
      <c r="A619" s="56" t="s">
        <v>1314</v>
      </c>
      <c r="B619" s="58">
        <v>10108</v>
      </c>
      <c r="C619" s="59">
        <v>5.6000000000000001E-2</v>
      </c>
      <c r="D619" s="56">
        <v>60</v>
      </c>
      <c r="E619" s="56" t="s">
        <v>37</v>
      </c>
      <c r="F619" s="56" t="s">
        <v>60</v>
      </c>
      <c r="G619" s="56">
        <v>104055</v>
      </c>
      <c r="H619" s="61">
        <v>0.18</v>
      </c>
      <c r="I619" s="61">
        <v>0.87</v>
      </c>
      <c r="J619" s="56">
        <v>24.4</v>
      </c>
      <c r="K619" s="60">
        <v>2830.24</v>
      </c>
      <c r="L619" s="60">
        <v>-7897.23</v>
      </c>
      <c r="M619" s="56">
        <v>1</v>
      </c>
    </row>
    <row r="620" spans="1:13" ht="15" customHeight="1" x14ac:dyDescent="0.3">
      <c r="A620" s="38" t="s">
        <v>1316</v>
      </c>
      <c r="B620" s="40">
        <v>10650</v>
      </c>
      <c r="C620" s="41">
        <v>0.128</v>
      </c>
      <c r="D620" s="38">
        <v>36</v>
      </c>
      <c r="E620" s="38" t="s">
        <v>35</v>
      </c>
      <c r="F620" s="38" t="s">
        <v>71</v>
      </c>
      <c r="G620" s="38">
        <v>63665</v>
      </c>
      <c r="H620" s="43">
        <v>0.21</v>
      </c>
      <c r="I620" s="43">
        <v>0.53</v>
      </c>
      <c r="J620" s="38">
        <v>24.3</v>
      </c>
      <c r="K620" s="42">
        <v>4089.6</v>
      </c>
      <c r="L620" s="42">
        <v>1363.2</v>
      </c>
      <c r="M620" s="38">
        <v>0</v>
      </c>
    </row>
    <row r="621" spans="1:13" ht="15" customHeight="1" x14ac:dyDescent="0.3">
      <c r="A621" s="44" t="s">
        <v>1318</v>
      </c>
      <c r="B621" s="46">
        <v>29411</v>
      </c>
      <c r="C621" s="47">
        <v>0.14899999999999999</v>
      </c>
      <c r="D621" s="44">
        <v>36</v>
      </c>
      <c r="E621" s="44" t="s">
        <v>36</v>
      </c>
      <c r="F621" s="44" t="s">
        <v>114</v>
      </c>
      <c r="G621" s="44">
        <v>78617</v>
      </c>
      <c r="H621" s="49">
        <v>0.28999999999999998</v>
      </c>
      <c r="I621" s="49">
        <v>0.69</v>
      </c>
      <c r="J621" s="44">
        <v>24.3</v>
      </c>
      <c r="K621" s="48">
        <v>13146.717000000001</v>
      </c>
      <c r="L621" s="48">
        <v>-26331.25</v>
      </c>
      <c r="M621" s="44">
        <v>0</v>
      </c>
    </row>
    <row r="622" spans="1:13" ht="15" customHeight="1" x14ac:dyDescent="0.3">
      <c r="A622" s="44" t="s">
        <v>1320</v>
      </c>
      <c r="B622" s="46">
        <v>29179</v>
      </c>
      <c r="C622" s="47">
        <v>0.24</v>
      </c>
      <c r="D622" s="44">
        <v>36</v>
      </c>
      <c r="E622" s="44" t="s">
        <v>36</v>
      </c>
      <c r="F622" s="44" t="s">
        <v>71</v>
      </c>
      <c r="G622" s="44">
        <v>144778</v>
      </c>
      <c r="H622" s="49">
        <v>0.39</v>
      </c>
      <c r="I622" s="49">
        <v>0.66</v>
      </c>
      <c r="J622" s="44">
        <v>24.2</v>
      </c>
      <c r="K622" s="48">
        <v>21008.880000000001</v>
      </c>
      <c r="L622" s="48">
        <v>-22002.53</v>
      </c>
      <c r="M622" s="44">
        <v>0</v>
      </c>
    </row>
    <row r="623" spans="1:13" ht="15" customHeight="1" x14ac:dyDescent="0.3">
      <c r="A623" s="44" t="s">
        <v>1322</v>
      </c>
      <c r="B623" s="46">
        <v>38384</v>
      </c>
      <c r="C623" s="47">
        <v>9.4E-2</v>
      </c>
      <c r="D623" s="44">
        <v>60</v>
      </c>
      <c r="E623" s="44" t="s">
        <v>36</v>
      </c>
      <c r="F623" s="44" t="s">
        <v>60</v>
      </c>
      <c r="G623" s="44">
        <v>88226</v>
      </c>
      <c r="H623" s="49">
        <v>0.18</v>
      </c>
      <c r="I623" s="49">
        <v>0.7</v>
      </c>
      <c r="J623" s="44">
        <v>24.2</v>
      </c>
      <c r="K623" s="48">
        <v>18040.48</v>
      </c>
      <c r="L623" s="48">
        <v>-33720.97</v>
      </c>
      <c r="M623" s="44">
        <v>0</v>
      </c>
    </row>
    <row r="624" spans="1:13" ht="15" customHeight="1" x14ac:dyDescent="0.3">
      <c r="A624" s="44" t="s">
        <v>1324</v>
      </c>
      <c r="B624" s="46">
        <v>18727</v>
      </c>
      <c r="C624" s="47">
        <v>0.111</v>
      </c>
      <c r="D624" s="44">
        <v>60</v>
      </c>
      <c r="E624" s="44" t="s">
        <v>36</v>
      </c>
      <c r="F624" s="44" t="s">
        <v>66</v>
      </c>
      <c r="G624" s="44">
        <v>64642</v>
      </c>
      <c r="H624" s="49">
        <v>0.23</v>
      </c>
      <c r="I624" s="49">
        <v>0.8</v>
      </c>
      <c r="J624" s="44">
        <v>24.2</v>
      </c>
      <c r="K624" s="48">
        <v>10393.485000000001</v>
      </c>
      <c r="L624" s="48">
        <v>-11910.21</v>
      </c>
      <c r="M624" s="44">
        <v>0</v>
      </c>
    </row>
    <row r="625" spans="1:13" ht="15" customHeight="1" x14ac:dyDescent="0.3">
      <c r="A625" s="38" t="s">
        <v>1326</v>
      </c>
      <c r="B625" s="40">
        <v>25070</v>
      </c>
      <c r="C625" s="41">
        <v>7.0999999999999994E-2</v>
      </c>
      <c r="D625" s="38">
        <v>36</v>
      </c>
      <c r="E625" s="38" t="s">
        <v>35</v>
      </c>
      <c r="F625" s="38" t="s">
        <v>83</v>
      </c>
      <c r="G625" s="38">
        <v>64693</v>
      </c>
      <c r="H625" s="43">
        <v>0.41</v>
      </c>
      <c r="I625" s="43">
        <v>0.64</v>
      </c>
      <c r="J625" s="38">
        <v>24.1</v>
      </c>
      <c r="K625" s="42">
        <v>5339.91</v>
      </c>
      <c r="L625" s="42">
        <v>1779.97</v>
      </c>
      <c r="M625" s="38">
        <v>0</v>
      </c>
    </row>
    <row r="626" spans="1:13" ht="15" customHeight="1" x14ac:dyDescent="0.3">
      <c r="A626" s="38" t="s">
        <v>1328</v>
      </c>
      <c r="B626" s="40">
        <v>39360</v>
      </c>
      <c r="C626" s="41">
        <v>0.14599999999999999</v>
      </c>
      <c r="D626" s="38">
        <v>36</v>
      </c>
      <c r="E626" s="38" t="s">
        <v>35</v>
      </c>
      <c r="F626" s="38" t="s">
        <v>114</v>
      </c>
      <c r="G626" s="38">
        <v>96670</v>
      </c>
      <c r="H626" s="43">
        <v>0.43</v>
      </c>
      <c r="I626" s="43">
        <v>0.52</v>
      </c>
      <c r="J626" s="38">
        <v>24.1</v>
      </c>
      <c r="K626" s="42">
        <v>17239.68</v>
      </c>
      <c r="L626" s="42">
        <v>5746.56</v>
      </c>
      <c r="M626" s="38">
        <v>0</v>
      </c>
    </row>
    <row r="627" spans="1:13" ht="15" customHeight="1" x14ac:dyDescent="0.3">
      <c r="A627" s="44" t="s">
        <v>1330</v>
      </c>
      <c r="B627" s="46">
        <v>39565</v>
      </c>
      <c r="C627" s="47">
        <v>0.21099999999999999</v>
      </c>
      <c r="D627" s="44">
        <v>60</v>
      </c>
      <c r="E627" s="44" t="s">
        <v>36</v>
      </c>
      <c r="F627" s="44" t="s">
        <v>83</v>
      </c>
      <c r="G627" s="44">
        <v>119049</v>
      </c>
      <c r="H627" s="49">
        <v>0.43</v>
      </c>
      <c r="I627" s="49">
        <v>0.83</v>
      </c>
      <c r="J627" s="44">
        <v>24.1</v>
      </c>
      <c r="K627" s="48">
        <v>41741.074999999997</v>
      </c>
      <c r="L627" s="48">
        <v>-22932.29</v>
      </c>
      <c r="M627" s="44">
        <v>0</v>
      </c>
    </row>
    <row r="628" spans="1:13" ht="15" customHeight="1" x14ac:dyDescent="0.3">
      <c r="A628" s="44" t="s">
        <v>1332</v>
      </c>
      <c r="B628" s="46">
        <v>14281</v>
      </c>
      <c r="C628" s="47">
        <v>0.159</v>
      </c>
      <c r="D628" s="44">
        <v>60</v>
      </c>
      <c r="E628" s="44" t="s">
        <v>36</v>
      </c>
      <c r="F628" s="44" t="s">
        <v>80</v>
      </c>
      <c r="G628" s="44">
        <v>114178</v>
      </c>
      <c r="H628" s="49">
        <v>0.15</v>
      </c>
      <c r="I628" s="49">
        <v>0.88</v>
      </c>
      <c r="J628" s="44">
        <v>24.1</v>
      </c>
      <c r="K628" s="48">
        <v>11353.395</v>
      </c>
      <c r="L628" s="48">
        <v>-7365.22</v>
      </c>
      <c r="M628" s="44">
        <v>0</v>
      </c>
    </row>
    <row r="629" spans="1:13" ht="15" customHeight="1" x14ac:dyDescent="0.3">
      <c r="A629" s="38" t="s">
        <v>1334</v>
      </c>
      <c r="B629" s="40">
        <v>27143</v>
      </c>
      <c r="C629" s="41">
        <v>6.5000000000000002E-2</v>
      </c>
      <c r="D629" s="38">
        <v>60</v>
      </c>
      <c r="E629" s="38" t="s">
        <v>35</v>
      </c>
      <c r="F629" s="38" t="s">
        <v>60</v>
      </c>
      <c r="G629" s="38">
        <v>112895</v>
      </c>
      <c r="H629" s="43">
        <v>0.16</v>
      </c>
      <c r="I629" s="43">
        <v>0.67</v>
      </c>
      <c r="J629" s="38">
        <v>24</v>
      </c>
      <c r="K629" s="42">
        <v>8821.4750000000004</v>
      </c>
      <c r="L629" s="42">
        <v>1764.3</v>
      </c>
      <c r="M629" s="38">
        <v>0</v>
      </c>
    </row>
    <row r="630" spans="1:13" ht="15" customHeight="1" x14ac:dyDescent="0.3">
      <c r="A630" s="38" t="s">
        <v>1336</v>
      </c>
      <c r="B630" s="40">
        <v>24116</v>
      </c>
      <c r="C630" s="41">
        <v>0.128</v>
      </c>
      <c r="D630" s="38">
        <v>36</v>
      </c>
      <c r="E630" s="38" t="s">
        <v>35</v>
      </c>
      <c r="F630" s="38" t="s">
        <v>66</v>
      </c>
      <c r="G630" s="38">
        <v>45160</v>
      </c>
      <c r="H630" s="43">
        <v>0.35</v>
      </c>
      <c r="I630" s="43">
        <v>0.64</v>
      </c>
      <c r="J630" s="38">
        <v>24</v>
      </c>
      <c r="K630" s="42">
        <v>9260.5439999999999</v>
      </c>
      <c r="L630" s="42">
        <v>3086.85</v>
      </c>
      <c r="M630" s="38">
        <v>0</v>
      </c>
    </row>
    <row r="631" spans="1:13" ht="15" customHeight="1" x14ac:dyDescent="0.3">
      <c r="A631" s="38" t="s">
        <v>1338</v>
      </c>
      <c r="B631" s="40">
        <v>35008</v>
      </c>
      <c r="C631" s="41">
        <v>0.154</v>
      </c>
      <c r="D631" s="38">
        <v>36</v>
      </c>
      <c r="E631" s="38" t="s">
        <v>35</v>
      </c>
      <c r="F631" s="38" t="s">
        <v>66</v>
      </c>
      <c r="G631" s="38">
        <v>52010</v>
      </c>
      <c r="H631" s="43">
        <v>0.23</v>
      </c>
      <c r="I631" s="43">
        <v>0.82</v>
      </c>
      <c r="J631" s="38">
        <v>24</v>
      </c>
      <c r="K631" s="42">
        <v>16173.696</v>
      </c>
      <c r="L631" s="42">
        <v>5391.23</v>
      </c>
      <c r="M631" s="38">
        <v>0</v>
      </c>
    </row>
    <row r="632" spans="1:13" ht="15" customHeight="1" x14ac:dyDescent="0.3">
      <c r="A632" s="38" t="s">
        <v>1340</v>
      </c>
      <c r="B632" s="40">
        <v>20895</v>
      </c>
      <c r="C632" s="41">
        <v>9.5000000000000001E-2</v>
      </c>
      <c r="D632" s="38">
        <v>36</v>
      </c>
      <c r="E632" s="38" t="s">
        <v>35</v>
      </c>
      <c r="F632" s="38" t="s">
        <v>257</v>
      </c>
      <c r="G632" s="38">
        <v>46767</v>
      </c>
      <c r="H632" s="43">
        <v>0.31</v>
      </c>
      <c r="I632" s="43">
        <v>0.73</v>
      </c>
      <c r="J632" s="38">
        <v>24</v>
      </c>
      <c r="K632" s="42">
        <v>5955.0749999999998</v>
      </c>
      <c r="L632" s="42">
        <v>1985.02</v>
      </c>
      <c r="M632" s="38">
        <v>0</v>
      </c>
    </row>
    <row r="633" spans="1:13" ht="15" customHeight="1" x14ac:dyDescent="0.3">
      <c r="A633" s="44" t="s">
        <v>1342</v>
      </c>
      <c r="B633" s="46">
        <v>36133</v>
      </c>
      <c r="C633" s="47">
        <v>0.219</v>
      </c>
      <c r="D633" s="44">
        <v>36</v>
      </c>
      <c r="E633" s="44" t="s">
        <v>36</v>
      </c>
      <c r="F633" s="44" t="s">
        <v>71</v>
      </c>
      <c r="G633" s="44">
        <v>60134</v>
      </c>
      <c r="H633" s="49">
        <v>0.18</v>
      </c>
      <c r="I633" s="49">
        <v>0.77</v>
      </c>
      <c r="J633" s="44">
        <v>23.9</v>
      </c>
      <c r="K633" s="48">
        <v>23739.381000000001</v>
      </c>
      <c r="L633" s="48">
        <v>-33455.72</v>
      </c>
      <c r="M633" s="44">
        <v>0</v>
      </c>
    </row>
    <row r="634" spans="1:13" ht="15" customHeight="1" x14ac:dyDescent="0.3">
      <c r="A634" s="44" t="s">
        <v>1344</v>
      </c>
      <c r="B634" s="46">
        <v>24279</v>
      </c>
      <c r="C634" s="47">
        <v>0.14399999999999999</v>
      </c>
      <c r="D634" s="44">
        <v>60</v>
      </c>
      <c r="E634" s="44" t="s">
        <v>36</v>
      </c>
      <c r="F634" s="44" t="s">
        <v>60</v>
      </c>
      <c r="G634" s="44">
        <v>68230</v>
      </c>
      <c r="H634" s="49">
        <v>0.15</v>
      </c>
      <c r="I634" s="49">
        <v>0.68</v>
      </c>
      <c r="J634" s="44">
        <v>23.9</v>
      </c>
      <c r="K634" s="48">
        <v>17480.88</v>
      </c>
      <c r="L634" s="48">
        <v>-19683.79</v>
      </c>
      <c r="M634" s="44">
        <v>0</v>
      </c>
    </row>
    <row r="635" spans="1:13" ht="15" customHeight="1" x14ac:dyDescent="0.3">
      <c r="A635" s="56" t="s">
        <v>1346</v>
      </c>
      <c r="B635" s="58">
        <v>1899</v>
      </c>
      <c r="C635" s="59">
        <v>6.4000000000000001E-2</v>
      </c>
      <c r="D635" s="56">
        <v>36</v>
      </c>
      <c r="E635" s="56" t="s">
        <v>37</v>
      </c>
      <c r="F635" s="56" t="s">
        <v>83</v>
      </c>
      <c r="G635" s="56">
        <v>122435</v>
      </c>
      <c r="H635" s="61">
        <v>0.28000000000000003</v>
      </c>
      <c r="I635" s="61">
        <v>0.88</v>
      </c>
      <c r="J635" s="56">
        <v>23.9</v>
      </c>
      <c r="K635" s="60">
        <v>364.608</v>
      </c>
      <c r="L635" s="60">
        <v>-1161.2</v>
      </c>
      <c r="M635" s="56">
        <v>1</v>
      </c>
    </row>
    <row r="636" spans="1:13" ht="15" customHeight="1" x14ac:dyDescent="0.3">
      <c r="A636" s="38" t="s">
        <v>1348</v>
      </c>
      <c r="B636" s="40">
        <v>39850</v>
      </c>
      <c r="C636" s="41">
        <v>0.24299999999999999</v>
      </c>
      <c r="D636" s="38">
        <v>60</v>
      </c>
      <c r="E636" s="38" t="s">
        <v>35</v>
      </c>
      <c r="F636" s="38" t="s">
        <v>60</v>
      </c>
      <c r="G636" s="38">
        <v>108768</v>
      </c>
      <c r="H636" s="43">
        <v>0.28999999999999998</v>
      </c>
      <c r="I636" s="43">
        <v>0.84</v>
      </c>
      <c r="J636" s="38">
        <v>23.9</v>
      </c>
      <c r="K636" s="42">
        <v>48417.75</v>
      </c>
      <c r="L636" s="42">
        <v>9683.5499999999993</v>
      </c>
      <c r="M636" s="38">
        <v>0</v>
      </c>
    </row>
    <row r="637" spans="1:13" ht="15" customHeight="1" x14ac:dyDescent="0.3">
      <c r="A637" s="38" t="s">
        <v>1350</v>
      </c>
      <c r="B637" s="40">
        <v>35317</v>
      </c>
      <c r="C637" s="41">
        <v>0.14499999999999999</v>
      </c>
      <c r="D637" s="38">
        <v>60</v>
      </c>
      <c r="E637" s="38" t="s">
        <v>35</v>
      </c>
      <c r="F637" s="38" t="s">
        <v>66</v>
      </c>
      <c r="G637" s="38">
        <v>64393</v>
      </c>
      <c r="H637" s="43">
        <v>0.13</v>
      </c>
      <c r="I637" s="43">
        <v>0.63</v>
      </c>
      <c r="J637" s="38">
        <v>23.9</v>
      </c>
      <c r="K637" s="42">
        <v>25604.825000000001</v>
      </c>
      <c r="L637" s="42">
        <v>5120.97</v>
      </c>
      <c r="M637" s="38">
        <v>0</v>
      </c>
    </row>
    <row r="638" spans="1:13" ht="15" customHeight="1" x14ac:dyDescent="0.3">
      <c r="A638" s="38" t="s">
        <v>1352</v>
      </c>
      <c r="B638" s="40">
        <v>27958</v>
      </c>
      <c r="C638" s="41">
        <v>0.104</v>
      </c>
      <c r="D638" s="38">
        <v>36</v>
      </c>
      <c r="E638" s="38" t="s">
        <v>35</v>
      </c>
      <c r="F638" s="38" t="s">
        <v>66</v>
      </c>
      <c r="G638" s="38">
        <v>40692</v>
      </c>
      <c r="H638" s="43">
        <v>0.16</v>
      </c>
      <c r="I638" s="43">
        <v>0.76</v>
      </c>
      <c r="J638" s="38">
        <v>23.8</v>
      </c>
      <c r="K638" s="42">
        <v>8722.8960000000006</v>
      </c>
      <c r="L638" s="42">
        <v>2907.63</v>
      </c>
      <c r="M638" s="38">
        <v>0</v>
      </c>
    </row>
    <row r="639" spans="1:13" ht="15" customHeight="1" x14ac:dyDescent="0.3">
      <c r="A639" s="56" t="s">
        <v>1354</v>
      </c>
      <c r="B639" s="58">
        <v>38487</v>
      </c>
      <c r="C639" s="59">
        <v>0.23599999999999999</v>
      </c>
      <c r="D639" s="56">
        <v>60</v>
      </c>
      <c r="E639" s="56" t="s">
        <v>37</v>
      </c>
      <c r="F639" s="56" t="s">
        <v>60</v>
      </c>
      <c r="G639" s="56">
        <v>139758</v>
      </c>
      <c r="H639" s="61">
        <v>0.17</v>
      </c>
      <c r="I639" s="61">
        <v>0.68</v>
      </c>
      <c r="J639" s="56">
        <v>23.8</v>
      </c>
      <c r="K639" s="60">
        <v>45414.66</v>
      </c>
      <c r="L639" s="60">
        <v>-21129.08</v>
      </c>
      <c r="M639" s="56">
        <v>1</v>
      </c>
    </row>
    <row r="640" spans="1:13" ht="15" customHeight="1" x14ac:dyDescent="0.3">
      <c r="A640" s="38" t="s">
        <v>1356</v>
      </c>
      <c r="B640" s="40">
        <v>7570</v>
      </c>
      <c r="C640" s="41">
        <v>0.14299999999999999</v>
      </c>
      <c r="D640" s="38">
        <v>60</v>
      </c>
      <c r="E640" s="38" t="s">
        <v>35</v>
      </c>
      <c r="F640" s="38" t="s">
        <v>60</v>
      </c>
      <c r="G640" s="38">
        <v>33262</v>
      </c>
      <c r="H640" s="43">
        <v>0.41</v>
      </c>
      <c r="I640" s="43">
        <v>0.87</v>
      </c>
      <c r="J640" s="38">
        <v>23.8</v>
      </c>
      <c r="K640" s="42">
        <v>5412.55</v>
      </c>
      <c r="L640" s="42">
        <v>1082.51</v>
      </c>
      <c r="M640" s="38">
        <v>0</v>
      </c>
    </row>
    <row r="641" spans="1:13" ht="15" customHeight="1" x14ac:dyDescent="0.3">
      <c r="A641" s="56" t="s">
        <v>1358</v>
      </c>
      <c r="B641" s="58">
        <v>10768</v>
      </c>
      <c r="C641" s="59">
        <v>0.20300000000000001</v>
      </c>
      <c r="D641" s="56">
        <v>60</v>
      </c>
      <c r="E641" s="56" t="s">
        <v>37</v>
      </c>
      <c r="F641" s="56" t="s">
        <v>66</v>
      </c>
      <c r="G641" s="56">
        <v>118151</v>
      </c>
      <c r="H641" s="61">
        <v>0.5</v>
      </c>
      <c r="I641" s="61">
        <v>0.51</v>
      </c>
      <c r="J641" s="56">
        <v>23.7</v>
      </c>
      <c r="K641" s="60">
        <v>10929.52</v>
      </c>
      <c r="L641" s="60">
        <v>-9963.19</v>
      </c>
      <c r="M641" s="56">
        <v>1</v>
      </c>
    </row>
    <row r="642" spans="1:13" ht="15" customHeight="1" x14ac:dyDescent="0.3">
      <c r="A642" s="38" t="s">
        <v>1360</v>
      </c>
      <c r="B642" s="40">
        <v>32348</v>
      </c>
      <c r="C642" s="41">
        <v>0.25</v>
      </c>
      <c r="D642" s="38">
        <v>36</v>
      </c>
      <c r="E642" s="38" t="s">
        <v>35</v>
      </c>
      <c r="F642" s="38" t="s">
        <v>83</v>
      </c>
      <c r="G642" s="38">
        <v>82509</v>
      </c>
      <c r="H642" s="43">
        <v>0.17</v>
      </c>
      <c r="I642" s="43">
        <v>0.51</v>
      </c>
      <c r="J642" s="38">
        <v>23.7</v>
      </c>
      <c r="K642" s="42">
        <v>24261</v>
      </c>
      <c r="L642" s="42">
        <v>8087</v>
      </c>
      <c r="M642" s="38">
        <v>0</v>
      </c>
    </row>
    <row r="643" spans="1:13" ht="15" customHeight="1" x14ac:dyDescent="0.3">
      <c r="A643" s="38" t="s">
        <v>1362</v>
      </c>
      <c r="B643" s="40">
        <v>1525</v>
      </c>
      <c r="C643" s="41">
        <v>0.16800000000000001</v>
      </c>
      <c r="D643" s="38">
        <v>36</v>
      </c>
      <c r="E643" s="38" t="s">
        <v>35</v>
      </c>
      <c r="F643" s="38" t="s">
        <v>83</v>
      </c>
      <c r="G643" s="38">
        <v>115238</v>
      </c>
      <c r="H643" s="43">
        <v>0.4</v>
      </c>
      <c r="I643" s="43">
        <v>0.86</v>
      </c>
      <c r="J643" s="38">
        <v>23.7</v>
      </c>
      <c r="K643" s="42">
        <v>768.6</v>
      </c>
      <c r="L643" s="42">
        <v>256.2</v>
      </c>
      <c r="M643" s="38">
        <v>0</v>
      </c>
    </row>
    <row r="644" spans="1:13" ht="15" customHeight="1" x14ac:dyDescent="0.3">
      <c r="A644" s="38" t="s">
        <v>1364</v>
      </c>
      <c r="B644" s="40">
        <v>12745</v>
      </c>
      <c r="C644" s="41">
        <v>0.16200000000000001</v>
      </c>
      <c r="D644" s="38">
        <v>60</v>
      </c>
      <c r="E644" s="38" t="s">
        <v>35</v>
      </c>
      <c r="F644" s="38" t="s">
        <v>257</v>
      </c>
      <c r="G644" s="38">
        <v>132020</v>
      </c>
      <c r="H644" s="43">
        <v>0.22</v>
      </c>
      <c r="I644" s="43">
        <v>0.64</v>
      </c>
      <c r="J644" s="38">
        <v>23.7</v>
      </c>
      <c r="K644" s="42">
        <v>10323.450000000001</v>
      </c>
      <c r="L644" s="42">
        <v>2064.69</v>
      </c>
      <c r="M644" s="38">
        <v>0</v>
      </c>
    </row>
    <row r="645" spans="1:13" ht="15" customHeight="1" x14ac:dyDescent="0.3">
      <c r="A645" s="38" t="s">
        <v>1366</v>
      </c>
      <c r="B645" s="40">
        <v>22776</v>
      </c>
      <c r="C645" s="41">
        <v>0.112</v>
      </c>
      <c r="D645" s="38">
        <v>60</v>
      </c>
      <c r="E645" s="38" t="s">
        <v>35</v>
      </c>
      <c r="F645" s="38" t="s">
        <v>80</v>
      </c>
      <c r="G645" s="38">
        <v>148333</v>
      </c>
      <c r="H645" s="43">
        <v>0.28000000000000003</v>
      </c>
      <c r="I645" s="43">
        <v>0.64</v>
      </c>
      <c r="J645" s="38">
        <v>23.6</v>
      </c>
      <c r="K645" s="42">
        <v>12754.56</v>
      </c>
      <c r="L645" s="42">
        <v>2550.91</v>
      </c>
      <c r="M645" s="38">
        <v>0</v>
      </c>
    </row>
    <row r="646" spans="1:13" ht="15" customHeight="1" x14ac:dyDescent="0.3">
      <c r="A646" s="38" t="s">
        <v>1368</v>
      </c>
      <c r="B646" s="40">
        <v>26476</v>
      </c>
      <c r="C646" s="41">
        <v>0.22900000000000001</v>
      </c>
      <c r="D646" s="38">
        <v>36</v>
      </c>
      <c r="E646" s="38" t="s">
        <v>35</v>
      </c>
      <c r="F646" s="38" t="s">
        <v>80</v>
      </c>
      <c r="G646" s="38">
        <v>61417</v>
      </c>
      <c r="H646" s="43">
        <v>0.31</v>
      </c>
      <c r="I646" s="43">
        <v>0.53</v>
      </c>
      <c r="J646" s="38">
        <v>23.5</v>
      </c>
      <c r="K646" s="42">
        <v>18189.011999999999</v>
      </c>
      <c r="L646" s="42">
        <v>6063</v>
      </c>
      <c r="M646" s="38">
        <v>0</v>
      </c>
    </row>
    <row r="647" spans="1:13" ht="15" customHeight="1" x14ac:dyDescent="0.3">
      <c r="A647" s="38" t="s">
        <v>1370</v>
      </c>
      <c r="B647" s="40">
        <v>37397</v>
      </c>
      <c r="C647" s="41">
        <v>0.21</v>
      </c>
      <c r="D647" s="38">
        <v>60</v>
      </c>
      <c r="E647" s="38" t="s">
        <v>35</v>
      </c>
      <c r="F647" s="38" t="s">
        <v>71</v>
      </c>
      <c r="G647" s="38">
        <v>107535</v>
      </c>
      <c r="H647" s="43">
        <v>0.2</v>
      </c>
      <c r="I647" s="43">
        <v>0.81</v>
      </c>
      <c r="J647" s="38">
        <v>23.4</v>
      </c>
      <c r="K647" s="42">
        <v>39266.85</v>
      </c>
      <c r="L647" s="42">
        <v>7853.37</v>
      </c>
      <c r="M647" s="38">
        <v>0</v>
      </c>
    </row>
    <row r="648" spans="1:13" ht="15" customHeight="1" x14ac:dyDescent="0.3">
      <c r="A648" s="38" t="s">
        <v>1372</v>
      </c>
      <c r="B648" s="40">
        <v>9906</v>
      </c>
      <c r="C648" s="41">
        <v>5.8000000000000003E-2</v>
      </c>
      <c r="D648" s="38">
        <v>60</v>
      </c>
      <c r="E648" s="38" t="s">
        <v>35</v>
      </c>
      <c r="F648" s="38" t="s">
        <v>71</v>
      </c>
      <c r="G648" s="38">
        <v>112062</v>
      </c>
      <c r="H648" s="43">
        <v>0.34</v>
      </c>
      <c r="I648" s="43">
        <v>0.84</v>
      </c>
      <c r="J648" s="38">
        <v>23.4</v>
      </c>
      <c r="K648" s="42">
        <v>2872.74</v>
      </c>
      <c r="L648" s="42">
        <v>574.54999999999905</v>
      </c>
      <c r="M648" s="38">
        <v>0</v>
      </c>
    </row>
    <row r="649" spans="1:13" ht="15" customHeight="1" x14ac:dyDescent="0.3">
      <c r="A649" s="38" t="s">
        <v>1374</v>
      </c>
      <c r="B649" s="40">
        <v>17514</v>
      </c>
      <c r="C649" s="41">
        <v>0.158</v>
      </c>
      <c r="D649" s="38">
        <v>60</v>
      </c>
      <c r="E649" s="38" t="s">
        <v>35</v>
      </c>
      <c r="F649" s="38" t="s">
        <v>83</v>
      </c>
      <c r="G649" s="38">
        <v>69178</v>
      </c>
      <c r="H649" s="43">
        <v>0.12</v>
      </c>
      <c r="I649" s="43">
        <v>0.77</v>
      </c>
      <c r="J649" s="38">
        <v>23.4</v>
      </c>
      <c r="K649" s="42">
        <v>13836.06</v>
      </c>
      <c r="L649" s="42">
        <v>2767.21</v>
      </c>
      <c r="M649" s="38">
        <v>0</v>
      </c>
    </row>
    <row r="650" spans="1:13" ht="15" customHeight="1" x14ac:dyDescent="0.3">
      <c r="A650" s="56" t="s">
        <v>1376</v>
      </c>
      <c r="B650" s="58">
        <v>7471</v>
      </c>
      <c r="C650" s="59">
        <v>0.159</v>
      </c>
      <c r="D650" s="56">
        <v>60</v>
      </c>
      <c r="E650" s="56" t="s">
        <v>37</v>
      </c>
      <c r="F650" s="56" t="s">
        <v>114</v>
      </c>
      <c r="G650" s="56">
        <v>129025</v>
      </c>
      <c r="H650" s="61">
        <v>0.46</v>
      </c>
      <c r="I650" s="61">
        <v>0.75</v>
      </c>
      <c r="J650" s="56">
        <v>23.4</v>
      </c>
      <c r="K650" s="60">
        <v>5939.4449999999997</v>
      </c>
      <c r="L650" s="60">
        <v>-4624.58</v>
      </c>
      <c r="M650" s="56">
        <v>1</v>
      </c>
    </row>
    <row r="651" spans="1:13" ht="15" customHeight="1" x14ac:dyDescent="0.3">
      <c r="A651" s="44" t="s">
        <v>1378</v>
      </c>
      <c r="B651" s="46">
        <v>26559</v>
      </c>
      <c r="C651" s="47">
        <v>0.245</v>
      </c>
      <c r="D651" s="44">
        <v>60</v>
      </c>
      <c r="E651" s="44" t="s">
        <v>36</v>
      </c>
      <c r="F651" s="44" t="s">
        <v>66</v>
      </c>
      <c r="G651" s="44">
        <v>126282</v>
      </c>
      <c r="H651" s="49">
        <v>0.11</v>
      </c>
      <c r="I651" s="49">
        <v>0.83</v>
      </c>
      <c r="J651" s="44">
        <v>23.4</v>
      </c>
      <c r="K651" s="48">
        <v>32534.775000000001</v>
      </c>
      <c r="L651" s="48">
        <v>-16116.16</v>
      </c>
      <c r="M651" s="44">
        <v>0</v>
      </c>
    </row>
    <row r="652" spans="1:13" ht="15" customHeight="1" x14ac:dyDescent="0.3">
      <c r="A652" s="38" t="s">
        <v>1380</v>
      </c>
      <c r="B652" s="40">
        <v>17405</v>
      </c>
      <c r="C652" s="41">
        <v>0.16300000000000001</v>
      </c>
      <c r="D652" s="38">
        <v>60</v>
      </c>
      <c r="E652" s="38" t="s">
        <v>35</v>
      </c>
      <c r="F652" s="38" t="s">
        <v>83</v>
      </c>
      <c r="G652" s="38">
        <v>32775</v>
      </c>
      <c r="H652" s="43">
        <v>0.15</v>
      </c>
      <c r="I652" s="43">
        <v>0.57999999999999996</v>
      </c>
      <c r="J652" s="38">
        <v>23.3</v>
      </c>
      <c r="K652" s="42">
        <v>14185.075000000001</v>
      </c>
      <c r="L652" s="42">
        <v>2837.02</v>
      </c>
      <c r="M652" s="38">
        <v>0</v>
      </c>
    </row>
    <row r="653" spans="1:13" ht="15" customHeight="1" x14ac:dyDescent="0.3">
      <c r="A653" s="38" t="s">
        <v>1382</v>
      </c>
      <c r="B653" s="40">
        <v>31523</v>
      </c>
      <c r="C653" s="41">
        <v>0.107</v>
      </c>
      <c r="D653" s="38">
        <v>60</v>
      </c>
      <c r="E653" s="38" t="s">
        <v>35</v>
      </c>
      <c r="F653" s="38" t="s">
        <v>71</v>
      </c>
      <c r="G653" s="38">
        <v>40345</v>
      </c>
      <c r="H653" s="43">
        <v>0.21</v>
      </c>
      <c r="I653" s="43">
        <v>0.92</v>
      </c>
      <c r="J653" s="38">
        <v>23.3</v>
      </c>
      <c r="K653" s="42">
        <v>16864.805</v>
      </c>
      <c r="L653" s="42">
        <v>3372.96</v>
      </c>
      <c r="M653" s="38">
        <v>0</v>
      </c>
    </row>
    <row r="654" spans="1:13" ht="15" customHeight="1" x14ac:dyDescent="0.3">
      <c r="A654" s="38" t="s">
        <v>1384</v>
      </c>
      <c r="B654" s="40">
        <v>25951</v>
      </c>
      <c r="C654" s="41">
        <v>0.246</v>
      </c>
      <c r="D654" s="38">
        <v>36</v>
      </c>
      <c r="E654" s="38" t="s">
        <v>35</v>
      </c>
      <c r="F654" s="38" t="s">
        <v>80</v>
      </c>
      <c r="G654" s="38">
        <v>77788</v>
      </c>
      <c r="H654" s="43">
        <v>0.35</v>
      </c>
      <c r="I654" s="43">
        <v>0.82</v>
      </c>
      <c r="J654" s="38">
        <v>23.3</v>
      </c>
      <c r="K654" s="42">
        <v>19151.838</v>
      </c>
      <c r="L654" s="42">
        <v>6383.95</v>
      </c>
      <c r="M654" s="38">
        <v>0</v>
      </c>
    </row>
    <row r="655" spans="1:13" ht="15" customHeight="1" x14ac:dyDescent="0.3">
      <c r="A655" s="38" t="s">
        <v>1386</v>
      </c>
      <c r="B655" s="40">
        <v>35531</v>
      </c>
      <c r="C655" s="41">
        <v>0.16500000000000001</v>
      </c>
      <c r="D655" s="38">
        <v>36</v>
      </c>
      <c r="E655" s="38" t="s">
        <v>35</v>
      </c>
      <c r="F655" s="38" t="s">
        <v>71</v>
      </c>
      <c r="G655" s="38">
        <v>53559</v>
      </c>
      <c r="H655" s="43">
        <v>0.41</v>
      </c>
      <c r="I655" s="43">
        <v>0.79</v>
      </c>
      <c r="J655" s="38">
        <v>23.2</v>
      </c>
      <c r="K655" s="42">
        <v>17587.845000000001</v>
      </c>
      <c r="L655" s="42">
        <v>5862.62</v>
      </c>
      <c r="M655" s="38">
        <v>0</v>
      </c>
    </row>
    <row r="656" spans="1:13" ht="15" customHeight="1" x14ac:dyDescent="0.3">
      <c r="A656" s="38" t="s">
        <v>1388</v>
      </c>
      <c r="B656" s="40">
        <v>21049</v>
      </c>
      <c r="C656" s="41">
        <v>0.14799999999999999</v>
      </c>
      <c r="D656" s="38">
        <v>60</v>
      </c>
      <c r="E656" s="38" t="s">
        <v>35</v>
      </c>
      <c r="F656" s="38" t="s">
        <v>80</v>
      </c>
      <c r="G656" s="38">
        <v>112569</v>
      </c>
      <c r="H656" s="43">
        <v>0.17</v>
      </c>
      <c r="I656" s="43">
        <v>0.51</v>
      </c>
      <c r="J656" s="38">
        <v>23.2</v>
      </c>
      <c r="K656" s="42">
        <v>15576.26</v>
      </c>
      <c r="L656" s="42">
        <v>3115.25</v>
      </c>
      <c r="M656" s="38">
        <v>0</v>
      </c>
    </row>
    <row r="657" spans="1:13" ht="15" customHeight="1" x14ac:dyDescent="0.3">
      <c r="A657" s="38" t="s">
        <v>1390</v>
      </c>
      <c r="B657" s="40">
        <v>34004</v>
      </c>
      <c r="C657" s="41">
        <v>8.7999999999999995E-2</v>
      </c>
      <c r="D657" s="38">
        <v>36</v>
      </c>
      <c r="E657" s="38" t="s">
        <v>35</v>
      </c>
      <c r="F657" s="38" t="s">
        <v>80</v>
      </c>
      <c r="G657" s="38">
        <v>33358</v>
      </c>
      <c r="H657" s="43">
        <v>0.44</v>
      </c>
      <c r="I657" s="43">
        <v>0.81</v>
      </c>
      <c r="J657" s="38">
        <v>23.2</v>
      </c>
      <c r="K657" s="42">
        <v>8977.0560000000005</v>
      </c>
      <c r="L657" s="42">
        <v>2992.35</v>
      </c>
      <c r="M657" s="38">
        <v>0</v>
      </c>
    </row>
    <row r="658" spans="1:13" ht="15" customHeight="1" x14ac:dyDescent="0.3">
      <c r="A658" s="44" t="s">
        <v>1392</v>
      </c>
      <c r="B658" s="46">
        <v>11225</v>
      </c>
      <c r="C658" s="47">
        <v>0.14000000000000001</v>
      </c>
      <c r="D658" s="44">
        <v>36</v>
      </c>
      <c r="E658" s="44" t="s">
        <v>36</v>
      </c>
      <c r="F658" s="44" t="s">
        <v>83</v>
      </c>
      <c r="G658" s="44">
        <v>93909</v>
      </c>
      <c r="H658" s="49">
        <v>0.17</v>
      </c>
      <c r="I658" s="49">
        <v>0.85</v>
      </c>
      <c r="J658" s="44">
        <v>23.1</v>
      </c>
      <c r="K658" s="48">
        <v>4714.5</v>
      </c>
      <c r="L658" s="48">
        <v>-7742.47</v>
      </c>
      <c r="M658" s="44">
        <v>0</v>
      </c>
    </row>
    <row r="659" spans="1:13" ht="15" customHeight="1" x14ac:dyDescent="0.3">
      <c r="A659" s="38" t="s">
        <v>1394</v>
      </c>
      <c r="B659" s="40">
        <v>35905</v>
      </c>
      <c r="C659" s="41">
        <v>0.14799999999999999</v>
      </c>
      <c r="D659" s="38">
        <v>60</v>
      </c>
      <c r="E659" s="38" t="s">
        <v>35</v>
      </c>
      <c r="F659" s="38" t="s">
        <v>80</v>
      </c>
      <c r="G659" s="38">
        <v>49456</v>
      </c>
      <c r="H659" s="43">
        <v>0.34</v>
      </c>
      <c r="I659" s="43">
        <v>0.76</v>
      </c>
      <c r="J659" s="38">
        <v>23.1</v>
      </c>
      <c r="K659" s="42">
        <v>26569.7</v>
      </c>
      <c r="L659" s="42">
        <v>5313.94</v>
      </c>
      <c r="M659" s="38">
        <v>0</v>
      </c>
    </row>
    <row r="660" spans="1:13" ht="15" customHeight="1" x14ac:dyDescent="0.3">
      <c r="A660" s="56" t="s">
        <v>1396</v>
      </c>
      <c r="B660" s="58">
        <v>24312</v>
      </c>
      <c r="C660" s="59">
        <v>0.16400000000000001</v>
      </c>
      <c r="D660" s="56">
        <v>36</v>
      </c>
      <c r="E660" s="56" t="s">
        <v>37</v>
      </c>
      <c r="F660" s="56" t="s">
        <v>66</v>
      </c>
      <c r="G660" s="56">
        <v>64028</v>
      </c>
      <c r="H660" s="61">
        <v>0.42</v>
      </c>
      <c r="I660" s="61">
        <v>0.76</v>
      </c>
      <c r="J660" s="56">
        <v>23.1</v>
      </c>
      <c r="K660" s="60">
        <v>11961.504000000001</v>
      </c>
      <c r="L660" s="60">
        <v>-21795.38</v>
      </c>
      <c r="M660" s="56">
        <v>1</v>
      </c>
    </row>
    <row r="661" spans="1:13" ht="15" customHeight="1" x14ac:dyDescent="0.3">
      <c r="A661" s="56" t="s">
        <v>1398</v>
      </c>
      <c r="B661" s="58">
        <v>34062</v>
      </c>
      <c r="C661" s="59">
        <v>0.13600000000000001</v>
      </c>
      <c r="D661" s="56">
        <v>36</v>
      </c>
      <c r="E661" s="56" t="s">
        <v>37</v>
      </c>
      <c r="F661" s="56" t="s">
        <v>80</v>
      </c>
      <c r="G661" s="56">
        <v>116724</v>
      </c>
      <c r="H661" s="61">
        <v>0.42</v>
      </c>
      <c r="I661" s="61">
        <v>0.55000000000000004</v>
      </c>
      <c r="J661" s="56">
        <v>23.1</v>
      </c>
      <c r="K661" s="60">
        <v>13897.296</v>
      </c>
      <c r="L661" s="60">
        <v>-21727.51</v>
      </c>
      <c r="M661" s="56">
        <v>1</v>
      </c>
    </row>
    <row r="662" spans="1:13" ht="15" customHeight="1" x14ac:dyDescent="0.3">
      <c r="A662" s="38" t="s">
        <v>1400</v>
      </c>
      <c r="B662" s="40">
        <v>22804</v>
      </c>
      <c r="C662" s="41">
        <v>0.11799999999999999</v>
      </c>
      <c r="D662" s="38">
        <v>60</v>
      </c>
      <c r="E662" s="38" t="s">
        <v>35</v>
      </c>
      <c r="F662" s="38" t="s">
        <v>66</v>
      </c>
      <c r="G662" s="38">
        <v>121066</v>
      </c>
      <c r="H662" s="43">
        <v>0.32</v>
      </c>
      <c r="I662" s="43">
        <v>0.55000000000000004</v>
      </c>
      <c r="J662" s="38">
        <v>23</v>
      </c>
      <c r="K662" s="42">
        <v>13454.36</v>
      </c>
      <c r="L662" s="42">
        <v>2690.87</v>
      </c>
      <c r="M662" s="38">
        <v>0</v>
      </c>
    </row>
    <row r="663" spans="1:13" ht="15" customHeight="1" x14ac:dyDescent="0.3">
      <c r="A663" s="38" t="s">
        <v>1402</v>
      </c>
      <c r="B663" s="40">
        <v>36840</v>
      </c>
      <c r="C663" s="41">
        <v>0.11799999999999999</v>
      </c>
      <c r="D663" s="38">
        <v>36</v>
      </c>
      <c r="E663" s="38" t="s">
        <v>35</v>
      </c>
      <c r="F663" s="38" t="s">
        <v>83</v>
      </c>
      <c r="G663" s="38">
        <v>79500</v>
      </c>
      <c r="H663" s="43">
        <v>0.3</v>
      </c>
      <c r="I663" s="43">
        <v>0.8</v>
      </c>
      <c r="J663" s="38">
        <v>23</v>
      </c>
      <c r="K663" s="42">
        <v>13041.36</v>
      </c>
      <c r="L663" s="42">
        <v>4347.12</v>
      </c>
      <c r="M663" s="38">
        <v>0</v>
      </c>
    </row>
    <row r="664" spans="1:13" ht="15" customHeight="1" x14ac:dyDescent="0.3">
      <c r="A664" s="38" t="s">
        <v>1404</v>
      </c>
      <c r="B664" s="40">
        <v>34187</v>
      </c>
      <c r="C664" s="41">
        <v>0.22600000000000001</v>
      </c>
      <c r="D664" s="38">
        <v>60</v>
      </c>
      <c r="E664" s="38" t="s">
        <v>35</v>
      </c>
      <c r="F664" s="38" t="s">
        <v>83</v>
      </c>
      <c r="G664" s="38">
        <v>46968</v>
      </c>
      <c r="H664" s="43">
        <v>0.41</v>
      </c>
      <c r="I664" s="43">
        <v>0.93</v>
      </c>
      <c r="J664" s="38">
        <v>23</v>
      </c>
      <c r="K664" s="42">
        <v>38631.31</v>
      </c>
      <c r="L664" s="42">
        <v>7726.26</v>
      </c>
      <c r="M664" s="38">
        <v>0</v>
      </c>
    </row>
    <row r="665" spans="1:13" ht="15" customHeight="1" x14ac:dyDescent="0.3">
      <c r="A665" s="44" t="s">
        <v>1406</v>
      </c>
      <c r="B665" s="46">
        <v>24019</v>
      </c>
      <c r="C665" s="47">
        <v>0.109</v>
      </c>
      <c r="D665" s="44">
        <v>36</v>
      </c>
      <c r="E665" s="44" t="s">
        <v>36</v>
      </c>
      <c r="F665" s="44" t="s">
        <v>60</v>
      </c>
      <c r="G665" s="44">
        <v>34627</v>
      </c>
      <c r="H665" s="49">
        <v>0.4</v>
      </c>
      <c r="I665" s="49">
        <v>0.72</v>
      </c>
      <c r="J665" s="44">
        <v>23</v>
      </c>
      <c r="K665" s="48">
        <v>7854.2129999999997</v>
      </c>
      <c r="L665" s="48">
        <v>-22690.89</v>
      </c>
      <c r="M665" s="44">
        <v>0</v>
      </c>
    </row>
    <row r="666" spans="1:13" ht="15" customHeight="1" x14ac:dyDescent="0.3">
      <c r="A666" s="44" t="s">
        <v>1408</v>
      </c>
      <c r="B666" s="46">
        <v>30856</v>
      </c>
      <c r="C666" s="47">
        <v>0.216</v>
      </c>
      <c r="D666" s="44">
        <v>60</v>
      </c>
      <c r="E666" s="44" t="s">
        <v>36</v>
      </c>
      <c r="F666" s="44" t="s">
        <v>80</v>
      </c>
      <c r="G666" s="44">
        <v>63037</v>
      </c>
      <c r="H666" s="49">
        <v>0.12</v>
      </c>
      <c r="I666" s="49">
        <v>0.73</v>
      </c>
      <c r="J666" s="44">
        <v>22.9</v>
      </c>
      <c r="K666" s="48">
        <v>33324.480000000003</v>
      </c>
      <c r="L666" s="48">
        <v>-23522.39</v>
      </c>
      <c r="M666" s="44">
        <v>0</v>
      </c>
    </row>
    <row r="667" spans="1:13" ht="15" customHeight="1" x14ac:dyDescent="0.3">
      <c r="A667" s="44" t="s">
        <v>1410</v>
      </c>
      <c r="B667" s="46">
        <v>9984</v>
      </c>
      <c r="C667" s="47">
        <v>0.18</v>
      </c>
      <c r="D667" s="44">
        <v>60</v>
      </c>
      <c r="E667" s="44" t="s">
        <v>36</v>
      </c>
      <c r="F667" s="44" t="s">
        <v>83</v>
      </c>
      <c r="G667" s="44">
        <v>36589</v>
      </c>
      <c r="H667" s="49">
        <v>0.46</v>
      </c>
      <c r="I667" s="49">
        <v>0.93</v>
      </c>
      <c r="J667" s="44">
        <v>22.9</v>
      </c>
      <c r="K667" s="48">
        <v>8985.6</v>
      </c>
      <c r="L667" s="48">
        <v>-7580.05</v>
      </c>
      <c r="M667" s="44">
        <v>0</v>
      </c>
    </row>
    <row r="668" spans="1:13" ht="15" customHeight="1" x14ac:dyDescent="0.3">
      <c r="A668" s="44" t="s">
        <v>1412</v>
      </c>
      <c r="B668" s="46">
        <v>36400</v>
      </c>
      <c r="C668" s="47">
        <v>0.19700000000000001</v>
      </c>
      <c r="D668" s="44">
        <v>60</v>
      </c>
      <c r="E668" s="44" t="s">
        <v>36</v>
      </c>
      <c r="F668" s="44" t="s">
        <v>80</v>
      </c>
      <c r="G668" s="44">
        <v>96458</v>
      </c>
      <c r="H668" s="49">
        <v>0.4</v>
      </c>
      <c r="I668" s="49">
        <v>0.72</v>
      </c>
      <c r="J668" s="44">
        <v>22.9</v>
      </c>
      <c r="K668" s="48">
        <v>35854</v>
      </c>
      <c r="L668" s="48">
        <v>-31560.65</v>
      </c>
      <c r="M668" s="44">
        <v>0</v>
      </c>
    </row>
    <row r="669" spans="1:13" ht="15" customHeight="1" x14ac:dyDescent="0.3">
      <c r="A669" s="38" t="s">
        <v>1414</v>
      </c>
      <c r="B669" s="40">
        <v>7563</v>
      </c>
      <c r="C669" s="41">
        <v>0.20699999999999999</v>
      </c>
      <c r="D669" s="38">
        <v>60</v>
      </c>
      <c r="E669" s="38" t="s">
        <v>35</v>
      </c>
      <c r="F669" s="38" t="s">
        <v>257</v>
      </c>
      <c r="G669" s="38">
        <v>119462</v>
      </c>
      <c r="H669" s="43">
        <v>0.42</v>
      </c>
      <c r="I669" s="43">
        <v>0.62</v>
      </c>
      <c r="J669" s="38">
        <v>22.9</v>
      </c>
      <c r="K669" s="42">
        <v>7827.7049999999999</v>
      </c>
      <c r="L669" s="42">
        <v>1565.54</v>
      </c>
      <c r="M669" s="38">
        <v>0</v>
      </c>
    </row>
    <row r="670" spans="1:13" ht="15" customHeight="1" x14ac:dyDescent="0.3">
      <c r="A670" s="38" t="s">
        <v>1416</v>
      </c>
      <c r="B670" s="40">
        <v>5090</v>
      </c>
      <c r="C670" s="41">
        <v>5.2999999999999999E-2</v>
      </c>
      <c r="D670" s="38">
        <v>60</v>
      </c>
      <c r="E670" s="38" t="s">
        <v>35</v>
      </c>
      <c r="F670" s="38" t="s">
        <v>71</v>
      </c>
      <c r="G670" s="38">
        <v>30670</v>
      </c>
      <c r="H670" s="43">
        <v>0.28000000000000003</v>
      </c>
      <c r="I670" s="43">
        <v>0.59</v>
      </c>
      <c r="J670" s="38">
        <v>22.9</v>
      </c>
      <c r="K670" s="42">
        <v>1348.85</v>
      </c>
      <c r="L670" s="42">
        <v>269.77</v>
      </c>
      <c r="M670" s="38">
        <v>0</v>
      </c>
    </row>
    <row r="671" spans="1:13" ht="15" customHeight="1" x14ac:dyDescent="0.3">
      <c r="A671" s="56" t="s">
        <v>1418</v>
      </c>
      <c r="B671" s="58">
        <v>7638</v>
      </c>
      <c r="C671" s="59">
        <v>9.2999999999999999E-2</v>
      </c>
      <c r="D671" s="56">
        <v>60</v>
      </c>
      <c r="E671" s="56" t="s">
        <v>37</v>
      </c>
      <c r="F671" s="56" t="s">
        <v>114</v>
      </c>
      <c r="G671" s="56">
        <v>110357</v>
      </c>
      <c r="H671" s="61">
        <v>0.23</v>
      </c>
      <c r="I671" s="61">
        <v>0.55000000000000004</v>
      </c>
      <c r="J671" s="56">
        <v>22.9</v>
      </c>
      <c r="K671" s="60">
        <v>3551.67</v>
      </c>
      <c r="L671" s="60">
        <v>-5870.16</v>
      </c>
      <c r="M671" s="56">
        <v>1</v>
      </c>
    </row>
    <row r="672" spans="1:13" ht="15" customHeight="1" x14ac:dyDescent="0.3">
      <c r="A672" s="56" t="s">
        <v>1420</v>
      </c>
      <c r="B672" s="58">
        <v>26611</v>
      </c>
      <c r="C672" s="59">
        <v>0.189</v>
      </c>
      <c r="D672" s="56">
        <v>60</v>
      </c>
      <c r="E672" s="56" t="s">
        <v>37</v>
      </c>
      <c r="F672" s="56" t="s">
        <v>83</v>
      </c>
      <c r="G672" s="56">
        <v>118059</v>
      </c>
      <c r="H672" s="61">
        <v>0.12</v>
      </c>
      <c r="I672" s="61">
        <v>0.65</v>
      </c>
      <c r="J672" s="56">
        <v>22.8</v>
      </c>
      <c r="K672" s="60">
        <v>25147.395</v>
      </c>
      <c r="L672" s="60">
        <v>-12952.71</v>
      </c>
      <c r="M672" s="56">
        <v>1</v>
      </c>
    </row>
    <row r="673" spans="1:13" ht="15" customHeight="1" x14ac:dyDescent="0.3">
      <c r="A673" s="38" t="s">
        <v>1422</v>
      </c>
      <c r="B673" s="40">
        <v>30398</v>
      </c>
      <c r="C673" s="41">
        <v>8.2000000000000003E-2</v>
      </c>
      <c r="D673" s="38">
        <v>60</v>
      </c>
      <c r="E673" s="38" t="s">
        <v>35</v>
      </c>
      <c r="F673" s="38" t="s">
        <v>80</v>
      </c>
      <c r="G673" s="38">
        <v>47374</v>
      </c>
      <c r="H673" s="43">
        <v>0.18</v>
      </c>
      <c r="I673" s="43">
        <v>0.81</v>
      </c>
      <c r="J673" s="38">
        <v>22.8</v>
      </c>
      <c r="K673" s="42">
        <v>12463.18</v>
      </c>
      <c r="L673" s="42">
        <v>2492.64</v>
      </c>
      <c r="M673" s="38">
        <v>0</v>
      </c>
    </row>
    <row r="674" spans="1:13" ht="15" customHeight="1" x14ac:dyDescent="0.3">
      <c r="A674" s="38" t="s">
        <v>1424</v>
      </c>
      <c r="B674" s="40">
        <v>13676</v>
      </c>
      <c r="C674" s="41">
        <v>5.5E-2</v>
      </c>
      <c r="D674" s="38">
        <v>36</v>
      </c>
      <c r="E674" s="38" t="s">
        <v>35</v>
      </c>
      <c r="F674" s="38" t="s">
        <v>71</v>
      </c>
      <c r="G674" s="38">
        <v>81877</v>
      </c>
      <c r="H674" s="43">
        <v>0.23</v>
      </c>
      <c r="I674" s="43">
        <v>0.67</v>
      </c>
      <c r="J674" s="38">
        <v>22.8</v>
      </c>
      <c r="K674" s="42">
        <v>2256.54</v>
      </c>
      <c r="L674" s="42">
        <v>752.18</v>
      </c>
      <c r="M674" s="38">
        <v>0</v>
      </c>
    </row>
    <row r="675" spans="1:13" ht="15" customHeight="1" x14ac:dyDescent="0.3">
      <c r="A675" s="38" t="s">
        <v>1426</v>
      </c>
      <c r="B675" s="40">
        <v>20994</v>
      </c>
      <c r="C675" s="41">
        <v>7.1999999999999995E-2</v>
      </c>
      <c r="D675" s="38">
        <v>36</v>
      </c>
      <c r="E675" s="38" t="s">
        <v>35</v>
      </c>
      <c r="F675" s="38" t="s">
        <v>83</v>
      </c>
      <c r="G675" s="38">
        <v>142805</v>
      </c>
      <c r="H675" s="43">
        <v>0.15</v>
      </c>
      <c r="I675" s="43">
        <v>0.54</v>
      </c>
      <c r="J675" s="38">
        <v>22.7</v>
      </c>
      <c r="K675" s="42">
        <v>4534.7039999999997</v>
      </c>
      <c r="L675" s="42">
        <v>1511.57</v>
      </c>
      <c r="M675" s="38">
        <v>0</v>
      </c>
    </row>
    <row r="676" spans="1:13" ht="15" customHeight="1" x14ac:dyDescent="0.3">
      <c r="A676" s="38" t="s">
        <v>1428</v>
      </c>
      <c r="B676" s="40">
        <v>7610</v>
      </c>
      <c r="C676" s="41">
        <v>5.8000000000000003E-2</v>
      </c>
      <c r="D676" s="38">
        <v>60</v>
      </c>
      <c r="E676" s="38" t="s">
        <v>35</v>
      </c>
      <c r="F676" s="38" t="s">
        <v>71</v>
      </c>
      <c r="G676" s="38">
        <v>87535</v>
      </c>
      <c r="H676" s="43">
        <v>0.19</v>
      </c>
      <c r="I676" s="43">
        <v>0.73</v>
      </c>
      <c r="J676" s="38">
        <v>22.7</v>
      </c>
      <c r="K676" s="42">
        <v>2206.9</v>
      </c>
      <c r="L676" s="42">
        <v>441.38</v>
      </c>
      <c r="M676" s="38">
        <v>0</v>
      </c>
    </row>
    <row r="677" spans="1:13" ht="15" customHeight="1" x14ac:dyDescent="0.3">
      <c r="A677" s="44" t="s">
        <v>1430</v>
      </c>
      <c r="B677" s="46">
        <v>5263</v>
      </c>
      <c r="C677" s="47">
        <v>0.14000000000000001</v>
      </c>
      <c r="D677" s="44">
        <v>36</v>
      </c>
      <c r="E677" s="44" t="s">
        <v>36</v>
      </c>
      <c r="F677" s="44" t="s">
        <v>80</v>
      </c>
      <c r="G677" s="44">
        <v>99300</v>
      </c>
      <c r="H677" s="49">
        <v>0.21</v>
      </c>
      <c r="I677" s="49">
        <v>0.68</v>
      </c>
      <c r="J677" s="44">
        <v>22.7</v>
      </c>
      <c r="K677" s="48">
        <v>2210.46</v>
      </c>
      <c r="L677" s="48">
        <v>-4377.26</v>
      </c>
      <c r="M677" s="44">
        <v>0</v>
      </c>
    </row>
    <row r="678" spans="1:13" ht="15" customHeight="1" x14ac:dyDescent="0.3">
      <c r="A678" s="44" t="s">
        <v>1432</v>
      </c>
      <c r="B678" s="46">
        <v>7116</v>
      </c>
      <c r="C678" s="47">
        <v>0.216</v>
      </c>
      <c r="D678" s="44">
        <v>60</v>
      </c>
      <c r="E678" s="44" t="s">
        <v>36</v>
      </c>
      <c r="F678" s="44" t="s">
        <v>60</v>
      </c>
      <c r="G678" s="44">
        <v>144091</v>
      </c>
      <c r="H678" s="49">
        <v>0.21</v>
      </c>
      <c r="I678" s="49">
        <v>0.86</v>
      </c>
      <c r="J678" s="44">
        <v>22.7</v>
      </c>
      <c r="K678" s="48">
        <v>7685.28</v>
      </c>
      <c r="L678" s="48">
        <v>-3966.39</v>
      </c>
      <c r="M678" s="44">
        <v>0</v>
      </c>
    </row>
    <row r="679" spans="1:13" ht="15" customHeight="1" x14ac:dyDescent="0.3">
      <c r="A679" s="38" t="s">
        <v>1434</v>
      </c>
      <c r="B679" s="40">
        <v>16360</v>
      </c>
      <c r="C679" s="41">
        <v>7.2999999999999995E-2</v>
      </c>
      <c r="D679" s="38">
        <v>60</v>
      </c>
      <c r="E679" s="38" t="s">
        <v>35</v>
      </c>
      <c r="F679" s="38" t="s">
        <v>71</v>
      </c>
      <c r="G679" s="38">
        <v>96788</v>
      </c>
      <c r="H679" s="43">
        <v>0.47</v>
      </c>
      <c r="I679" s="43">
        <v>0.62</v>
      </c>
      <c r="J679" s="38">
        <v>22.7</v>
      </c>
      <c r="K679" s="42">
        <v>5971.4</v>
      </c>
      <c r="L679" s="42">
        <v>1194.28</v>
      </c>
      <c r="M679" s="38">
        <v>0</v>
      </c>
    </row>
    <row r="680" spans="1:13" ht="15" customHeight="1" x14ac:dyDescent="0.3">
      <c r="A680" s="38" t="s">
        <v>1436</v>
      </c>
      <c r="B680" s="40">
        <v>38567</v>
      </c>
      <c r="C680" s="41">
        <v>0.14000000000000001</v>
      </c>
      <c r="D680" s="38">
        <v>60</v>
      </c>
      <c r="E680" s="38" t="s">
        <v>35</v>
      </c>
      <c r="F680" s="38" t="s">
        <v>257</v>
      </c>
      <c r="G680" s="38">
        <v>82691</v>
      </c>
      <c r="H680" s="43">
        <v>0.15</v>
      </c>
      <c r="I680" s="43">
        <v>0.83</v>
      </c>
      <c r="J680" s="38">
        <v>22.6</v>
      </c>
      <c r="K680" s="42">
        <v>26996.9</v>
      </c>
      <c r="L680" s="42">
        <v>5399.38</v>
      </c>
      <c r="M680" s="38">
        <v>0</v>
      </c>
    </row>
    <row r="681" spans="1:13" ht="15" customHeight="1" x14ac:dyDescent="0.3">
      <c r="A681" s="44" t="s">
        <v>1438</v>
      </c>
      <c r="B681" s="46">
        <v>4716</v>
      </c>
      <c r="C681" s="47">
        <v>9.8000000000000004E-2</v>
      </c>
      <c r="D681" s="44">
        <v>36</v>
      </c>
      <c r="E681" s="44" t="s">
        <v>36</v>
      </c>
      <c r="F681" s="44" t="s">
        <v>60</v>
      </c>
      <c r="G681" s="44">
        <v>59631</v>
      </c>
      <c r="H681" s="49">
        <v>0.17</v>
      </c>
      <c r="I681" s="49">
        <v>0.94</v>
      </c>
      <c r="J681" s="44">
        <v>22.5</v>
      </c>
      <c r="K681" s="48">
        <v>1386.5039999999999</v>
      </c>
      <c r="L681" s="48">
        <v>-3358.34</v>
      </c>
      <c r="M681" s="44">
        <v>0</v>
      </c>
    </row>
    <row r="682" spans="1:13" ht="15" customHeight="1" x14ac:dyDescent="0.3">
      <c r="A682" s="44" t="s">
        <v>1440</v>
      </c>
      <c r="B682" s="46">
        <v>36201</v>
      </c>
      <c r="C682" s="47">
        <v>5.6000000000000001E-2</v>
      </c>
      <c r="D682" s="44">
        <v>60</v>
      </c>
      <c r="E682" s="44" t="s">
        <v>36</v>
      </c>
      <c r="F682" s="44" t="s">
        <v>83</v>
      </c>
      <c r="G682" s="44">
        <v>51119</v>
      </c>
      <c r="H682" s="49">
        <v>0.13</v>
      </c>
      <c r="I682" s="49">
        <v>0.62</v>
      </c>
      <c r="J682" s="44">
        <v>22.5</v>
      </c>
      <c r="K682" s="48">
        <v>10136.280000000001</v>
      </c>
      <c r="L682" s="48">
        <v>-26716.799999999999</v>
      </c>
      <c r="M682" s="44">
        <v>0</v>
      </c>
    </row>
    <row r="683" spans="1:13" ht="15" customHeight="1" x14ac:dyDescent="0.3">
      <c r="A683" s="44" t="s">
        <v>1442</v>
      </c>
      <c r="B683" s="46">
        <v>39890</v>
      </c>
      <c r="C683" s="47">
        <v>0.14599999999999999</v>
      </c>
      <c r="D683" s="44">
        <v>36</v>
      </c>
      <c r="E683" s="44" t="s">
        <v>36</v>
      </c>
      <c r="F683" s="44" t="s">
        <v>66</v>
      </c>
      <c r="G683" s="44">
        <v>109698</v>
      </c>
      <c r="H683" s="49">
        <v>0.32</v>
      </c>
      <c r="I683" s="49">
        <v>0.69</v>
      </c>
      <c r="J683" s="44">
        <v>22.5</v>
      </c>
      <c r="K683" s="48">
        <v>17471.82</v>
      </c>
      <c r="L683" s="48">
        <v>-36585.68</v>
      </c>
      <c r="M683" s="44">
        <v>0</v>
      </c>
    </row>
    <row r="684" spans="1:13" ht="15" customHeight="1" x14ac:dyDescent="0.3">
      <c r="A684" s="38" t="s">
        <v>1444</v>
      </c>
      <c r="B684" s="40">
        <v>9942</v>
      </c>
      <c r="C684" s="41">
        <v>0.183</v>
      </c>
      <c r="D684" s="38">
        <v>36</v>
      </c>
      <c r="E684" s="38" t="s">
        <v>35</v>
      </c>
      <c r="F684" s="38" t="s">
        <v>66</v>
      </c>
      <c r="G684" s="38">
        <v>117999</v>
      </c>
      <c r="H684" s="43">
        <v>0.4</v>
      </c>
      <c r="I684" s="43">
        <v>0.92</v>
      </c>
      <c r="J684" s="38">
        <v>22.5</v>
      </c>
      <c r="K684" s="42">
        <v>5458.1580000000004</v>
      </c>
      <c r="L684" s="42">
        <v>1819.39</v>
      </c>
      <c r="M684" s="38">
        <v>0</v>
      </c>
    </row>
    <row r="685" spans="1:13" ht="15" customHeight="1" x14ac:dyDescent="0.3">
      <c r="A685" s="38" t="s">
        <v>1446</v>
      </c>
      <c r="B685" s="40">
        <v>12695</v>
      </c>
      <c r="C685" s="41">
        <v>5.0999999999999997E-2</v>
      </c>
      <c r="D685" s="38">
        <v>60</v>
      </c>
      <c r="E685" s="38" t="s">
        <v>35</v>
      </c>
      <c r="F685" s="38" t="s">
        <v>80</v>
      </c>
      <c r="G685" s="38">
        <v>55832</v>
      </c>
      <c r="H685" s="43">
        <v>0.16</v>
      </c>
      <c r="I685" s="43">
        <v>0.77</v>
      </c>
      <c r="J685" s="38">
        <v>22.5</v>
      </c>
      <c r="K685" s="42">
        <v>3237.2249999999999</v>
      </c>
      <c r="L685" s="42">
        <v>647.44000000000096</v>
      </c>
      <c r="M685" s="38">
        <v>0</v>
      </c>
    </row>
    <row r="686" spans="1:13" ht="15" customHeight="1" x14ac:dyDescent="0.3">
      <c r="A686" s="56" t="s">
        <v>1448</v>
      </c>
      <c r="B686" s="58">
        <v>29141</v>
      </c>
      <c r="C686" s="59">
        <v>8.5999999999999993E-2</v>
      </c>
      <c r="D686" s="56">
        <v>60</v>
      </c>
      <c r="E686" s="56" t="s">
        <v>37</v>
      </c>
      <c r="F686" s="56" t="s">
        <v>66</v>
      </c>
      <c r="G686" s="56">
        <v>130356</v>
      </c>
      <c r="H686" s="61">
        <v>0.43</v>
      </c>
      <c r="I686" s="61">
        <v>0.6</v>
      </c>
      <c r="J686" s="56">
        <v>22.4</v>
      </c>
      <c r="K686" s="60">
        <v>12530.63</v>
      </c>
      <c r="L686" s="60">
        <v>-15285.46</v>
      </c>
      <c r="M686" s="56">
        <v>1</v>
      </c>
    </row>
    <row r="687" spans="1:13" ht="15" customHeight="1" x14ac:dyDescent="0.3">
      <c r="A687" s="44" t="s">
        <v>1450</v>
      </c>
      <c r="B687" s="46">
        <v>25981</v>
      </c>
      <c r="C687" s="47">
        <v>0.22500000000000001</v>
      </c>
      <c r="D687" s="44">
        <v>60</v>
      </c>
      <c r="E687" s="44" t="s">
        <v>36</v>
      </c>
      <c r="F687" s="44" t="s">
        <v>257</v>
      </c>
      <c r="G687" s="44">
        <v>62299</v>
      </c>
      <c r="H687" s="49">
        <v>0.38</v>
      </c>
      <c r="I687" s="49">
        <v>0.78</v>
      </c>
      <c r="J687" s="44">
        <v>22.4</v>
      </c>
      <c r="K687" s="48">
        <v>29228.625</v>
      </c>
      <c r="L687" s="48">
        <v>-15160.21</v>
      </c>
      <c r="M687" s="44">
        <v>0</v>
      </c>
    </row>
    <row r="688" spans="1:13" ht="15" customHeight="1" x14ac:dyDescent="0.3">
      <c r="A688" s="38" t="s">
        <v>1452</v>
      </c>
      <c r="B688" s="40">
        <v>30711</v>
      </c>
      <c r="C688" s="41">
        <v>6.8000000000000005E-2</v>
      </c>
      <c r="D688" s="38">
        <v>60</v>
      </c>
      <c r="E688" s="38" t="s">
        <v>35</v>
      </c>
      <c r="F688" s="38" t="s">
        <v>80</v>
      </c>
      <c r="G688" s="38">
        <v>74386</v>
      </c>
      <c r="H688" s="43">
        <v>0.19</v>
      </c>
      <c r="I688" s="43">
        <v>0.77</v>
      </c>
      <c r="J688" s="38">
        <v>22.4</v>
      </c>
      <c r="K688" s="42">
        <v>10441.74</v>
      </c>
      <c r="L688" s="42">
        <v>2088.35</v>
      </c>
      <c r="M688" s="38">
        <v>0</v>
      </c>
    </row>
    <row r="689" spans="1:13" ht="15" customHeight="1" x14ac:dyDescent="0.3">
      <c r="A689" s="44" t="s">
        <v>1454</v>
      </c>
      <c r="B689" s="46">
        <v>27017</v>
      </c>
      <c r="C689" s="47">
        <v>0.13100000000000001</v>
      </c>
      <c r="D689" s="44">
        <v>36</v>
      </c>
      <c r="E689" s="44" t="s">
        <v>36</v>
      </c>
      <c r="F689" s="44" t="s">
        <v>60</v>
      </c>
      <c r="G689" s="44">
        <v>77295</v>
      </c>
      <c r="H689" s="49">
        <v>0.41</v>
      </c>
      <c r="I689" s="49">
        <v>0.87</v>
      </c>
      <c r="J689" s="44">
        <v>22.2</v>
      </c>
      <c r="K689" s="48">
        <v>10617.681</v>
      </c>
      <c r="L689" s="48">
        <v>-22522.37</v>
      </c>
      <c r="M689" s="44">
        <v>0</v>
      </c>
    </row>
    <row r="690" spans="1:13" ht="15" customHeight="1" x14ac:dyDescent="0.3">
      <c r="A690" s="38" t="s">
        <v>1456</v>
      </c>
      <c r="B690" s="40">
        <v>19787</v>
      </c>
      <c r="C690" s="41">
        <v>0.17299999999999999</v>
      </c>
      <c r="D690" s="38">
        <v>36</v>
      </c>
      <c r="E690" s="38" t="s">
        <v>35</v>
      </c>
      <c r="F690" s="38" t="s">
        <v>71</v>
      </c>
      <c r="G690" s="38">
        <v>53993</v>
      </c>
      <c r="H690" s="43">
        <v>0.15</v>
      </c>
      <c r="I690" s="43">
        <v>0.75</v>
      </c>
      <c r="J690" s="38">
        <v>22.2</v>
      </c>
      <c r="K690" s="42">
        <v>10269.453</v>
      </c>
      <c r="L690" s="42">
        <v>3423.15</v>
      </c>
      <c r="M690" s="38">
        <v>0</v>
      </c>
    </row>
    <row r="691" spans="1:13" ht="15" customHeight="1" x14ac:dyDescent="0.3">
      <c r="A691" s="38" t="s">
        <v>1458</v>
      </c>
      <c r="B691" s="40">
        <v>15996</v>
      </c>
      <c r="C691" s="41">
        <v>6.4000000000000001E-2</v>
      </c>
      <c r="D691" s="38">
        <v>36</v>
      </c>
      <c r="E691" s="38" t="s">
        <v>35</v>
      </c>
      <c r="F691" s="38" t="s">
        <v>71</v>
      </c>
      <c r="G691" s="38">
        <v>134135</v>
      </c>
      <c r="H691" s="43">
        <v>0.45</v>
      </c>
      <c r="I691" s="43">
        <v>0.53</v>
      </c>
      <c r="J691" s="38">
        <v>22.2</v>
      </c>
      <c r="K691" s="42">
        <v>3071.232</v>
      </c>
      <c r="L691" s="42">
        <v>1023.74</v>
      </c>
      <c r="M691" s="38">
        <v>0</v>
      </c>
    </row>
    <row r="692" spans="1:13" ht="15" customHeight="1" x14ac:dyDescent="0.3">
      <c r="A692" s="38" t="s">
        <v>1460</v>
      </c>
      <c r="B692" s="40">
        <v>29625</v>
      </c>
      <c r="C692" s="41">
        <v>5.5E-2</v>
      </c>
      <c r="D692" s="38">
        <v>60</v>
      </c>
      <c r="E692" s="38" t="s">
        <v>35</v>
      </c>
      <c r="F692" s="38" t="s">
        <v>60</v>
      </c>
      <c r="G692" s="38">
        <v>121679</v>
      </c>
      <c r="H692" s="43">
        <v>0.41</v>
      </c>
      <c r="I692" s="43">
        <v>0.72</v>
      </c>
      <c r="J692" s="38">
        <v>22.2</v>
      </c>
      <c r="K692" s="42">
        <v>8146.875</v>
      </c>
      <c r="L692" s="42">
        <v>1629.37</v>
      </c>
      <c r="M692" s="38">
        <v>0</v>
      </c>
    </row>
    <row r="693" spans="1:13" ht="15" customHeight="1" x14ac:dyDescent="0.3">
      <c r="A693" s="38" t="s">
        <v>1462</v>
      </c>
      <c r="B693" s="40">
        <v>24411</v>
      </c>
      <c r="C693" s="41">
        <v>0.21</v>
      </c>
      <c r="D693" s="38">
        <v>36</v>
      </c>
      <c r="E693" s="38" t="s">
        <v>35</v>
      </c>
      <c r="F693" s="38" t="s">
        <v>60</v>
      </c>
      <c r="G693" s="38">
        <v>102518</v>
      </c>
      <c r="H693" s="43">
        <v>0.25</v>
      </c>
      <c r="I693" s="43">
        <v>0.7</v>
      </c>
      <c r="J693" s="38">
        <v>22</v>
      </c>
      <c r="K693" s="42">
        <v>15378.93</v>
      </c>
      <c r="L693" s="42">
        <v>5126.3100000000004</v>
      </c>
      <c r="M693" s="38">
        <v>0</v>
      </c>
    </row>
    <row r="694" spans="1:13" ht="15" customHeight="1" x14ac:dyDescent="0.3">
      <c r="A694" s="38" t="s">
        <v>1464</v>
      </c>
      <c r="B694" s="40">
        <v>14025</v>
      </c>
      <c r="C694" s="41">
        <v>0.17299999999999999</v>
      </c>
      <c r="D694" s="38">
        <v>36</v>
      </c>
      <c r="E694" s="38" t="s">
        <v>35</v>
      </c>
      <c r="F694" s="38" t="s">
        <v>60</v>
      </c>
      <c r="G694" s="38">
        <v>146136</v>
      </c>
      <c r="H694" s="43">
        <v>0.11</v>
      </c>
      <c r="I694" s="43">
        <v>0.71</v>
      </c>
      <c r="J694" s="38">
        <v>22</v>
      </c>
      <c r="K694" s="42">
        <v>7278.9750000000004</v>
      </c>
      <c r="L694" s="42">
        <v>2426.3200000000002</v>
      </c>
      <c r="M694" s="38">
        <v>0</v>
      </c>
    </row>
    <row r="695" spans="1:13" ht="15" customHeight="1" x14ac:dyDescent="0.3">
      <c r="A695" s="44" t="s">
        <v>1466</v>
      </c>
      <c r="B695" s="46">
        <v>37444</v>
      </c>
      <c r="C695" s="47">
        <v>0.18</v>
      </c>
      <c r="D695" s="44">
        <v>60</v>
      </c>
      <c r="E695" s="44" t="s">
        <v>36</v>
      </c>
      <c r="F695" s="44" t="s">
        <v>66</v>
      </c>
      <c r="G695" s="44">
        <v>87433</v>
      </c>
      <c r="H695" s="49">
        <v>0.27</v>
      </c>
      <c r="I695" s="49">
        <v>0.78</v>
      </c>
      <c r="J695" s="44">
        <v>22</v>
      </c>
      <c r="K695" s="48">
        <v>33699.599999999999</v>
      </c>
      <c r="L695" s="48">
        <v>-25666.04</v>
      </c>
      <c r="M695" s="44">
        <v>0</v>
      </c>
    </row>
    <row r="696" spans="1:13" ht="15" customHeight="1" x14ac:dyDescent="0.3">
      <c r="A696" s="56" t="s">
        <v>1468</v>
      </c>
      <c r="B696" s="58">
        <v>24051</v>
      </c>
      <c r="C696" s="59">
        <v>0.185</v>
      </c>
      <c r="D696" s="56">
        <v>60</v>
      </c>
      <c r="E696" s="56" t="s">
        <v>37</v>
      </c>
      <c r="F696" s="56" t="s">
        <v>60</v>
      </c>
      <c r="G696" s="56">
        <v>78008</v>
      </c>
      <c r="H696" s="61">
        <v>0.41</v>
      </c>
      <c r="I696" s="61">
        <v>0.66</v>
      </c>
      <c r="J696" s="56">
        <v>22</v>
      </c>
      <c r="K696" s="60">
        <v>22247.174999999999</v>
      </c>
      <c r="L696" s="60">
        <v>-12288.14</v>
      </c>
      <c r="M696" s="56">
        <v>1</v>
      </c>
    </row>
    <row r="697" spans="1:13" ht="15" customHeight="1" x14ac:dyDescent="0.3">
      <c r="A697" s="38" t="s">
        <v>1470</v>
      </c>
      <c r="B697" s="40">
        <v>37321</v>
      </c>
      <c r="C697" s="41">
        <v>0.129</v>
      </c>
      <c r="D697" s="38">
        <v>60</v>
      </c>
      <c r="E697" s="38" t="s">
        <v>35</v>
      </c>
      <c r="F697" s="38" t="s">
        <v>257</v>
      </c>
      <c r="G697" s="38">
        <v>72933</v>
      </c>
      <c r="H697" s="43">
        <v>0.1</v>
      </c>
      <c r="I697" s="43">
        <v>0.54</v>
      </c>
      <c r="J697" s="38">
        <v>21.9</v>
      </c>
      <c r="K697" s="42">
        <v>24072.044999999998</v>
      </c>
      <c r="L697" s="42">
        <v>4814.41</v>
      </c>
      <c r="M697" s="38">
        <v>0</v>
      </c>
    </row>
    <row r="698" spans="1:13" ht="15" customHeight="1" x14ac:dyDescent="0.3">
      <c r="A698" s="56" t="s">
        <v>1472</v>
      </c>
      <c r="B698" s="58">
        <v>8446</v>
      </c>
      <c r="C698" s="59">
        <v>0.20699999999999999</v>
      </c>
      <c r="D698" s="56">
        <v>60</v>
      </c>
      <c r="E698" s="56" t="s">
        <v>37</v>
      </c>
      <c r="F698" s="56" t="s">
        <v>60</v>
      </c>
      <c r="G698" s="56">
        <v>118535</v>
      </c>
      <c r="H698" s="61">
        <v>0.48</v>
      </c>
      <c r="I698" s="61">
        <v>0.9</v>
      </c>
      <c r="J698" s="56">
        <v>21.9</v>
      </c>
      <c r="K698" s="60">
        <v>8741.61</v>
      </c>
      <c r="L698" s="60">
        <v>-7131.8</v>
      </c>
      <c r="M698" s="56">
        <v>1</v>
      </c>
    </row>
    <row r="699" spans="1:13" ht="15" customHeight="1" x14ac:dyDescent="0.3">
      <c r="A699" s="38" t="s">
        <v>1474</v>
      </c>
      <c r="B699" s="40">
        <v>16349</v>
      </c>
      <c r="C699" s="41">
        <v>0.22500000000000001</v>
      </c>
      <c r="D699" s="38">
        <v>36</v>
      </c>
      <c r="E699" s="38" t="s">
        <v>35</v>
      </c>
      <c r="F699" s="38" t="s">
        <v>60</v>
      </c>
      <c r="G699" s="38">
        <v>95149</v>
      </c>
      <c r="H699" s="43">
        <v>0.17</v>
      </c>
      <c r="I699" s="43">
        <v>0.87</v>
      </c>
      <c r="J699" s="38">
        <v>21.9</v>
      </c>
      <c r="K699" s="42">
        <v>11035.575000000001</v>
      </c>
      <c r="L699" s="42">
        <v>3678.53</v>
      </c>
      <c r="M699" s="38">
        <v>0</v>
      </c>
    </row>
    <row r="700" spans="1:13" ht="15" customHeight="1" x14ac:dyDescent="0.3">
      <c r="A700" s="56" t="s">
        <v>1476</v>
      </c>
      <c r="B700" s="58">
        <v>37062</v>
      </c>
      <c r="C700" s="59">
        <v>0.19800000000000001</v>
      </c>
      <c r="D700" s="56">
        <v>60</v>
      </c>
      <c r="E700" s="56" t="s">
        <v>37</v>
      </c>
      <c r="F700" s="56" t="s">
        <v>60</v>
      </c>
      <c r="G700" s="56">
        <v>111471</v>
      </c>
      <c r="H700" s="61">
        <v>0.27</v>
      </c>
      <c r="I700" s="61">
        <v>0.87</v>
      </c>
      <c r="J700" s="56">
        <v>21.9</v>
      </c>
      <c r="K700" s="60">
        <v>36691.379999999997</v>
      </c>
      <c r="L700" s="60">
        <v>-23839.21</v>
      </c>
      <c r="M700" s="56">
        <v>1</v>
      </c>
    </row>
    <row r="701" spans="1:13" ht="15" customHeight="1" x14ac:dyDescent="0.3">
      <c r="A701" s="44" t="s">
        <v>1478</v>
      </c>
      <c r="B701" s="46">
        <v>20816</v>
      </c>
      <c r="C701" s="47">
        <v>0.184</v>
      </c>
      <c r="D701" s="44">
        <v>60</v>
      </c>
      <c r="E701" s="44" t="s">
        <v>36</v>
      </c>
      <c r="F701" s="44" t="s">
        <v>80</v>
      </c>
      <c r="G701" s="44">
        <v>61379</v>
      </c>
      <c r="H701" s="49">
        <v>0.35</v>
      </c>
      <c r="I701" s="49">
        <v>0.56000000000000005</v>
      </c>
      <c r="J701" s="44">
        <v>21.9</v>
      </c>
      <c r="K701" s="48">
        <v>19150.72</v>
      </c>
      <c r="L701" s="48">
        <v>-17505.43</v>
      </c>
      <c r="M701" s="44">
        <v>0</v>
      </c>
    </row>
    <row r="702" spans="1:13" ht="15" customHeight="1" x14ac:dyDescent="0.3">
      <c r="A702" s="44" t="s">
        <v>1480</v>
      </c>
      <c r="B702" s="46">
        <v>16317</v>
      </c>
      <c r="C702" s="47">
        <v>0.20100000000000001</v>
      </c>
      <c r="D702" s="44">
        <v>60</v>
      </c>
      <c r="E702" s="44" t="s">
        <v>36</v>
      </c>
      <c r="F702" s="44" t="s">
        <v>66</v>
      </c>
      <c r="G702" s="44">
        <v>63722</v>
      </c>
      <c r="H702" s="49">
        <v>0.21</v>
      </c>
      <c r="I702" s="49">
        <v>0.76</v>
      </c>
      <c r="J702" s="44">
        <v>21.8</v>
      </c>
      <c r="K702" s="48">
        <v>16398.584999999999</v>
      </c>
      <c r="L702" s="48">
        <v>-13799.2</v>
      </c>
      <c r="M702" s="44">
        <v>0</v>
      </c>
    </row>
    <row r="703" spans="1:13" ht="15" customHeight="1" x14ac:dyDescent="0.3">
      <c r="A703" s="38" t="s">
        <v>1482</v>
      </c>
      <c r="B703" s="40">
        <v>38380</v>
      </c>
      <c r="C703" s="41">
        <v>7.0000000000000007E-2</v>
      </c>
      <c r="D703" s="38">
        <v>36</v>
      </c>
      <c r="E703" s="38" t="s">
        <v>35</v>
      </c>
      <c r="F703" s="38" t="s">
        <v>257</v>
      </c>
      <c r="G703" s="38">
        <v>38263</v>
      </c>
      <c r="H703" s="43">
        <v>0.18</v>
      </c>
      <c r="I703" s="43">
        <v>0.88</v>
      </c>
      <c r="J703" s="38">
        <v>21.8</v>
      </c>
      <c r="K703" s="42">
        <v>8059.8</v>
      </c>
      <c r="L703" s="42">
        <v>2686.6</v>
      </c>
      <c r="M703" s="38">
        <v>0</v>
      </c>
    </row>
    <row r="704" spans="1:13" ht="15" customHeight="1" x14ac:dyDescent="0.3">
      <c r="A704" s="44" t="s">
        <v>1484</v>
      </c>
      <c r="B704" s="46">
        <v>3113</v>
      </c>
      <c r="C704" s="47">
        <v>0.156</v>
      </c>
      <c r="D704" s="44">
        <v>60</v>
      </c>
      <c r="E704" s="44" t="s">
        <v>36</v>
      </c>
      <c r="F704" s="44" t="s">
        <v>60</v>
      </c>
      <c r="G704" s="44">
        <v>103616</v>
      </c>
      <c r="H704" s="49">
        <v>0.17</v>
      </c>
      <c r="I704" s="49">
        <v>0.9</v>
      </c>
      <c r="J704" s="44">
        <v>21.8</v>
      </c>
      <c r="K704" s="48">
        <v>2428.14</v>
      </c>
      <c r="L704" s="48">
        <v>-2690.05</v>
      </c>
      <c r="M704" s="44">
        <v>0</v>
      </c>
    </row>
    <row r="705" spans="1:13" ht="15" customHeight="1" x14ac:dyDescent="0.3">
      <c r="A705" s="38" t="s">
        <v>1486</v>
      </c>
      <c r="B705" s="40">
        <v>14605</v>
      </c>
      <c r="C705" s="41">
        <v>0.127</v>
      </c>
      <c r="D705" s="38">
        <v>36</v>
      </c>
      <c r="E705" s="38" t="s">
        <v>35</v>
      </c>
      <c r="F705" s="38" t="s">
        <v>83</v>
      </c>
      <c r="G705" s="38">
        <v>105485</v>
      </c>
      <c r="H705" s="43">
        <v>0.33</v>
      </c>
      <c r="I705" s="43">
        <v>0.52</v>
      </c>
      <c r="J705" s="38">
        <v>21.8</v>
      </c>
      <c r="K705" s="42">
        <v>5564.5050000000001</v>
      </c>
      <c r="L705" s="42">
        <v>1854.84</v>
      </c>
      <c r="M705" s="38">
        <v>0</v>
      </c>
    </row>
    <row r="706" spans="1:13" ht="15" customHeight="1" x14ac:dyDescent="0.3">
      <c r="A706" s="44" t="s">
        <v>1488</v>
      </c>
      <c r="B706" s="46">
        <v>34537</v>
      </c>
      <c r="C706" s="47">
        <v>5.5E-2</v>
      </c>
      <c r="D706" s="44">
        <v>36</v>
      </c>
      <c r="E706" s="44" t="s">
        <v>36</v>
      </c>
      <c r="F706" s="44" t="s">
        <v>60</v>
      </c>
      <c r="G706" s="44">
        <v>140695</v>
      </c>
      <c r="H706" s="49">
        <v>0.18</v>
      </c>
      <c r="I706" s="49">
        <v>0.94</v>
      </c>
      <c r="J706" s="44">
        <v>21.8</v>
      </c>
      <c r="K706" s="48">
        <v>5698.6049999999996</v>
      </c>
      <c r="L706" s="48">
        <v>-19977.849999999999</v>
      </c>
      <c r="M706" s="44">
        <v>0</v>
      </c>
    </row>
    <row r="707" spans="1:13" ht="15" customHeight="1" x14ac:dyDescent="0.3">
      <c r="A707" s="38" t="s">
        <v>1490</v>
      </c>
      <c r="B707" s="40">
        <v>30125</v>
      </c>
      <c r="C707" s="41">
        <v>5.8999999999999997E-2</v>
      </c>
      <c r="D707" s="38">
        <v>36</v>
      </c>
      <c r="E707" s="38" t="s">
        <v>35</v>
      </c>
      <c r="F707" s="38" t="s">
        <v>66</v>
      </c>
      <c r="G707" s="38">
        <v>134927</v>
      </c>
      <c r="H707" s="43">
        <v>0.2</v>
      </c>
      <c r="I707" s="43">
        <v>0.84</v>
      </c>
      <c r="J707" s="38">
        <v>21.8</v>
      </c>
      <c r="K707" s="42">
        <v>5332.125</v>
      </c>
      <c r="L707" s="42">
        <v>1777.38</v>
      </c>
      <c r="M707" s="38">
        <v>0</v>
      </c>
    </row>
    <row r="708" spans="1:13" ht="15" customHeight="1" x14ac:dyDescent="0.3">
      <c r="A708" s="44" t="s">
        <v>1492</v>
      </c>
      <c r="B708" s="46">
        <v>32007</v>
      </c>
      <c r="C708" s="47">
        <v>0.14599999999999999</v>
      </c>
      <c r="D708" s="44">
        <v>36</v>
      </c>
      <c r="E708" s="44" t="s">
        <v>36</v>
      </c>
      <c r="F708" s="44" t="s">
        <v>71</v>
      </c>
      <c r="G708" s="44">
        <v>106918</v>
      </c>
      <c r="H708" s="49">
        <v>0.36</v>
      </c>
      <c r="I708" s="49">
        <v>0.94</v>
      </c>
      <c r="J708" s="44">
        <v>21.7</v>
      </c>
      <c r="K708" s="48">
        <v>14019.066000000001</v>
      </c>
      <c r="L708" s="48">
        <v>-25691.39</v>
      </c>
      <c r="M708" s="44">
        <v>0</v>
      </c>
    </row>
    <row r="709" spans="1:13" ht="15" customHeight="1" x14ac:dyDescent="0.3">
      <c r="A709" s="38" t="s">
        <v>1494</v>
      </c>
      <c r="B709" s="40">
        <v>29861</v>
      </c>
      <c r="C709" s="41">
        <v>0.124</v>
      </c>
      <c r="D709" s="38">
        <v>60</v>
      </c>
      <c r="E709" s="38" t="s">
        <v>35</v>
      </c>
      <c r="F709" s="38" t="s">
        <v>80</v>
      </c>
      <c r="G709" s="38">
        <v>116207</v>
      </c>
      <c r="H709" s="43">
        <v>0.37</v>
      </c>
      <c r="I709" s="43">
        <v>0.62</v>
      </c>
      <c r="J709" s="38">
        <v>21.7</v>
      </c>
      <c r="K709" s="42">
        <v>18513.82</v>
      </c>
      <c r="L709" s="42">
        <v>3702.76</v>
      </c>
      <c r="M709" s="38">
        <v>0</v>
      </c>
    </row>
    <row r="710" spans="1:13" ht="15" customHeight="1" x14ac:dyDescent="0.3">
      <c r="A710" s="38" t="s">
        <v>1496</v>
      </c>
      <c r="B710" s="40">
        <v>18674</v>
      </c>
      <c r="C710" s="41">
        <v>7.5999999999999998E-2</v>
      </c>
      <c r="D710" s="38">
        <v>36</v>
      </c>
      <c r="E710" s="38" t="s">
        <v>35</v>
      </c>
      <c r="F710" s="38" t="s">
        <v>60</v>
      </c>
      <c r="G710" s="38">
        <v>42391</v>
      </c>
      <c r="H710" s="43">
        <v>0.4</v>
      </c>
      <c r="I710" s="43">
        <v>0.56000000000000005</v>
      </c>
      <c r="J710" s="38">
        <v>21.7</v>
      </c>
      <c r="K710" s="42">
        <v>4257.6719999999996</v>
      </c>
      <c r="L710" s="42">
        <v>1419.22</v>
      </c>
      <c r="M710" s="38">
        <v>0</v>
      </c>
    </row>
    <row r="711" spans="1:13" ht="15" customHeight="1" x14ac:dyDescent="0.3">
      <c r="A711" s="44" t="s">
        <v>1498</v>
      </c>
      <c r="B711" s="46">
        <v>39158</v>
      </c>
      <c r="C711" s="47">
        <v>0.11700000000000001</v>
      </c>
      <c r="D711" s="44">
        <v>36</v>
      </c>
      <c r="E711" s="44" t="s">
        <v>36</v>
      </c>
      <c r="F711" s="44" t="s">
        <v>60</v>
      </c>
      <c r="G711" s="44">
        <v>96677</v>
      </c>
      <c r="H711" s="49">
        <v>0.25</v>
      </c>
      <c r="I711" s="49">
        <v>0.7</v>
      </c>
      <c r="J711" s="44">
        <v>21.6</v>
      </c>
      <c r="K711" s="48">
        <v>13744.458000000001</v>
      </c>
      <c r="L711" s="48">
        <v>-20720.53</v>
      </c>
      <c r="M711" s="44">
        <v>0</v>
      </c>
    </row>
    <row r="712" spans="1:13" ht="15" customHeight="1" x14ac:dyDescent="0.3">
      <c r="A712" s="38" t="s">
        <v>1500</v>
      </c>
      <c r="B712" s="40">
        <v>33232</v>
      </c>
      <c r="C712" s="41">
        <v>0.17</v>
      </c>
      <c r="D712" s="38">
        <v>36</v>
      </c>
      <c r="E712" s="38" t="s">
        <v>35</v>
      </c>
      <c r="F712" s="38" t="s">
        <v>114</v>
      </c>
      <c r="G712" s="38">
        <v>59877</v>
      </c>
      <c r="H712" s="43">
        <v>0.43</v>
      </c>
      <c r="I712" s="43">
        <v>0.56999999999999995</v>
      </c>
      <c r="J712" s="38">
        <v>21.6</v>
      </c>
      <c r="K712" s="42">
        <v>16948.32</v>
      </c>
      <c r="L712" s="42">
        <v>5649.44</v>
      </c>
      <c r="M712" s="38">
        <v>0</v>
      </c>
    </row>
    <row r="713" spans="1:13" ht="15" customHeight="1" x14ac:dyDescent="0.3">
      <c r="A713" s="38" t="s">
        <v>1502</v>
      </c>
      <c r="B713" s="40">
        <v>28723</v>
      </c>
      <c r="C713" s="41">
        <v>6.8000000000000005E-2</v>
      </c>
      <c r="D713" s="38">
        <v>36</v>
      </c>
      <c r="E713" s="38" t="s">
        <v>35</v>
      </c>
      <c r="F713" s="38" t="s">
        <v>71</v>
      </c>
      <c r="G713" s="38">
        <v>116124</v>
      </c>
      <c r="H713" s="43">
        <v>0.24</v>
      </c>
      <c r="I713" s="43">
        <v>0.7</v>
      </c>
      <c r="J713" s="38">
        <v>21.6</v>
      </c>
      <c r="K713" s="42">
        <v>5859.4920000000002</v>
      </c>
      <c r="L713" s="42">
        <v>1953.16</v>
      </c>
      <c r="M713" s="38">
        <v>0</v>
      </c>
    </row>
    <row r="714" spans="1:13" ht="15" customHeight="1" x14ac:dyDescent="0.3">
      <c r="A714" s="44" t="s">
        <v>1504</v>
      </c>
      <c r="B714" s="46">
        <v>4191</v>
      </c>
      <c r="C714" s="47">
        <v>0.20200000000000001</v>
      </c>
      <c r="D714" s="44">
        <v>36</v>
      </c>
      <c r="E714" s="44" t="s">
        <v>36</v>
      </c>
      <c r="F714" s="44" t="s">
        <v>60</v>
      </c>
      <c r="G714" s="44">
        <v>77111</v>
      </c>
      <c r="H714" s="49">
        <v>0.49</v>
      </c>
      <c r="I714" s="49">
        <v>0.61</v>
      </c>
      <c r="J714" s="44">
        <v>21.6</v>
      </c>
      <c r="K714" s="48">
        <v>2539.7460000000001</v>
      </c>
      <c r="L714" s="48">
        <v>-2811.64</v>
      </c>
      <c r="M714" s="44">
        <v>0</v>
      </c>
    </row>
    <row r="715" spans="1:13" ht="15" customHeight="1" x14ac:dyDescent="0.3">
      <c r="A715" s="38" t="s">
        <v>1506</v>
      </c>
      <c r="B715" s="40">
        <v>17774</v>
      </c>
      <c r="C715" s="41">
        <v>0.20200000000000001</v>
      </c>
      <c r="D715" s="38">
        <v>36</v>
      </c>
      <c r="E715" s="38" t="s">
        <v>35</v>
      </c>
      <c r="F715" s="38" t="s">
        <v>60</v>
      </c>
      <c r="G715" s="38">
        <v>116598</v>
      </c>
      <c r="H715" s="43">
        <v>0.25</v>
      </c>
      <c r="I715" s="43">
        <v>0.76</v>
      </c>
      <c r="J715" s="38">
        <v>21.6</v>
      </c>
      <c r="K715" s="42">
        <v>10771.044</v>
      </c>
      <c r="L715" s="42">
        <v>3590.35</v>
      </c>
      <c r="M715" s="38">
        <v>0</v>
      </c>
    </row>
    <row r="716" spans="1:13" ht="15" customHeight="1" x14ac:dyDescent="0.3">
      <c r="A716" s="44" t="s">
        <v>1508</v>
      </c>
      <c r="B716" s="46">
        <v>1671</v>
      </c>
      <c r="C716" s="47">
        <v>0.23100000000000001</v>
      </c>
      <c r="D716" s="44">
        <v>36</v>
      </c>
      <c r="E716" s="44" t="s">
        <v>36</v>
      </c>
      <c r="F716" s="44" t="s">
        <v>60</v>
      </c>
      <c r="G716" s="44">
        <v>69454</v>
      </c>
      <c r="H716" s="49">
        <v>0.37</v>
      </c>
      <c r="I716" s="49">
        <v>0.78</v>
      </c>
      <c r="J716" s="44">
        <v>21.6</v>
      </c>
      <c r="K716" s="48">
        <v>1158.0029999999999</v>
      </c>
      <c r="L716" s="48">
        <v>-988.67</v>
      </c>
      <c r="M716" s="44">
        <v>0</v>
      </c>
    </row>
    <row r="717" spans="1:13" ht="15" customHeight="1" x14ac:dyDescent="0.3">
      <c r="A717" s="50" t="s">
        <v>1510</v>
      </c>
      <c r="B717" s="52">
        <v>9646</v>
      </c>
      <c r="C717" s="53">
        <v>7.0999999999999994E-2</v>
      </c>
      <c r="D717" s="50">
        <v>60</v>
      </c>
      <c r="E717" s="50" t="s">
        <v>38</v>
      </c>
      <c r="F717" s="50" t="s">
        <v>80</v>
      </c>
      <c r="G717" s="50">
        <v>67405</v>
      </c>
      <c r="H717" s="55">
        <v>0.11</v>
      </c>
      <c r="I717" s="55">
        <v>0.6</v>
      </c>
      <c r="J717" s="50">
        <v>21.5</v>
      </c>
      <c r="K717" s="54">
        <v>3424.33</v>
      </c>
      <c r="L717" s="54">
        <v>-9646</v>
      </c>
      <c r="M717" s="50">
        <v>1</v>
      </c>
    </row>
    <row r="718" spans="1:13" ht="15" customHeight="1" x14ac:dyDescent="0.3">
      <c r="A718" s="44" t="s">
        <v>1512</v>
      </c>
      <c r="B718" s="46">
        <v>26592</v>
      </c>
      <c r="C718" s="47">
        <v>0.16300000000000001</v>
      </c>
      <c r="D718" s="44">
        <v>36</v>
      </c>
      <c r="E718" s="44" t="s">
        <v>36</v>
      </c>
      <c r="F718" s="44" t="s">
        <v>80</v>
      </c>
      <c r="G718" s="44">
        <v>106384</v>
      </c>
      <c r="H718" s="49">
        <v>0.48</v>
      </c>
      <c r="I718" s="49">
        <v>0.74</v>
      </c>
      <c r="J718" s="44">
        <v>21.5</v>
      </c>
      <c r="K718" s="48">
        <v>13003.487999999999</v>
      </c>
      <c r="L718" s="48">
        <v>-17582.66</v>
      </c>
      <c r="M718" s="44">
        <v>0</v>
      </c>
    </row>
    <row r="719" spans="1:13" ht="15" customHeight="1" x14ac:dyDescent="0.3">
      <c r="A719" s="44" t="s">
        <v>1514</v>
      </c>
      <c r="B719" s="46">
        <v>27523</v>
      </c>
      <c r="C719" s="47">
        <v>0.16700000000000001</v>
      </c>
      <c r="D719" s="44">
        <v>60</v>
      </c>
      <c r="E719" s="44" t="s">
        <v>36</v>
      </c>
      <c r="F719" s="44" t="s">
        <v>114</v>
      </c>
      <c r="G719" s="44">
        <v>104640</v>
      </c>
      <c r="H719" s="49">
        <v>0.38</v>
      </c>
      <c r="I719" s="49">
        <v>0.7</v>
      </c>
      <c r="J719" s="44">
        <v>21.5</v>
      </c>
      <c r="K719" s="48">
        <v>22981.705000000002</v>
      </c>
      <c r="L719" s="48">
        <v>-16064.97</v>
      </c>
      <c r="M719" s="44">
        <v>0</v>
      </c>
    </row>
    <row r="720" spans="1:13" ht="15" customHeight="1" x14ac:dyDescent="0.3">
      <c r="A720" s="56" t="s">
        <v>1516</v>
      </c>
      <c r="B720" s="58">
        <v>4249</v>
      </c>
      <c r="C720" s="59">
        <v>0.21299999999999999</v>
      </c>
      <c r="D720" s="56">
        <v>36</v>
      </c>
      <c r="E720" s="56" t="s">
        <v>37</v>
      </c>
      <c r="F720" s="56" t="s">
        <v>83</v>
      </c>
      <c r="G720" s="56">
        <v>96981</v>
      </c>
      <c r="H720" s="61">
        <v>0.27</v>
      </c>
      <c r="I720" s="61">
        <v>0.56000000000000005</v>
      </c>
      <c r="J720" s="56">
        <v>21.5</v>
      </c>
      <c r="K720" s="60">
        <v>2715.1109999999999</v>
      </c>
      <c r="L720" s="60">
        <v>-3242.48</v>
      </c>
      <c r="M720" s="56">
        <v>1</v>
      </c>
    </row>
    <row r="721" spans="1:13" ht="15" customHeight="1" x14ac:dyDescent="0.3">
      <c r="A721" s="38" t="s">
        <v>1518</v>
      </c>
      <c r="B721" s="40">
        <v>12563</v>
      </c>
      <c r="C721" s="41">
        <v>0.20899999999999999</v>
      </c>
      <c r="D721" s="38">
        <v>60</v>
      </c>
      <c r="E721" s="38" t="s">
        <v>35</v>
      </c>
      <c r="F721" s="38" t="s">
        <v>80</v>
      </c>
      <c r="G721" s="38">
        <v>74369</v>
      </c>
      <c r="H721" s="43">
        <v>0.15</v>
      </c>
      <c r="I721" s="43">
        <v>0.75</v>
      </c>
      <c r="J721" s="38">
        <v>21.3</v>
      </c>
      <c r="K721" s="42">
        <v>13128.334999999999</v>
      </c>
      <c r="L721" s="42">
        <v>2625.67</v>
      </c>
      <c r="M721" s="38">
        <v>0</v>
      </c>
    </row>
    <row r="722" spans="1:13" ht="15" customHeight="1" x14ac:dyDescent="0.3">
      <c r="A722" s="38" t="s">
        <v>1520</v>
      </c>
      <c r="B722" s="40">
        <v>6693</v>
      </c>
      <c r="C722" s="41">
        <v>0.108</v>
      </c>
      <c r="D722" s="38">
        <v>60</v>
      </c>
      <c r="E722" s="38" t="s">
        <v>35</v>
      </c>
      <c r="F722" s="38" t="s">
        <v>83</v>
      </c>
      <c r="G722" s="38">
        <v>32866</v>
      </c>
      <c r="H722" s="43">
        <v>0.31</v>
      </c>
      <c r="I722" s="43">
        <v>0.62</v>
      </c>
      <c r="J722" s="38">
        <v>21.3</v>
      </c>
      <c r="K722" s="42">
        <v>3614.22</v>
      </c>
      <c r="L722" s="42">
        <v>722.84</v>
      </c>
      <c r="M722" s="38">
        <v>0</v>
      </c>
    </row>
    <row r="723" spans="1:13" ht="15" customHeight="1" x14ac:dyDescent="0.3">
      <c r="A723" s="38" t="s">
        <v>1522</v>
      </c>
      <c r="B723" s="40">
        <v>11382</v>
      </c>
      <c r="C723" s="41">
        <v>8.6999999999999994E-2</v>
      </c>
      <c r="D723" s="38">
        <v>36</v>
      </c>
      <c r="E723" s="38" t="s">
        <v>35</v>
      </c>
      <c r="F723" s="38" t="s">
        <v>60</v>
      </c>
      <c r="G723" s="38">
        <v>45641</v>
      </c>
      <c r="H723" s="43">
        <v>0.35</v>
      </c>
      <c r="I723" s="43">
        <v>0.52</v>
      </c>
      <c r="J723" s="38">
        <v>21.3</v>
      </c>
      <c r="K723" s="42">
        <v>2970.7020000000002</v>
      </c>
      <c r="L723" s="42">
        <v>990.23</v>
      </c>
      <c r="M723" s="38">
        <v>0</v>
      </c>
    </row>
    <row r="724" spans="1:13" ht="15" customHeight="1" x14ac:dyDescent="0.3">
      <c r="A724" s="50" t="s">
        <v>1524</v>
      </c>
      <c r="B724" s="52">
        <v>37221</v>
      </c>
      <c r="C724" s="53">
        <v>0.17799999999999999</v>
      </c>
      <c r="D724" s="50">
        <v>60</v>
      </c>
      <c r="E724" s="50" t="s">
        <v>39</v>
      </c>
      <c r="F724" s="50" t="s">
        <v>80</v>
      </c>
      <c r="G724" s="50">
        <v>45735</v>
      </c>
      <c r="H724" s="55">
        <v>0.5</v>
      </c>
      <c r="I724" s="55">
        <v>0.92</v>
      </c>
      <c r="J724" s="50">
        <v>21.2</v>
      </c>
      <c r="K724" s="54">
        <v>33126.69</v>
      </c>
      <c r="L724" s="54">
        <v>-37221</v>
      </c>
      <c r="M724" s="50">
        <v>0</v>
      </c>
    </row>
    <row r="725" spans="1:13" ht="15" customHeight="1" x14ac:dyDescent="0.3">
      <c r="A725" s="44" t="s">
        <v>1526</v>
      </c>
      <c r="B725" s="46">
        <v>33916</v>
      </c>
      <c r="C725" s="47">
        <v>0.23799999999999999</v>
      </c>
      <c r="D725" s="44">
        <v>60</v>
      </c>
      <c r="E725" s="44" t="s">
        <v>36</v>
      </c>
      <c r="F725" s="44" t="s">
        <v>257</v>
      </c>
      <c r="G725" s="44">
        <v>123079</v>
      </c>
      <c r="H725" s="49">
        <v>0.26</v>
      </c>
      <c r="I725" s="49">
        <v>0.53</v>
      </c>
      <c r="J725" s="44">
        <v>21.2</v>
      </c>
      <c r="K725" s="48">
        <v>40360.04</v>
      </c>
      <c r="L725" s="48">
        <v>-17372.27</v>
      </c>
      <c r="M725" s="44">
        <v>0</v>
      </c>
    </row>
    <row r="726" spans="1:13" ht="15" customHeight="1" x14ac:dyDescent="0.3">
      <c r="A726" s="38" t="s">
        <v>1528</v>
      </c>
      <c r="B726" s="40">
        <v>29982</v>
      </c>
      <c r="C726" s="41">
        <v>7.3999999999999996E-2</v>
      </c>
      <c r="D726" s="38">
        <v>36</v>
      </c>
      <c r="E726" s="38" t="s">
        <v>35</v>
      </c>
      <c r="F726" s="38" t="s">
        <v>60</v>
      </c>
      <c r="G726" s="38">
        <v>85755</v>
      </c>
      <c r="H726" s="43">
        <v>0.45</v>
      </c>
      <c r="I726" s="43">
        <v>0.55000000000000004</v>
      </c>
      <c r="J726" s="38">
        <v>21.2</v>
      </c>
      <c r="K726" s="42">
        <v>6656.0039999999999</v>
      </c>
      <c r="L726" s="42">
        <v>2218.67</v>
      </c>
      <c r="M726" s="38">
        <v>0</v>
      </c>
    </row>
    <row r="727" spans="1:13" ht="15" customHeight="1" x14ac:dyDescent="0.3">
      <c r="A727" s="38" t="s">
        <v>1530</v>
      </c>
      <c r="B727" s="40">
        <v>25022</v>
      </c>
      <c r="C727" s="41">
        <v>0.19500000000000001</v>
      </c>
      <c r="D727" s="38">
        <v>36</v>
      </c>
      <c r="E727" s="38" t="s">
        <v>35</v>
      </c>
      <c r="F727" s="38" t="s">
        <v>83</v>
      </c>
      <c r="G727" s="38">
        <v>71574</v>
      </c>
      <c r="H727" s="43">
        <v>0.42</v>
      </c>
      <c r="I727" s="43">
        <v>0.5</v>
      </c>
      <c r="J727" s="38">
        <v>21.2</v>
      </c>
      <c r="K727" s="42">
        <v>14637.87</v>
      </c>
      <c r="L727" s="42">
        <v>4879.29</v>
      </c>
      <c r="M727" s="38">
        <v>0</v>
      </c>
    </row>
    <row r="728" spans="1:13" ht="15" customHeight="1" x14ac:dyDescent="0.3">
      <c r="A728" s="38" t="s">
        <v>1532</v>
      </c>
      <c r="B728" s="40">
        <v>10516</v>
      </c>
      <c r="C728" s="41">
        <v>6.7000000000000004E-2</v>
      </c>
      <c r="D728" s="38">
        <v>36</v>
      </c>
      <c r="E728" s="38" t="s">
        <v>35</v>
      </c>
      <c r="F728" s="38" t="s">
        <v>80</v>
      </c>
      <c r="G728" s="38">
        <v>76754</v>
      </c>
      <c r="H728" s="43">
        <v>0.42</v>
      </c>
      <c r="I728" s="43">
        <v>0.63</v>
      </c>
      <c r="J728" s="38">
        <v>21.2</v>
      </c>
      <c r="K728" s="42">
        <v>2113.7159999999999</v>
      </c>
      <c r="L728" s="42">
        <v>704.57</v>
      </c>
      <c r="M728" s="38">
        <v>0</v>
      </c>
    </row>
    <row r="729" spans="1:13" ht="15" customHeight="1" x14ac:dyDescent="0.3">
      <c r="A729" s="50" t="s">
        <v>1534</v>
      </c>
      <c r="B729" s="52">
        <v>24874</v>
      </c>
      <c r="C729" s="53">
        <v>0.23499999999999999</v>
      </c>
      <c r="D729" s="50">
        <v>36</v>
      </c>
      <c r="E729" s="50" t="s">
        <v>38</v>
      </c>
      <c r="F729" s="50" t="s">
        <v>83</v>
      </c>
      <c r="G729" s="50">
        <v>58901</v>
      </c>
      <c r="H729" s="55">
        <v>0.36</v>
      </c>
      <c r="I729" s="55">
        <v>0.82</v>
      </c>
      <c r="J729" s="50">
        <v>21.2</v>
      </c>
      <c r="K729" s="54">
        <v>17536.169999999998</v>
      </c>
      <c r="L729" s="54">
        <v>-24874</v>
      </c>
      <c r="M729" s="50">
        <v>1</v>
      </c>
    </row>
    <row r="730" spans="1:13" ht="15" customHeight="1" x14ac:dyDescent="0.3">
      <c r="A730" s="38" t="s">
        <v>1536</v>
      </c>
      <c r="B730" s="40">
        <v>25354</v>
      </c>
      <c r="C730" s="41">
        <v>0.17</v>
      </c>
      <c r="D730" s="38">
        <v>60</v>
      </c>
      <c r="E730" s="38" t="s">
        <v>35</v>
      </c>
      <c r="F730" s="38" t="s">
        <v>257</v>
      </c>
      <c r="G730" s="38">
        <v>139162</v>
      </c>
      <c r="H730" s="43">
        <v>0.12</v>
      </c>
      <c r="I730" s="43">
        <v>0.73</v>
      </c>
      <c r="J730" s="38">
        <v>21.2</v>
      </c>
      <c r="K730" s="42">
        <v>21550.9</v>
      </c>
      <c r="L730" s="42">
        <v>4310.18</v>
      </c>
      <c r="M730" s="38">
        <v>0</v>
      </c>
    </row>
    <row r="731" spans="1:13" ht="15" customHeight="1" x14ac:dyDescent="0.3">
      <c r="A731" s="44" t="s">
        <v>1538</v>
      </c>
      <c r="B731" s="46">
        <v>1726</v>
      </c>
      <c r="C731" s="47">
        <v>0.20699999999999999</v>
      </c>
      <c r="D731" s="44">
        <v>36</v>
      </c>
      <c r="E731" s="44" t="s">
        <v>36</v>
      </c>
      <c r="F731" s="44" t="s">
        <v>66</v>
      </c>
      <c r="G731" s="44">
        <v>50884</v>
      </c>
      <c r="H731" s="49">
        <v>0.36</v>
      </c>
      <c r="I731" s="49">
        <v>0.83</v>
      </c>
      <c r="J731" s="44">
        <v>21.2</v>
      </c>
      <c r="K731" s="48">
        <v>1071.846</v>
      </c>
      <c r="L731" s="48">
        <v>-1255.3900000000001</v>
      </c>
      <c r="M731" s="44">
        <v>0</v>
      </c>
    </row>
    <row r="732" spans="1:13" ht="15" customHeight="1" x14ac:dyDescent="0.3">
      <c r="A732" s="38" t="s">
        <v>1540</v>
      </c>
      <c r="B732" s="40">
        <v>7704</v>
      </c>
      <c r="C732" s="41">
        <v>5.3999999999999999E-2</v>
      </c>
      <c r="D732" s="38">
        <v>36</v>
      </c>
      <c r="E732" s="38" t="s">
        <v>35</v>
      </c>
      <c r="F732" s="38" t="s">
        <v>66</v>
      </c>
      <c r="G732" s="38">
        <v>98895</v>
      </c>
      <c r="H732" s="43">
        <v>0.32</v>
      </c>
      <c r="I732" s="43">
        <v>0.7</v>
      </c>
      <c r="J732" s="38">
        <v>21</v>
      </c>
      <c r="K732" s="42">
        <v>1248.048</v>
      </c>
      <c r="L732" s="42">
        <v>416.02</v>
      </c>
      <c r="M732" s="38">
        <v>0</v>
      </c>
    </row>
    <row r="733" spans="1:13" ht="15" customHeight="1" x14ac:dyDescent="0.3">
      <c r="A733" s="44" t="s">
        <v>1542</v>
      </c>
      <c r="B733" s="46">
        <v>38443</v>
      </c>
      <c r="C733" s="47">
        <v>5.0999999999999997E-2</v>
      </c>
      <c r="D733" s="44">
        <v>36</v>
      </c>
      <c r="E733" s="44" t="s">
        <v>36</v>
      </c>
      <c r="F733" s="44" t="s">
        <v>71</v>
      </c>
      <c r="G733" s="44">
        <v>128046</v>
      </c>
      <c r="H733" s="49">
        <v>0.15</v>
      </c>
      <c r="I733" s="49">
        <v>0.82</v>
      </c>
      <c r="J733" s="44">
        <v>21</v>
      </c>
      <c r="K733" s="48">
        <v>5881.7790000000005</v>
      </c>
      <c r="L733" s="48">
        <v>-32595.61</v>
      </c>
      <c r="M733" s="44">
        <v>0</v>
      </c>
    </row>
    <row r="734" spans="1:13" ht="15" customHeight="1" x14ac:dyDescent="0.3">
      <c r="A734" s="38" t="s">
        <v>1544</v>
      </c>
      <c r="B734" s="40">
        <v>17959</v>
      </c>
      <c r="C734" s="41">
        <v>0.19400000000000001</v>
      </c>
      <c r="D734" s="38">
        <v>60</v>
      </c>
      <c r="E734" s="38" t="s">
        <v>35</v>
      </c>
      <c r="F734" s="38" t="s">
        <v>71</v>
      </c>
      <c r="G734" s="38">
        <v>44031</v>
      </c>
      <c r="H734" s="43">
        <v>0.25</v>
      </c>
      <c r="I734" s="43">
        <v>0.61</v>
      </c>
      <c r="J734" s="38">
        <v>21</v>
      </c>
      <c r="K734" s="42">
        <v>17420.23</v>
      </c>
      <c r="L734" s="42">
        <v>3484.05</v>
      </c>
      <c r="M734" s="38">
        <v>0</v>
      </c>
    </row>
    <row r="735" spans="1:13" ht="15" customHeight="1" x14ac:dyDescent="0.3">
      <c r="A735" s="38" t="s">
        <v>1546</v>
      </c>
      <c r="B735" s="40">
        <v>32174</v>
      </c>
      <c r="C735" s="41">
        <v>6.2E-2</v>
      </c>
      <c r="D735" s="38">
        <v>60</v>
      </c>
      <c r="E735" s="38" t="s">
        <v>35</v>
      </c>
      <c r="F735" s="38" t="s">
        <v>83</v>
      </c>
      <c r="G735" s="38">
        <v>40956</v>
      </c>
      <c r="H735" s="43">
        <v>0.5</v>
      </c>
      <c r="I735" s="43">
        <v>0.71</v>
      </c>
      <c r="J735" s="38">
        <v>21</v>
      </c>
      <c r="K735" s="42">
        <v>9973.94</v>
      </c>
      <c r="L735" s="42">
        <v>1994.79</v>
      </c>
      <c r="M735" s="38">
        <v>0</v>
      </c>
    </row>
    <row r="736" spans="1:13" ht="15" customHeight="1" x14ac:dyDescent="0.3">
      <c r="A736" s="38" t="s">
        <v>1548</v>
      </c>
      <c r="B736" s="40">
        <v>24171</v>
      </c>
      <c r="C736" s="41">
        <v>0.11</v>
      </c>
      <c r="D736" s="38">
        <v>36</v>
      </c>
      <c r="E736" s="38" t="s">
        <v>35</v>
      </c>
      <c r="F736" s="38" t="s">
        <v>71</v>
      </c>
      <c r="G736" s="38">
        <v>64485</v>
      </c>
      <c r="H736" s="43">
        <v>0.34</v>
      </c>
      <c r="I736" s="43">
        <v>0.55000000000000004</v>
      </c>
      <c r="J736" s="38">
        <v>21</v>
      </c>
      <c r="K736" s="42">
        <v>7976.43</v>
      </c>
      <c r="L736" s="42">
        <v>2658.81</v>
      </c>
      <c r="M736" s="38">
        <v>0</v>
      </c>
    </row>
    <row r="737" spans="1:13" ht="15" customHeight="1" x14ac:dyDescent="0.3">
      <c r="A737" s="38" t="s">
        <v>1550</v>
      </c>
      <c r="B737" s="40">
        <v>22427</v>
      </c>
      <c r="C737" s="41">
        <v>6.9000000000000006E-2</v>
      </c>
      <c r="D737" s="38">
        <v>36</v>
      </c>
      <c r="E737" s="38" t="s">
        <v>35</v>
      </c>
      <c r="F737" s="38" t="s">
        <v>71</v>
      </c>
      <c r="G737" s="38">
        <v>124090</v>
      </c>
      <c r="H737" s="43">
        <v>0.15</v>
      </c>
      <c r="I737" s="43">
        <v>0.88</v>
      </c>
      <c r="J737" s="38">
        <v>21</v>
      </c>
      <c r="K737" s="42">
        <v>4642.3890000000001</v>
      </c>
      <c r="L737" s="42">
        <v>1547.46</v>
      </c>
      <c r="M737" s="38">
        <v>0</v>
      </c>
    </row>
    <row r="738" spans="1:13" ht="15" customHeight="1" x14ac:dyDescent="0.3">
      <c r="A738" s="38" t="s">
        <v>1552</v>
      </c>
      <c r="B738" s="40">
        <v>34120</v>
      </c>
      <c r="C738" s="41">
        <v>0.14299999999999999</v>
      </c>
      <c r="D738" s="38">
        <v>60</v>
      </c>
      <c r="E738" s="38" t="s">
        <v>35</v>
      </c>
      <c r="F738" s="38" t="s">
        <v>60</v>
      </c>
      <c r="G738" s="38">
        <v>90931</v>
      </c>
      <c r="H738" s="43">
        <v>0.23</v>
      </c>
      <c r="I738" s="43">
        <v>0.94</v>
      </c>
      <c r="J738" s="38">
        <v>20.9</v>
      </c>
      <c r="K738" s="42">
        <v>24395.8</v>
      </c>
      <c r="L738" s="42">
        <v>4879.16</v>
      </c>
      <c r="M738" s="38">
        <v>0</v>
      </c>
    </row>
    <row r="739" spans="1:13" ht="15" customHeight="1" x14ac:dyDescent="0.3">
      <c r="A739" s="38" t="s">
        <v>1554</v>
      </c>
      <c r="B739" s="40">
        <v>27616</v>
      </c>
      <c r="C739" s="41">
        <v>0.214</v>
      </c>
      <c r="D739" s="38">
        <v>36</v>
      </c>
      <c r="E739" s="38" t="s">
        <v>35</v>
      </c>
      <c r="F739" s="38" t="s">
        <v>83</v>
      </c>
      <c r="G739" s="38">
        <v>75991</v>
      </c>
      <c r="H739" s="43">
        <v>0.45</v>
      </c>
      <c r="I739" s="43">
        <v>0.61</v>
      </c>
      <c r="J739" s="38">
        <v>20.9</v>
      </c>
      <c r="K739" s="42">
        <v>17729.472000000002</v>
      </c>
      <c r="L739" s="42">
        <v>5909.82</v>
      </c>
      <c r="M739" s="38">
        <v>0</v>
      </c>
    </row>
    <row r="740" spans="1:13" ht="15" customHeight="1" x14ac:dyDescent="0.3">
      <c r="A740" s="38" t="s">
        <v>1556</v>
      </c>
      <c r="B740" s="40">
        <v>25819</v>
      </c>
      <c r="C740" s="41">
        <v>0.185</v>
      </c>
      <c r="D740" s="38">
        <v>36</v>
      </c>
      <c r="E740" s="38" t="s">
        <v>35</v>
      </c>
      <c r="F740" s="38" t="s">
        <v>60</v>
      </c>
      <c r="G740" s="38">
        <v>128262</v>
      </c>
      <c r="H740" s="43">
        <v>0.49</v>
      </c>
      <c r="I740" s="43">
        <v>0.91</v>
      </c>
      <c r="J740" s="38">
        <v>20.9</v>
      </c>
      <c r="K740" s="42">
        <v>14329.545</v>
      </c>
      <c r="L740" s="42">
        <v>4776.5200000000004</v>
      </c>
      <c r="M740" s="38">
        <v>0</v>
      </c>
    </row>
    <row r="741" spans="1:13" ht="15" customHeight="1" x14ac:dyDescent="0.3">
      <c r="A741" s="38" t="s">
        <v>1558</v>
      </c>
      <c r="B741" s="40">
        <v>30009</v>
      </c>
      <c r="C741" s="41">
        <v>0.18099999999999999</v>
      </c>
      <c r="D741" s="38">
        <v>60</v>
      </c>
      <c r="E741" s="38" t="s">
        <v>35</v>
      </c>
      <c r="F741" s="38" t="s">
        <v>60</v>
      </c>
      <c r="G741" s="38">
        <v>52250</v>
      </c>
      <c r="H741" s="43">
        <v>0.34</v>
      </c>
      <c r="I741" s="43">
        <v>0.6</v>
      </c>
      <c r="J741" s="38">
        <v>20.9</v>
      </c>
      <c r="K741" s="42">
        <v>27158.145</v>
      </c>
      <c r="L741" s="42">
        <v>5431.63</v>
      </c>
      <c r="M741" s="38">
        <v>0</v>
      </c>
    </row>
    <row r="742" spans="1:13" ht="15" customHeight="1" x14ac:dyDescent="0.3">
      <c r="A742" s="44" t="s">
        <v>1560</v>
      </c>
      <c r="B742" s="46">
        <v>12083</v>
      </c>
      <c r="C742" s="47">
        <v>0.22600000000000001</v>
      </c>
      <c r="D742" s="44">
        <v>60</v>
      </c>
      <c r="E742" s="44" t="s">
        <v>36</v>
      </c>
      <c r="F742" s="44" t="s">
        <v>60</v>
      </c>
      <c r="G742" s="44">
        <v>116055</v>
      </c>
      <c r="H742" s="49">
        <v>0.25</v>
      </c>
      <c r="I742" s="49">
        <v>0.8</v>
      </c>
      <c r="J742" s="44">
        <v>20.8</v>
      </c>
      <c r="K742" s="48">
        <v>13653.79</v>
      </c>
      <c r="L742" s="48">
        <v>-10392.86</v>
      </c>
      <c r="M742" s="44">
        <v>0</v>
      </c>
    </row>
    <row r="743" spans="1:13" ht="15" customHeight="1" x14ac:dyDescent="0.3">
      <c r="A743" s="50" t="s">
        <v>1562</v>
      </c>
      <c r="B743" s="52">
        <v>6782</v>
      </c>
      <c r="C743" s="53">
        <v>0.13400000000000001</v>
      </c>
      <c r="D743" s="50">
        <v>36</v>
      </c>
      <c r="E743" s="50" t="s">
        <v>38</v>
      </c>
      <c r="F743" s="50" t="s">
        <v>60</v>
      </c>
      <c r="G743" s="50">
        <v>38002</v>
      </c>
      <c r="H743" s="55">
        <v>0.38</v>
      </c>
      <c r="I743" s="55">
        <v>0.8</v>
      </c>
      <c r="J743" s="50">
        <v>20.8</v>
      </c>
      <c r="K743" s="54">
        <v>2726.364</v>
      </c>
      <c r="L743" s="54">
        <v>-6782</v>
      </c>
      <c r="M743" s="50">
        <v>1</v>
      </c>
    </row>
    <row r="744" spans="1:13" ht="15" customHeight="1" x14ac:dyDescent="0.3">
      <c r="A744" s="38" t="s">
        <v>1564</v>
      </c>
      <c r="B744" s="40">
        <v>2136</v>
      </c>
      <c r="C744" s="41">
        <v>0.222</v>
      </c>
      <c r="D744" s="38">
        <v>60</v>
      </c>
      <c r="E744" s="38" t="s">
        <v>35</v>
      </c>
      <c r="F744" s="38" t="s">
        <v>66</v>
      </c>
      <c r="G744" s="38">
        <v>128371</v>
      </c>
      <c r="H744" s="43">
        <v>0.39</v>
      </c>
      <c r="I744" s="43">
        <v>0.79</v>
      </c>
      <c r="J744" s="38">
        <v>20.8</v>
      </c>
      <c r="K744" s="42">
        <v>2370.96</v>
      </c>
      <c r="L744" s="42">
        <v>474.19</v>
      </c>
      <c r="M744" s="38">
        <v>0</v>
      </c>
    </row>
    <row r="745" spans="1:13" ht="15" customHeight="1" x14ac:dyDescent="0.3">
      <c r="A745" s="38" t="s">
        <v>1566</v>
      </c>
      <c r="B745" s="40">
        <v>38412</v>
      </c>
      <c r="C745" s="41">
        <v>0.224</v>
      </c>
      <c r="D745" s="38">
        <v>60</v>
      </c>
      <c r="E745" s="38" t="s">
        <v>35</v>
      </c>
      <c r="F745" s="38" t="s">
        <v>83</v>
      </c>
      <c r="G745" s="38">
        <v>87980</v>
      </c>
      <c r="H745" s="43">
        <v>0.25</v>
      </c>
      <c r="I745" s="43">
        <v>0.71</v>
      </c>
      <c r="J745" s="38">
        <v>20.8</v>
      </c>
      <c r="K745" s="42">
        <v>43021.440000000002</v>
      </c>
      <c r="L745" s="42">
        <v>8604.2900000000009</v>
      </c>
      <c r="M745" s="38">
        <v>0</v>
      </c>
    </row>
    <row r="746" spans="1:13" ht="15" customHeight="1" x14ac:dyDescent="0.3">
      <c r="A746" s="38" t="s">
        <v>1568</v>
      </c>
      <c r="B746" s="40">
        <v>38846</v>
      </c>
      <c r="C746" s="41">
        <v>0.16500000000000001</v>
      </c>
      <c r="D746" s="38">
        <v>36</v>
      </c>
      <c r="E746" s="38" t="s">
        <v>35</v>
      </c>
      <c r="F746" s="38" t="s">
        <v>83</v>
      </c>
      <c r="G746" s="38">
        <v>85798</v>
      </c>
      <c r="H746" s="43">
        <v>0.13</v>
      </c>
      <c r="I746" s="43">
        <v>0.6</v>
      </c>
      <c r="J746" s="38">
        <v>20.7</v>
      </c>
      <c r="K746" s="42">
        <v>19228.77</v>
      </c>
      <c r="L746" s="42">
        <v>6409.59</v>
      </c>
      <c r="M746" s="38">
        <v>0</v>
      </c>
    </row>
    <row r="747" spans="1:13" ht="15" customHeight="1" x14ac:dyDescent="0.3">
      <c r="A747" s="38" t="s">
        <v>1570</v>
      </c>
      <c r="B747" s="40">
        <v>2367</v>
      </c>
      <c r="C747" s="41">
        <v>0.14499999999999999</v>
      </c>
      <c r="D747" s="38">
        <v>60</v>
      </c>
      <c r="E747" s="38" t="s">
        <v>35</v>
      </c>
      <c r="F747" s="38" t="s">
        <v>114</v>
      </c>
      <c r="G747" s="38">
        <v>98665</v>
      </c>
      <c r="H747" s="43">
        <v>0.39</v>
      </c>
      <c r="I747" s="43">
        <v>0.85</v>
      </c>
      <c r="J747" s="38">
        <v>20.7</v>
      </c>
      <c r="K747" s="42">
        <v>1716.075</v>
      </c>
      <c r="L747" s="42">
        <v>343.22</v>
      </c>
      <c r="M747" s="38">
        <v>0</v>
      </c>
    </row>
    <row r="748" spans="1:13" ht="15" customHeight="1" x14ac:dyDescent="0.3">
      <c r="A748" s="38" t="s">
        <v>1572</v>
      </c>
      <c r="B748" s="40">
        <v>30241</v>
      </c>
      <c r="C748" s="41">
        <v>0.154</v>
      </c>
      <c r="D748" s="38">
        <v>60</v>
      </c>
      <c r="E748" s="38" t="s">
        <v>35</v>
      </c>
      <c r="F748" s="38" t="s">
        <v>60</v>
      </c>
      <c r="G748" s="38">
        <v>77574</v>
      </c>
      <c r="H748" s="43">
        <v>0.36</v>
      </c>
      <c r="I748" s="43">
        <v>0.82</v>
      </c>
      <c r="J748" s="38">
        <v>20.7</v>
      </c>
      <c r="K748" s="42">
        <v>23285.57</v>
      </c>
      <c r="L748" s="42">
        <v>4657.1099999999997</v>
      </c>
      <c r="M748" s="38">
        <v>0</v>
      </c>
    </row>
    <row r="749" spans="1:13" ht="15" customHeight="1" x14ac:dyDescent="0.3">
      <c r="A749" s="38" t="s">
        <v>1574</v>
      </c>
      <c r="B749" s="40">
        <v>25762</v>
      </c>
      <c r="C749" s="41">
        <v>0.16</v>
      </c>
      <c r="D749" s="38">
        <v>36</v>
      </c>
      <c r="E749" s="38" t="s">
        <v>35</v>
      </c>
      <c r="F749" s="38" t="s">
        <v>60</v>
      </c>
      <c r="G749" s="38">
        <v>41064</v>
      </c>
      <c r="H749" s="43">
        <v>0.36</v>
      </c>
      <c r="I749" s="43">
        <v>0.78</v>
      </c>
      <c r="J749" s="38">
        <v>20.7</v>
      </c>
      <c r="K749" s="42">
        <v>12365.76</v>
      </c>
      <c r="L749" s="42">
        <v>4121.92</v>
      </c>
      <c r="M749" s="38">
        <v>0</v>
      </c>
    </row>
    <row r="750" spans="1:13" ht="15" customHeight="1" x14ac:dyDescent="0.3">
      <c r="A750" s="38" t="s">
        <v>1576</v>
      </c>
      <c r="B750" s="40">
        <v>33003</v>
      </c>
      <c r="C750" s="41">
        <v>9.5000000000000001E-2</v>
      </c>
      <c r="D750" s="38">
        <v>60</v>
      </c>
      <c r="E750" s="38" t="s">
        <v>35</v>
      </c>
      <c r="F750" s="38" t="s">
        <v>66</v>
      </c>
      <c r="G750" s="38">
        <v>142695</v>
      </c>
      <c r="H750" s="43">
        <v>0.31</v>
      </c>
      <c r="I750" s="43">
        <v>0.6</v>
      </c>
      <c r="J750" s="38">
        <v>20.6</v>
      </c>
      <c r="K750" s="42">
        <v>15676.424999999999</v>
      </c>
      <c r="L750" s="42">
        <v>3135.28</v>
      </c>
      <c r="M750" s="38">
        <v>0</v>
      </c>
    </row>
    <row r="751" spans="1:13" ht="15" customHeight="1" x14ac:dyDescent="0.3">
      <c r="A751" s="56" t="s">
        <v>1578</v>
      </c>
      <c r="B751" s="58">
        <v>22736</v>
      </c>
      <c r="C751" s="59">
        <v>0.224</v>
      </c>
      <c r="D751" s="56">
        <v>60</v>
      </c>
      <c r="E751" s="56" t="s">
        <v>37</v>
      </c>
      <c r="F751" s="56" t="s">
        <v>66</v>
      </c>
      <c r="G751" s="56">
        <v>143711</v>
      </c>
      <c r="H751" s="61">
        <v>0.44</v>
      </c>
      <c r="I751" s="61">
        <v>0.73</v>
      </c>
      <c r="J751" s="56">
        <v>20.6</v>
      </c>
      <c r="K751" s="60">
        <v>25464.32</v>
      </c>
      <c r="L751" s="60">
        <v>-14470.04</v>
      </c>
      <c r="M751" s="56">
        <v>1</v>
      </c>
    </row>
    <row r="752" spans="1:13" ht="15" customHeight="1" x14ac:dyDescent="0.3">
      <c r="A752" s="38" t="s">
        <v>1580</v>
      </c>
      <c r="B752" s="40">
        <v>11616</v>
      </c>
      <c r="C752" s="41">
        <v>6.0999999999999999E-2</v>
      </c>
      <c r="D752" s="38">
        <v>36</v>
      </c>
      <c r="E752" s="38" t="s">
        <v>35</v>
      </c>
      <c r="F752" s="38" t="s">
        <v>66</v>
      </c>
      <c r="G752" s="38">
        <v>58453</v>
      </c>
      <c r="H752" s="43">
        <v>0.14000000000000001</v>
      </c>
      <c r="I752" s="43">
        <v>0.52</v>
      </c>
      <c r="J752" s="38">
        <v>20.5</v>
      </c>
      <c r="K752" s="42">
        <v>2125.7280000000001</v>
      </c>
      <c r="L752" s="42">
        <v>708.58</v>
      </c>
      <c r="M752" s="38">
        <v>0</v>
      </c>
    </row>
    <row r="753" spans="1:13" ht="15" customHeight="1" x14ac:dyDescent="0.3">
      <c r="A753" s="44" t="s">
        <v>1582</v>
      </c>
      <c r="B753" s="46">
        <v>29552</v>
      </c>
      <c r="C753" s="47">
        <v>0.24399999999999999</v>
      </c>
      <c r="D753" s="44">
        <v>36</v>
      </c>
      <c r="E753" s="44" t="s">
        <v>36</v>
      </c>
      <c r="F753" s="44" t="s">
        <v>66</v>
      </c>
      <c r="G753" s="44">
        <v>46061</v>
      </c>
      <c r="H753" s="49">
        <v>0.39</v>
      </c>
      <c r="I753" s="49">
        <v>0.57999999999999996</v>
      </c>
      <c r="J753" s="44">
        <v>20.5</v>
      </c>
      <c r="K753" s="48">
        <v>21632.063999999998</v>
      </c>
      <c r="L753" s="48">
        <v>-24367.95</v>
      </c>
      <c r="M753" s="44">
        <v>0</v>
      </c>
    </row>
    <row r="754" spans="1:13" ht="15" customHeight="1" x14ac:dyDescent="0.3">
      <c r="A754" s="44" t="s">
        <v>1584</v>
      </c>
      <c r="B754" s="46">
        <v>26000</v>
      </c>
      <c r="C754" s="47">
        <v>8.5999999999999993E-2</v>
      </c>
      <c r="D754" s="44">
        <v>60</v>
      </c>
      <c r="E754" s="44" t="s">
        <v>36</v>
      </c>
      <c r="F754" s="44" t="s">
        <v>60</v>
      </c>
      <c r="G754" s="44">
        <v>115678</v>
      </c>
      <c r="H754" s="49">
        <v>0.3</v>
      </c>
      <c r="I754" s="49">
        <v>0.72</v>
      </c>
      <c r="J754" s="44">
        <v>20.5</v>
      </c>
      <c r="K754" s="48">
        <v>11180</v>
      </c>
      <c r="L754" s="48">
        <v>-16044.38</v>
      </c>
      <c r="M754" s="44">
        <v>0</v>
      </c>
    </row>
    <row r="755" spans="1:13" ht="15" customHeight="1" x14ac:dyDescent="0.3">
      <c r="A755" s="38" t="s">
        <v>1586</v>
      </c>
      <c r="B755" s="40">
        <v>1488</v>
      </c>
      <c r="C755" s="41">
        <v>0.245</v>
      </c>
      <c r="D755" s="38">
        <v>36</v>
      </c>
      <c r="E755" s="38" t="s">
        <v>35</v>
      </c>
      <c r="F755" s="38" t="s">
        <v>60</v>
      </c>
      <c r="G755" s="38">
        <v>32985</v>
      </c>
      <c r="H755" s="43">
        <v>0.37</v>
      </c>
      <c r="I755" s="43">
        <v>0.69</v>
      </c>
      <c r="J755" s="38">
        <v>20.5</v>
      </c>
      <c r="K755" s="42">
        <v>1093.68</v>
      </c>
      <c r="L755" s="42">
        <v>364.56</v>
      </c>
      <c r="M755" s="38">
        <v>0</v>
      </c>
    </row>
    <row r="756" spans="1:13" ht="15" customHeight="1" x14ac:dyDescent="0.3">
      <c r="A756" s="38" t="s">
        <v>1588</v>
      </c>
      <c r="B756" s="40">
        <v>8059</v>
      </c>
      <c r="C756" s="41">
        <v>0.16200000000000001</v>
      </c>
      <c r="D756" s="38">
        <v>36</v>
      </c>
      <c r="E756" s="38" t="s">
        <v>35</v>
      </c>
      <c r="F756" s="38" t="s">
        <v>80</v>
      </c>
      <c r="G756" s="38">
        <v>146026</v>
      </c>
      <c r="H756" s="43">
        <v>0.34</v>
      </c>
      <c r="I756" s="43">
        <v>0.57999999999999996</v>
      </c>
      <c r="J756" s="38">
        <v>20.5</v>
      </c>
      <c r="K756" s="42">
        <v>3916.674</v>
      </c>
      <c r="L756" s="42">
        <v>1305.56</v>
      </c>
      <c r="M756" s="38">
        <v>0</v>
      </c>
    </row>
    <row r="757" spans="1:13" ht="15" customHeight="1" x14ac:dyDescent="0.3">
      <c r="A757" s="44" t="s">
        <v>1590</v>
      </c>
      <c r="B757" s="46">
        <v>29769</v>
      </c>
      <c r="C757" s="47">
        <v>0.13500000000000001</v>
      </c>
      <c r="D757" s="44">
        <v>60</v>
      </c>
      <c r="E757" s="44" t="s">
        <v>36</v>
      </c>
      <c r="F757" s="44" t="s">
        <v>60</v>
      </c>
      <c r="G757" s="44">
        <v>66945</v>
      </c>
      <c r="H757" s="49">
        <v>0.48</v>
      </c>
      <c r="I757" s="49">
        <v>0.84</v>
      </c>
      <c r="J757" s="44">
        <v>20.399999999999999</v>
      </c>
      <c r="K757" s="48">
        <v>20094.075000000001</v>
      </c>
      <c r="L757" s="48">
        <v>-28005.78</v>
      </c>
      <c r="M757" s="44">
        <v>0</v>
      </c>
    </row>
    <row r="758" spans="1:13" ht="15" customHeight="1" x14ac:dyDescent="0.3">
      <c r="A758" s="38" t="s">
        <v>1592</v>
      </c>
      <c r="B758" s="40">
        <v>32010</v>
      </c>
      <c r="C758" s="41">
        <v>0.20100000000000001</v>
      </c>
      <c r="D758" s="38">
        <v>60</v>
      </c>
      <c r="E758" s="38" t="s">
        <v>35</v>
      </c>
      <c r="F758" s="38" t="s">
        <v>60</v>
      </c>
      <c r="G758" s="38">
        <v>61027</v>
      </c>
      <c r="H758" s="43">
        <v>0.25</v>
      </c>
      <c r="I758" s="43">
        <v>0.95</v>
      </c>
      <c r="J758" s="38">
        <v>20.3</v>
      </c>
      <c r="K758" s="42">
        <v>32170.05</v>
      </c>
      <c r="L758" s="42">
        <v>6434.01</v>
      </c>
      <c r="M758" s="38">
        <v>0</v>
      </c>
    </row>
    <row r="759" spans="1:13" ht="15" customHeight="1" x14ac:dyDescent="0.3">
      <c r="A759" s="44" t="s">
        <v>1594</v>
      </c>
      <c r="B759" s="46">
        <v>21103</v>
      </c>
      <c r="C759" s="47">
        <v>0.19400000000000001</v>
      </c>
      <c r="D759" s="44">
        <v>60</v>
      </c>
      <c r="E759" s="44" t="s">
        <v>36</v>
      </c>
      <c r="F759" s="44" t="s">
        <v>83</v>
      </c>
      <c r="G759" s="44">
        <v>74523</v>
      </c>
      <c r="H759" s="49">
        <v>0.36</v>
      </c>
      <c r="I759" s="49">
        <v>0.7</v>
      </c>
      <c r="J759" s="44">
        <v>20.3</v>
      </c>
      <c r="K759" s="48">
        <v>20469.91</v>
      </c>
      <c r="L759" s="48">
        <v>-17320.95</v>
      </c>
      <c r="M759" s="44">
        <v>0</v>
      </c>
    </row>
    <row r="760" spans="1:13" ht="15" customHeight="1" x14ac:dyDescent="0.3">
      <c r="A760" s="38" t="s">
        <v>1596</v>
      </c>
      <c r="B760" s="40">
        <v>32910</v>
      </c>
      <c r="C760" s="41">
        <v>0.19700000000000001</v>
      </c>
      <c r="D760" s="38">
        <v>60</v>
      </c>
      <c r="E760" s="38" t="s">
        <v>35</v>
      </c>
      <c r="F760" s="38" t="s">
        <v>257</v>
      </c>
      <c r="G760" s="38">
        <v>58054</v>
      </c>
      <c r="H760" s="43">
        <v>0.24</v>
      </c>
      <c r="I760" s="43">
        <v>0.54</v>
      </c>
      <c r="J760" s="38">
        <v>20.2</v>
      </c>
      <c r="K760" s="42">
        <v>32416.35</v>
      </c>
      <c r="L760" s="42">
        <v>6483.27</v>
      </c>
      <c r="M760" s="38">
        <v>0</v>
      </c>
    </row>
    <row r="761" spans="1:13" ht="15" customHeight="1" x14ac:dyDescent="0.3">
      <c r="A761" s="38" t="s">
        <v>1598</v>
      </c>
      <c r="B761" s="40">
        <v>16222</v>
      </c>
      <c r="C761" s="41">
        <v>0.11</v>
      </c>
      <c r="D761" s="38">
        <v>60</v>
      </c>
      <c r="E761" s="38" t="s">
        <v>35</v>
      </c>
      <c r="F761" s="38" t="s">
        <v>60</v>
      </c>
      <c r="G761" s="38">
        <v>59963</v>
      </c>
      <c r="H761" s="43">
        <v>0.37</v>
      </c>
      <c r="I761" s="43">
        <v>0.7</v>
      </c>
      <c r="J761" s="38">
        <v>20.2</v>
      </c>
      <c r="K761" s="42">
        <v>8922.1</v>
      </c>
      <c r="L761" s="42">
        <v>1784.42</v>
      </c>
      <c r="M761" s="38">
        <v>0</v>
      </c>
    </row>
    <row r="762" spans="1:13" ht="15" customHeight="1" x14ac:dyDescent="0.3">
      <c r="A762" s="44" t="s">
        <v>1600</v>
      </c>
      <c r="B762" s="46">
        <v>32890</v>
      </c>
      <c r="C762" s="47">
        <v>0.153</v>
      </c>
      <c r="D762" s="44">
        <v>36</v>
      </c>
      <c r="E762" s="44" t="s">
        <v>36</v>
      </c>
      <c r="F762" s="44" t="s">
        <v>71</v>
      </c>
      <c r="G762" s="44">
        <v>42100</v>
      </c>
      <c r="H762" s="49">
        <v>0.35</v>
      </c>
      <c r="I762" s="49">
        <v>0.55000000000000004</v>
      </c>
      <c r="J762" s="44">
        <v>20.100000000000001</v>
      </c>
      <c r="K762" s="48">
        <v>15096.51</v>
      </c>
      <c r="L762" s="48">
        <v>-24799.81</v>
      </c>
      <c r="M762" s="44">
        <v>0</v>
      </c>
    </row>
    <row r="763" spans="1:13" ht="15" customHeight="1" x14ac:dyDescent="0.3">
      <c r="A763" s="44" t="s">
        <v>1602</v>
      </c>
      <c r="B763" s="46">
        <v>10208</v>
      </c>
      <c r="C763" s="47">
        <v>0.219</v>
      </c>
      <c r="D763" s="44">
        <v>60</v>
      </c>
      <c r="E763" s="44" t="s">
        <v>36</v>
      </c>
      <c r="F763" s="44" t="s">
        <v>80</v>
      </c>
      <c r="G763" s="44">
        <v>35021</v>
      </c>
      <c r="H763" s="49">
        <v>0.49</v>
      </c>
      <c r="I763" s="49">
        <v>0.74</v>
      </c>
      <c r="J763" s="44">
        <v>20.100000000000001</v>
      </c>
      <c r="K763" s="48">
        <v>11177.76</v>
      </c>
      <c r="L763" s="48">
        <v>-9504.7900000000009</v>
      </c>
      <c r="M763" s="44">
        <v>0</v>
      </c>
    </row>
    <row r="764" spans="1:13" ht="15" customHeight="1" x14ac:dyDescent="0.3">
      <c r="A764" s="44" t="s">
        <v>1604</v>
      </c>
      <c r="B764" s="46">
        <v>6772</v>
      </c>
      <c r="C764" s="47">
        <v>6.7000000000000004E-2</v>
      </c>
      <c r="D764" s="44">
        <v>36</v>
      </c>
      <c r="E764" s="44" t="s">
        <v>36</v>
      </c>
      <c r="F764" s="44" t="s">
        <v>257</v>
      </c>
      <c r="G764" s="44">
        <v>53576</v>
      </c>
      <c r="H764" s="49">
        <v>0.25</v>
      </c>
      <c r="I764" s="49">
        <v>0.73</v>
      </c>
      <c r="J764" s="44">
        <v>20.100000000000001</v>
      </c>
      <c r="K764" s="48">
        <v>1361.172</v>
      </c>
      <c r="L764" s="48">
        <v>-3833.93</v>
      </c>
      <c r="M764" s="44">
        <v>0</v>
      </c>
    </row>
    <row r="765" spans="1:13" ht="15" customHeight="1" x14ac:dyDescent="0.3">
      <c r="A765" s="38" t="s">
        <v>1606</v>
      </c>
      <c r="B765" s="40">
        <v>29482</v>
      </c>
      <c r="C765" s="41">
        <v>0.17599999999999999</v>
      </c>
      <c r="D765" s="38">
        <v>60</v>
      </c>
      <c r="E765" s="38" t="s">
        <v>35</v>
      </c>
      <c r="F765" s="38" t="s">
        <v>80</v>
      </c>
      <c r="G765" s="38">
        <v>133067</v>
      </c>
      <c r="H765" s="43">
        <v>0.26</v>
      </c>
      <c r="I765" s="43">
        <v>0.84</v>
      </c>
      <c r="J765" s="38">
        <v>20</v>
      </c>
      <c r="K765" s="42">
        <v>25944.16</v>
      </c>
      <c r="L765" s="42">
        <v>5188.83</v>
      </c>
      <c r="M765" s="38">
        <v>0</v>
      </c>
    </row>
    <row r="766" spans="1:13" ht="15" customHeight="1" x14ac:dyDescent="0.3">
      <c r="A766" s="44" t="s">
        <v>1608</v>
      </c>
      <c r="B766" s="46">
        <v>2925</v>
      </c>
      <c r="C766" s="47">
        <v>7.4999999999999997E-2</v>
      </c>
      <c r="D766" s="44">
        <v>60</v>
      </c>
      <c r="E766" s="44" t="s">
        <v>36</v>
      </c>
      <c r="F766" s="44" t="s">
        <v>71</v>
      </c>
      <c r="G766" s="44">
        <v>148544</v>
      </c>
      <c r="H766" s="49">
        <v>0.13</v>
      </c>
      <c r="I766" s="49">
        <v>0.81</v>
      </c>
      <c r="J766" s="44">
        <v>20</v>
      </c>
      <c r="K766" s="48">
        <v>1096.875</v>
      </c>
      <c r="L766" s="48">
        <v>-2635.28</v>
      </c>
      <c r="M766" s="44">
        <v>0</v>
      </c>
    </row>
    <row r="767" spans="1:13" ht="15" customHeight="1" x14ac:dyDescent="0.3">
      <c r="A767" s="56" t="s">
        <v>1610</v>
      </c>
      <c r="B767" s="58">
        <v>31707</v>
      </c>
      <c r="C767" s="59">
        <v>9.9000000000000005E-2</v>
      </c>
      <c r="D767" s="56">
        <v>60</v>
      </c>
      <c r="E767" s="56" t="s">
        <v>37</v>
      </c>
      <c r="F767" s="56" t="s">
        <v>83</v>
      </c>
      <c r="G767" s="56">
        <v>121056</v>
      </c>
      <c r="H767" s="61">
        <v>0.22</v>
      </c>
      <c r="I767" s="61">
        <v>0.68</v>
      </c>
      <c r="J767" s="56">
        <v>20</v>
      </c>
      <c r="K767" s="60">
        <v>15694.965</v>
      </c>
      <c r="L767" s="60">
        <v>-19992.11</v>
      </c>
      <c r="M767" s="56">
        <v>1</v>
      </c>
    </row>
    <row r="768" spans="1:13" ht="15" customHeight="1" x14ac:dyDescent="0.3">
      <c r="A768" s="38" t="s">
        <v>1612</v>
      </c>
      <c r="B768" s="40">
        <v>11831</v>
      </c>
      <c r="C768" s="41">
        <v>0.128</v>
      </c>
      <c r="D768" s="38">
        <v>36</v>
      </c>
      <c r="E768" s="38" t="s">
        <v>35</v>
      </c>
      <c r="F768" s="38" t="s">
        <v>60</v>
      </c>
      <c r="G768" s="38">
        <v>131407</v>
      </c>
      <c r="H768" s="43">
        <v>0.43</v>
      </c>
      <c r="I768" s="43">
        <v>0.63</v>
      </c>
      <c r="J768" s="38">
        <v>20</v>
      </c>
      <c r="K768" s="42">
        <v>4543.1040000000003</v>
      </c>
      <c r="L768" s="42">
        <v>1514.37</v>
      </c>
      <c r="M768" s="38">
        <v>0</v>
      </c>
    </row>
    <row r="769" spans="1:13" ht="15" customHeight="1" x14ac:dyDescent="0.3">
      <c r="A769" s="38" t="s">
        <v>1614</v>
      </c>
      <c r="B769" s="40">
        <v>2239</v>
      </c>
      <c r="C769" s="41">
        <v>0.14000000000000001</v>
      </c>
      <c r="D769" s="38">
        <v>60</v>
      </c>
      <c r="E769" s="38" t="s">
        <v>35</v>
      </c>
      <c r="F769" s="38" t="s">
        <v>71</v>
      </c>
      <c r="G769" s="38">
        <v>76151</v>
      </c>
      <c r="H769" s="43">
        <v>0.14000000000000001</v>
      </c>
      <c r="I769" s="43">
        <v>0.56999999999999995</v>
      </c>
      <c r="J769" s="38">
        <v>20</v>
      </c>
      <c r="K769" s="42">
        <v>1567.3</v>
      </c>
      <c r="L769" s="42">
        <v>313.45999999999998</v>
      </c>
      <c r="M769" s="38">
        <v>0</v>
      </c>
    </row>
    <row r="770" spans="1:13" ht="15" customHeight="1" x14ac:dyDescent="0.3">
      <c r="A770" s="44" t="s">
        <v>1616</v>
      </c>
      <c r="B770" s="46">
        <v>2435</v>
      </c>
      <c r="C770" s="47">
        <v>0.20200000000000001</v>
      </c>
      <c r="D770" s="44">
        <v>36</v>
      </c>
      <c r="E770" s="44" t="s">
        <v>36</v>
      </c>
      <c r="F770" s="44" t="s">
        <v>71</v>
      </c>
      <c r="G770" s="44">
        <v>41094</v>
      </c>
      <c r="H770" s="49">
        <v>0.42</v>
      </c>
      <c r="I770" s="49">
        <v>0.81</v>
      </c>
      <c r="J770" s="44">
        <v>19.899999999999999</v>
      </c>
      <c r="K770" s="48">
        <v>1475.61</v>
      </c>
      <c r="L770" s="48">
        <v>-2027.92</v>
      </c>
      <c r="M770" s="44">
        <v>0</v>
      </c>
    </row>
    <row r="771" spans="1:13" ht="15" customHeight="1" x14ac:dyDescent="0.3">
      <c r="A771" s="44" t="s">
        <v>1618</v>
      </c>
      <c r="B771" s="46">
        <v>23420</v>
      </c>
      <c r="C771" s="47">
        <v>0.11700000000000001</v>
      </c>
      <c r="D771" s="44">
        <v>36</v>
      </c>
      <c r="E771" s="44" t="s">
        <v>36</v>
      </c>
      <c r="F771" s="44" t="s">
        <v>71</v>
      </c>
      <c r="G771" s="44">
        <v>116567</v>
      </c>
      <c r="H771" s="49">
        <v>0.23</v>
      </c>
      <c r="I771" s="49">
        <v>0.73</v>
      </c>
      <c r="J771" s="44">
        <v>19.899999999999999</v>
      </c>
      <c r="K771" s="48">
        <v>8220.42</v>
      </c>
      <c r="L771" s="48">
        <v>-17474.849999999999</v>
      </c>
      <c r="M771" s="44">
        <v>0</v>
      </c>
    </row>
    <row r="772" spans="1:13" ht="15" customHeight="1" x14ac:dyDescent="0.3">
      <c r="A772" s="44" t="s">
        <v>1620</v>
      </c>
      <c r="B772" s="46">
        <v>12700</v>
      </c>
      <c r="C772" s="47">
        <v>0.13100000000000001</v>
      </c>
      <c r="D772" s="44">
        <v>60</v>
      </c>
      <c r="E772" s="44" t="s">
        <v>36</v>
      </c>
      <c r="F772" s="44" t="s">
        <v>83</v>
      </c>
      <c r="G772" s="44">
        <v>95206</v>
      </c>
      <c r="H772" s="49">
        <v>0.5</v>
      </c>
      <c r="I772" s="49">
        <v>0.68</v>
      </c>
      <c r="J772" s="44">
        <v>19.899999999999999</v>
      </c>
      <c r="K772" s="48">
        <v>8318.5</v>
      </c>
      <c r="L772" s="48">
        <v>-11386.88</v>
      </c>
      <c r="M772" s="44">
        <v>0</v>
      </c>
    </row>
    <row r="773" spans="1:13" ht="15" customHeight="1" x14ac:dyDescent="0.3">
      <c r="A773" s="44" t="s">
        <v>1622</v>
      </c>
      <c r="B773" s="46">
        <v>9436</v>
      </c>
      <c r="C773" s="47">
        <v>0.152</v>
      </c>
      <c r="D773" s="44">
        <v>60</v>
      </c>
      <c r="E773" s="44" t="s">
        <v>36</v>
      </c>
      <c r="F773" s="44" t="s">
        <v>71</v>
      </c>
      <c r="G773" s="44">
        <v>37485</v>
      </c>
      <c r="H773" s="49">
        <v>0.33</v>
      </c>
      <c r="I773" s="49">
        <v>0.78</v>
      </c>
      <c r="J773" s="44">
        <v>19.899999999999999</v>
      </c>
      <c r="K773" s="48">
        <v>7171.36</v>
      </c>
      <c r="L773" s="48">
        <v>-7187.39</v>
      </c>
      <c r="M773" s="44">
        <v>0</v>
      </c>
    </row>
    <row r="774" spans="1:13" ht="15" customHeight="1" x14ac:dyDescent="0.3">
      <c r="A774" s="56" t="s">
        <v>1624</v>
      </c>
      <c r="B774" s="58">
        <v>21609</v>
      </c>
      <c r="C774" s="59">
        <v>7.0999999999999994E-2</v>
      </c>
      <c r="D774" s="56">
        <v>60</v>
      </c>
      <c r="E774" s="56" t="s">
        <v>37</v>
      </c>
      <c r="F774" s="56" t="s">
        <v>114</v>
      </c>
      <c r="G774" s="56">
        <v>132023</v>
      </c>
      <c r="H774" s="61">
        <v>0.36</v>
      </c>
      <c r="I774" s="61">
        <v>0.88</v>
      </c>
      <c r="J774" s="56">
        <v>19.8</v>
      </c>
      <c r="K774" s="60">
        <v>7671.1949999999997</v>
      </c>
      <c r="L774" s="60">
        <v>-11497.6</v>
      </c>
      <c r="M774" s="56">
        <v>1</v>
      </c>
    </row>
    <row r="775" spans="1:13" ht="15" customHeight="1" x14ac:dyDescent="0.3">
      <c r="A775" s="38" t="s">
        <v>1626</v>
      </c>
      <c r="B775" s="40">
        <v>13115</v>
      </c>
      <c r="C775" s="41">
        <v>0.22</v>
      </c>
      <c r="D775" s="38">
        <v>36</v>
      </c>
      <c r="E775" s="38" t="s">
        <v>35</v>
      </c>
      <c r="F775" s="38" t="s">
        <v>114</v>
      </c>
      <c r="G775" s="38">
        <v>84722</v>
      </c>
      <c r="H775" s="43">
        <v>0.11</v>
      </c>
      <c r="I775" s="43">
        <v>0.93</v>
      </c>
      <c r="J775" s="38">
        <v>19.8</v>
      </c>
      <c r="K775" s="42">
        <v>8655.9</v>
      </c>
      <c r="L775" s="42">
        <v>2885.3</v>
      </c>
      <c r="M775" s="38">
        <v>0</v>
      </c>
    </row>
    <row r="776" spans="1:13" ht="15" customHeight="1" x14ac:dyDescent="0.3">
      <c r="A776" s="38" t="s">
        <v>1628</v>
      </c>
      <c r="B776" s="40">
        <v>23180</v>
      </c>
      <c r="C776" s="41">
        <v>0.10100000000000001</v>
      </c>
      <c r="D776" s="38">
        <v>60</v>
      </c>
      <c r="E776" s="38" t="s">
        <v>35</v>
      </c>
      <c r="F776" s="38" t="s">
        <v>60</v>
      </c>
      <c r="G776" s="38">
        <v>41676</v>
      </c>
      <c r="H776" s="43">
        <v>0.24</v>
      </c>
      <c r="I776" s="43">
        <v>0.82</v>
      </c>
      <c r="J776" s="38">
        <v>19.7</v>
      </c>
      <c r="K776" s="42">
        <v>11705.9</v>
      </c>
      <c r="L776" s="42">
        <v>2341.1799999999998</v>
      </c>
      <c r="M776" s="38">
        <v>0</v>
      </c>
    </row>
    <row r="777" spans="1:13" ht="15" customHeight="1" x14ac:dyDescent="0.3">
      <c r="A777" s="56" t="s">
        <v>1630</v>
      </c>
      <c r="B777" s="58">
        <v>14261</v>
      </c>
      <c r="C777" s="59">
        <v>0.24399999999999999</v>
      </c>
      <c r="D777" s="56">
        <v>36</v>
      </c>
      <c r="E777" s="56" t="s">
        <v>37</v>
      </c>
      <c r="F777" s="56" t="s">
        <v>60</v>
      </c>
      <c r="G777" s="56">
        <v>69104</v>
      </c>
      <c r="H777" s="61">
        <v>0.37</v>
      </c>
      <c r="I777" s="61">
        <v>0.61</v>
      </c>
      <c r="J777" s="56">
        <v>19.7</v>
      </c>
      <c r="K777" s="60">
        <v>10439.052</v>
      </c>
      <c r="L777" s="60">
        <v>-11173.74</v>
      </c>
      <c r="M777" s="56">
        <v>1</v>
      </c>
    </row>
    <row r="778" spans="1:13" ht="15" customHeight="1" x14ac:dyDescent="0.3">
      <c r="A778" s="56" t="s">
        <v>1632</v>
      </c>
      <c r="B778" s="58">
        <v>10155</v>
      </c>
      <c r="C778" s="59">
        <v>0.21</v>
      </c>
      <c r="D778" s="56">
        <v>60</v>
      </c>
      <c r="E778" s="56" t="s">
        <v>37</v>
      </c>
      <c r="F778" s="56" t="s">
        <v>66</v>
      </c>
      <c r="G778" s="56">
        <v>82198</v>
      </c>
      <c r="H778" s="61">
        <v>0.32</v>
      </c>
      <c r="I778" s="61">
        <v>0.78</v>
      </c>
      <c r="J778" s="56">
        <v>19.600000000000001</v>
      </c>
      <c r="K778" s="60">
        <v>10662.75</v>
      </c>
      <c r="L778" s="60">
        <v>-9165.58</v>
      </c>
      <c r="M778" s="56">
        <v>1</v>
      </c>
    </row>
    <row r="779" spans="1:13" ht="15" customHeight="1" x14ac:dyDescent="0.3">
      <c r="A779" s="38" t="s">
        <v>1634</v>
      </c>
      <c r="B779" s="40">
        <v>1614</v>
      </c>
      <c r="C779" s="41">
        <v>0.182</v>
      </c>
      <c r="D779" s="38">
        <v>36</v>
      </c>
      <c r="E779" s="38" t="s">
        <v>35</v>
      </c>
      <c r="F779" s="38" t="s">
        <v>83</v>
      </c>
      <c r="G779" s="38">
        <v>56069</v>
      </c>
      <c r="H779" s="43">
        <v>0.33</v>
      </c>
      <c r="I779" s="43">
        <v>0.69</v>
      </c>
      <c r="J779" s="38">
        <v>19.600000000000001</v>
      </c>
      <c r="K779" s="42">
        <v>881.24400000000003</v>
      </c>
      <c r="L779" s="42">
        <v>293.75</v>
      </c>
      <c r="M779" s="38">
        <v>0</v>
      </c>
    </row>
    <row r="780" spans="1:13" ht="15" customHeight="1" x14ac:dyDescent="0.3">
      <c r="A780" s="38" t="s">
        <v>1636</v>
      </c>
      <c r="B780" s="40">
        <v>4374</v>
      </c>
      <c r="C780" s="41">
        <v>0.108</v>
      </c>
      <c r="D780" s="38">
        <v>36</v>
      </c>
      <c r="E780" s="38" t="s">
        <v>35</v>
      </c>
      <c r="F780" s="38" t="s">
        <v>83</v>
      </c>
      <c r="G780" s="38">
        <v>62551</v>
      </c>
      <c r="H780" s="43">
        <v>0.19</v>
      </c>
      <c r="I780" s="43">
        <v>0.56000000000000005</v>
      </c>
      <c r="J780" s="38">
        <v>19.600000000000001</v>
      </c>
      <c r="K780" s="42">
        <v>1417.1759999999999</v>
      </c>
      <c r="L780" s="42">
        <v>472.39</v>
      </c>
      <c r="M780" s="38">
        <v>0</v>
      </c>
    </row>
    <row r="781" spans="1:13" ht="15" customHeight="1" x14ac:dyDescent="0.3">
      <c r="A781" s="38" t="s">
        <v>1638</v>
      </c>
      <c r="B781" s="40">
        <v>22730</v>
      </c>
      <c r="C781" s="41">
        <v>8.6999999999999994E-2</v>
      </c>
      <c r="D781" s="38">
        <v>60</v>
      </c>
      <c r="E781" s="38" t="s">
        <v>35</v>
      </c>
      <c r="F781" s="38" t="s">
        <v>60</v>
      </c>
      <c r="G781" s="38">
        <v>83535</v>
      </c>
      <c r="H781" s="43">
        <v>0.43</v>
      </c>
      <c r="I781" s="43">
        <v>0.68</v>
      </c>
      <c r="J781" s="38">
        <v>19.5</v>
      </c>
      <c r="K781" s="42">
        <v>9887.5499999999993</v>
      </c>
      <c r="L781" s="42">
        <v>1977.51</v>
      </c>
      <c r="M781" s="38">
        <v>0</v>
      </c>
    </row>
    <row r="782" spans="1:13" ht="15" customHeight="1" x14ac:dyDescent="0.3">
      <c r="A782" s="38" t="s">
        <v>1640</v>
      </c>
      <c r="B782" s="40">
        <v>23431</v>
      </c>
      <c r="C782" s="41">
        <v>0.18</v>
      </c>
      <c r="D782" s="38">
        <v>60</v>
      </c>
      <c r="E782" s="38" t="s">
        <v>35</v>
      </c>
      <c r="F782" s="38" t="s">
        <v>80</v>
      </c>
      <c r="G782" s="38">
        <v>112384</v>
      </c>
      <c r="H782" s="43">
        <v>0.49</v>
      </c>
      <c r="I782" s="43">
        <v>0.56000000000000005</v>
      </c>
      <c r="J782" s="38">
        <v>19.5</v>
      </c>
      <c r="K782" s="42">
        <v>21087.9</v>
      </c>
      <c r="L782" s="42">
        <v>4217.58</v>
      </c>
      <c r="M782" s="38">
        <v>0</v>
      </c>
    </row>
    <row r="783" spans="1:13" ht="15" customHeight="1" x14ac:dyDescent="0.3">
      <c r="A783" s="38" t="s">
        <v>1642</v>
      </c>
      <c r="B783" s="40">
        <v>13765</v>
      </c>
      <c r="C783" s="41">
        <v>0.13900000000000001</v>
      </c>
      <c r="D783" s="38">
        <v>36</v>
      </c>
      <c r="E783" s="38" t="s">
        <v>35</v>
      </c>
      <c r="F783" s="38" t="s">
        <v>83</v>
      </c>
      <c r="G783" s="38">
        <v>147904</v>
      </c>
      <c r="H783" s="43">
        <v>0.18</v>
      </c>
      <c r="I783" s="43">
        <v>0.62</v>
      </c>
      <c r="J783" s="38">
        <v>19.399999999999999</v>
      </c>
      <c r="K783" s="42">
        <v>5740.0050000000001</v>
      </c>
      <c r="L783" s="42">
        <v>1913.34</v>
      </c>
      <c r="M783" s="38">
        <v>0</v>
      </c>
    </row>
    <row r="784" spans="1:13" ht="15" customHeight="1" x14ac:dyDescent="0.3">
      <c r="A784" s="56" t="s">
        <v>1644</v>
      </c>
      <c r="B784" s="58">
        <v>7737</v>
      </c>
      <c r="C784" s="59">
        <v>0.21199999999999999</v>
      </c>
      <c r="D784" s="56">
        <v>60</v>
      </c>
      <c r="E784" s="56" t="s">
        <v>37</v>
      </c>
      <c r="F784" s="56" t="s">
        <v>83</v>
      </c>
      <c r="G784" s="56">
        <v>146500</v>
      </c>
      <c r="H784" s="61">
        <v>0.45</v>
      </c>
      <c r="I784" s="61">
        <v>0.78</v>
      </c>
      <c r="J784" s="56">
        <v>19.399999999999999</v>
      </c>
      <c r="K784" s="60">
        <v>8201.2199999999993</v>
      </c>
      <c r="L784" s="60">
        <v>-5297.85</v>
      </c>
      <c r="M784" s="56">
        <v>1</v>
      </c>
    </row>
    <row r="785" spans="1:13" ht="15" customHeight="1" x14ac:dyDescent="0.3">
      <c r="A785" s="38" t="s">
        <v>1646</v>
      </c>
      <c r="B785" s="40">
        <v>1806</v>
      </c>
      <c r="C785" s="41">
        <v>0.17799999999999999</v>
      </c>
      <c r="D785" s="38">
        <v>60</v>
      </c>
      <c r="E785" s="38" t="s">
        <v>35</v>
      </c>
      <c r="F785" s="38" t="s">
        <v>114</v>
      </c>
      <c r="G785" s="38">
        <v>105542</v>
      </c>
      <c r="H785" s="43">
        <v>0.32</v>
      </c>
      <c r="I785" s="43">
        <v>0.59</v>
      </c>
      <c r="J785" s="38">
        <v>19.3</v>
      </c>
      <c r="K785" s="42">
        <v>1607.34</v>
      </c>
      <c r="L785" s="42">
        <v>321.47000000000003</v>
      </c>
      <c r="M785" s="38">
        <v>0</v>
      </c>
    </row>
    <row r="786" spans="1:13" ht="15" customHeight="1" x14ac:dyDescent="0.3">
      <c r="A786" s="44" t="s">
        <v>1648</v>
      </c>
      <c r="B786" s="46">
        <v>27116</v>
      </c>
      <c r="C786" s="47">
        <v>0.22900000000000001</v>
      </c>
      <c r="D786" s="44">
        <v>36</v>
      </c>
      <c r="E786" s="44" t="s">
        <v>36</v>
      </c>
      <c r="F786" s="44" t="s">
        <v>71</v>
      </c>
      <c r="G786" s="44">
        <v>135982</v>
      </c>
      <c r="H786" s="49">
        <v>0.18</v>
      </c>
      <c r="I786" s="49">
        <v>0.81</v>
      </c>
      <c r="J786" s="44">
        <v>19.3</v>
      </c>
      <c r="K786" s="48">
        <v>18628.691999999999</v>
      </c>
      <c r="L786" s="48">
        <v>-17295.03</v>
      </c>
      <c r="M786" s="44">
        <v>0</v>
      </c>
    </row>
    <row r="787" spans="1:13" ht="15" customHeight="1" x14ac:dyDescent="0.3">
      <c r="A787" s="38" t="s">
        <v>1650</v>
      </c>
      <c r="B787" s="40">
        <v>18029</v>
      </c>
      <c r="C787" s="41">
        <v>9.5000000000000001E-2</v>
      </c>
      <c r="D787" s="38">
        <v>60</v>
      </c>
      <c r="E787" s="38" t="s">
        <v>35</v>
      </c>
      <c r="F787" s="38" t="s">
        <v>80</v>
      </c>
      <c r="G787" s="38">
        <v>34994</v>
      </c>
      <c r="H787" s="43">
        <v>0.4</v>
      </c>
      <c r="I787" s="43">
        <v>0.8</v>
      </c>
      <c r="J787" s="38">
        <v>19.3</v>
      </c>
      <c r="K787" s="42">
        <v>8563.7749999999996</v>
      </c>
      <c r="L787" s="42">
        <v>1712.76</v>
      </c>
      <c r="M787" s="38">
        <v>0</v>
      </c>
    </row>
    <row r="788" spans="1:13" ht="15" customHeight="1" x14ac:dyDescent="0.3">
      <c r="A788" s="38" t="s">
        <v>1652</v>
      </c>
      <c r="B788" s="40">
        <v>8421</v>
      </c>
      <c r="C788" s="41">
        <v>0.106</v>
      </c>
      <c r="D788" s="38">
        <v>36</v>
      </c>
      <c r="E788" s="38" t="s">
        <v>35</v>
      </c>
      <c r="F788" s="38" t="s">
        <v>83</v>
      </c>
      <c r="G788" s="38">
        <v>88817</v>
      </c>
      <c r="H788" s="43">
        <v>0.25</v>
      </c>
      <c r="I788" s="43">
        <v>0.65</v>
      </c>
      <c r="J788" s="38">
        <v>19.3</v>
      </c>
      <c r="K788" s="42">
        <v>2677.8780000000002</v>
      </c>
      <c r="L788" s="42">
        <v>892.62999999999897</v>
      </c>
      <c r="M788" s="38">
        <v>0</v>
      </c>
    </row>
    <row r="789" spans="1:13" ht="15" customHeight="1" x14ac:dyDescent="0.3">
      <c r="A789" s="38" t="s">
        <v>1654</v>
      </c>
      <c r="B789" s="40">
        <v>7368</v>
      </c>
      <c r="C789" s="41">
        <v>0.22500000000000001</v>
      </c>
      <c r="D789" s="38">
        <v>36</v>
      </c>
      <c r="E789" s="38" t="s">
        <v>35</v>
      </c>
      <c r="F789" s="38" t="s">
        <v>60</v>
      </c>
      <c r="G789" s="38">
        <v>76830</v>
      </c>
      <c r="H789" s="43">
        <v>0.43</v>
      </c>
      <c r="I789" s="43">
        <v>0.86</v>
      </c>
      <c r="J789" s="38">
        <v>19.3</v>
      </c>
      <c r="K789" s="42">
        <v>4973.3999999999996</v>
      </c>
      <c r="L789" s="42">
        <v>1657.8</v>
      </c>
      <c r="M789" s="38">
        <v>0</v>
      </c>
    </row>
    <row r="790" spans="1:13" ht="15" customHeight="1" x14ac:dyDescent="0.3">
      <c r="A790" s="38" t="s">
        <v>1656</v>
      </c>
      <c r="B790" s="40">
        <v>5780</v>
      </c>
      <c r="C790" s="41">
        <v>0.13600000000000001</v>
      </c>
      <c r="D790" s="38">
        <v>60</v>
      </c>
      <c r="E790" s="38" t="s">
        <v>35</v>
      </c>
      <c r="F790" s="38" t="s">
        <v>71</v>
      </c>
      <c r="G790" s="38">
        <v>120221</v>
      </c>
      <c r="H790" s="43">
        <v>0.15</v>
      </c>
      <c r="I790" s="43">
        <v>0.73</v>
      </c>
      <c r="J790" s="38">
        <v>19.2</v>
      </c>
      <c r="K790" s="42">
        <v>3930.4</v>
      </c>
      <c r="L790" s="42">
        <v>786.08</v>
      </c>
      <c r="M790" s="38">
        <v>0</v>
      </c>
    </row>
    <row r="791" spans="1:13" ht="15" customHeight="1" x14ac:dyDescent="0.3">
      <c r="A791" s="38" t="s">
        <v>1658</v>
      </c>
      <c r="B791" s="40">
        <v>6656</v>
      </c>
      <c r="C791" s="41">
        <v>0.19600000000000001</v>
      </c>
      <c r="D791" s="38">
        <v>60</v>
      </c>
      <c r="E791" s="38" t="s">
        <v>35</v>
      </c>
      <c r="F791" s="38" t="s">
        <v>83</v>
      </c>
      <c r="G791" s="38">
        <v>43780</v>
      </c>
      <c r="H791" s="43">
        <v>0.43</v>
      </c>
      <c r="I791" s="43">
        <v>0.59</v>
      </c>
      <c r="J791" s="38">
        <v>19.2</v>
      </c>
      <c r="K791" s="42">
        <v>6522.88</v>
      </c>
      <c r="L791" s="42">
        <v>1304.58</v>
      </c>
      <c r="M791" s="38">
        <v>0</v>
      </c>
    </row>
    <row r="792" spans="1:13" ht="15" customHeight="1" x14ac:dyDescent="0.3">
      <c r="A792" s="38" t="s">
        <v>1660</v>
      </c>
      <c r="B792" s="40">
        <v>14760</v>
      </c>
      <c r="C792" s="41">
        <v>0.22600000000000001</v>
      </c>
      <c r="D792" s="38">
        <v>60</v>
      </c>
      <c r="E792" s="38" t="s">
        <v>35</v>
      </c>
      <c r="F792" s="38" t="s">
        <v>71</v>
      </c>
      <c r="G792" s="38">
        <v>117438</v>
      </c>
      <c r="H792" s="43">
        <v>0.27</v>
      </c>
      <c r="I792" s="43">
        <v>0.54</v>
      </c>
      <c r="J792" s="38">
        <v>19.2</v>
      </c>
      <c r="K792" s="42">
        <v>16678.8</v>
      </c>
      <c r="L792" s="42">
        <v>3335.76</v>
      </c>
      <c r="M792" s="38">
        <v>0</v>
      </c>
    </row>
    <row r="793" spans="1:13" ht="15" customHeight="1" x14ac:dyDescent="0.3">
      <c r="A793" s="50" t="s">
        <v>1662</v>
      </c>
      <c r="B793" s="52">
        <v>29211</v>
      </c>
      <c r="C793" s="53">
        <v>5.7000000000000002E-2</v>
      </c>
      <c r="D793" s="50">
        <v>36</v>
      </c>
      <c r="E793" s="50" t="s">
        <v>38</v>
      </c>
      <c r="F793" s="50" t="s">
        <v>83</v>
      </c>
      <c r="G793" s="50">
        <v>108388</v>
      </c>
      <c r="H793" s="55">
        <v>0.2</v>
      </c>
      <c r="I793" s="55">
        <v>0.89</v>
      </c>
      <c r="J793" s="50">
        <v>19.2</v>
      </c>
      <c r="K793" s="54">
        <v>4995.0810000000001</v>
      </c>
      <c r="L793" s="54">
        <v>-29211</v>
      </c>
      <c r="M793" s="50">
        <v>1</v>
      </c>
    </row>
    <row r="794" spans="1:13" ht="15" customHeight="1" x14ac:dyDescent="0.3">
      <c r="A794" s="56" t="s">
        <v>1664</v>
      </c>
      <c r="B794" s="58">
        <v>25860</v>
      </c>
      <c r="C794" s="59">
        <v>0.129</v>
      </c>
      <c r="D794" s="56">
        <v>60</v>
      </c>
      <c r="E794" s="56" t="s">
        <v>37</v>
      </c>
      <c r="F794" s="56" t="s">
        <v>60</v>
      </c>
      <c r="G794" s="56">
        <v>119765</v>
      </c>
      <c r="H794" s="61">
        <v>0.28000000000000003</v>
      </c>
      <c r="I794" s="61">
        <v>0.74</v>
      </c>
      <c r="J794" s="56">
        <v>19.2</v>
      </c>
      <c r="K794" s="60">
        <v>16679.7</v>
      </c>
      <c r="L794" s="60">
        <v>-19961.82</v>
      </c>
      <c r="M794" s="56">
        <v>1</v>
      </c>
    </row>
    <row r="795" spans="1:13" ht="15" customHeight="1" x14ac:dyDescent="0.3">
      <c r="A795" s="56" t="s">
        <v>1666</v>
      </c>
      <c r="B795" s="58">
        <v>34660</v>
      </c>
      <c r="C795" s="59">
        <v>0.23200000000000001</v>
      </c>
      <c r="D795" s="56">
        <v>60</v>
      </c>
      <c r="E795" s="56" t="s">
        <v>37</v>
      </c>
      <c r="F795" s="56" t="s">
        <v>71</v>
      </c>
      <c r="G795" s="56">
        <v>74535</v>
      </c>
      <c r="H795" s="61">
        <v>0.28000000000000003</v>
      </c>
      <c r="I795" s="61">
        <v>0.57999999999999996</v>
      </c>
      <c r="J795" s="56">
        <v>19.2</v>
      </c>
      <c r="K795" s="60">
        <v>40205.599999999999</v>
      </c>
      <c r="L795" s="60">
        <v>-29939.27</v>
      </c>
      <c r="M795" s="56">
        <v>1</v>
      </c>
    </row>
    <row r="796" spans="1:13" ht="15" customHeight="1" x14ac:dyDescent="0.3">
      <c r="A796" s="38" t="s">
        <v>1668</v>
      </c>
      <c r="B796" s="40">
        <v>4020</v>
      </c>
      <c r="C796" s="41">
        <v>0.16200000000000001</v>
      </c>
      <c r="D796" s="38">
        <v>36</v>
      </c>
      <c r="E796" s="38" t="s">
        <v>35</v>
      </c>
      <c r="F796" s="38" t="s">
        <v>66</v>
      </c>
      <c r="G796" s="38">
        <v>122617</v>
      </c>
      <c r="H796" s="43">
        <v>0.3</v>
      </c>
      <c r="I796" s="43">
        <v>0.56000000000000005</v>
      </c>
      <c r="J796" s="38">
        <v>19.100000000000001</v>
      </c>
      <c r="K796" s="42">
        <v>1953.72</v>
      </c>
      <c r="L796" s="42">
        <v>651.24</v>
      </c>
      <c r="M796" s="38">
        <v>0</v>
      </c>
    </row>
    <row r="797" spans="1:13" ht="15" customHeight="1" x14ac:dyDescent="0.3">
      <c r="A797" s="38" t="s">
        <v>1670</v>
      </c>
      <c r="B797" s="40">
        <v>21581</v>
      </c>
      <c r="C797" s="41">
        <v>0.105</v>
      </c>
      <c r="D797" s="38">
        <v>36</v>
      </c>
      <c r="E797" s="38" t="s">
        <v>35</v>
      </c>
      <c r="F797" s="38" t="s">
        <v>83</v>
      </c>
      <c r="G797" s="38">
        <v>72239</v>
      </c>
      <c r="H797" s="43">
        <v>0.23</v>
      </c>
      <c r="I797" s="43">
        <v>0.88</v>
      </c>
      <c r="J797" s="38">
        <v>19.100000000000001</v>
      </c>
      <c r="K797" s="42">
        <v>6798.0150000000003</v>
      </c>
      <c r="L797" s="42">
        <v>2266</v>
      </c>
      <c r="M797" s="38">
        <v>0</v>
      </c>
    </row>
    <row r="798" spans="1:13" ht="15" customHeight="1" x14ac:dyDescent="0.3">
      <c r="A798" s="44" t="s">
        <v>1672</v>
      </c>
      <c r="B798" s="46">
        <v>35157</v>
      </c>
      <c r="C798" s="47">
        <v>0.16300000000000001</v>
      </c>
      <c r="D798" s="44">
        <v>60</v>
      </c>
      <c r="E798" s="44" t="s">
        <v>36</v>
      </c>
      <c r="F798" s="44" t="s">
        <v>66</v>
      </c>
      <c r="G798" s="44">
        <v>45899</v>
      </c>
      <c r="H798" s="49">
        <v>0.42</v>
      </c>
      <c r="I798" s="49">
        <v>0.55000000000000004</v>
      </c>
      <c r="J798" s="44">
        <v>19.100000000000001</v>
      </c>
      <c r="K798" s="48">
        <v>28652.955000000002</v>
      </c>
      <c r="L798" s="48">
        <v>-22651.919999999998</v>
      </c>
      <c r="M798" s="44">
        <v>0</v>
      </c>
    </row>
    <row r="799" spans="1:13" ht="15" customHeight="1" x14ac:dyDescent="0.3">
      <c r="A799" s="44" t="s">
        <v>1674</v>
      </c>
      <c r="B799" s="46">
        <v>18658</v>
      </c>
      <c r="C799" s="47">
        <v>0.114</v>
      </c>
      <c r="D799" s="44">
        <v>60</v>
      </c>
      <c r="E799" s="44" t="s">
        <v>36</v>
      </c>
      <c r="F799" s="44" t="s">
        <v>60</v>
      </c>
      <c r="G799" s="44">
        <v>74739</v>
      </c>
      <c r="H799" s="49">
        <v>0.41</v>
      </c>
      <c r="I799" s="49">
        <v>0.82</v>
      </c>
      <c r="J799" s="44">
        <v>19.100000000000001</v>
      </c>
      <c r="K799" s="48">
        <v>10635.06</v>
      </c>
      <c r="L799" s="48">
        <v>-11122.68</v>
      </c>
      <c r="M799" s="44">
        <v>0</v>
      </c>
    </row>
    <row r="800" spans="1:13" ht="15" customHeight="1" x14ac:dyDescent="0.3">
      <c r="A800" s="38" t="s">
        <v>1676</v>
      </c>
      <c r="B800" s="40">
        <v>22675</v>
      </c>
      <c r="C800" s="41">
        <v>0.14499999999999999</v>
      </c>
      <c r="D800" s="38">
        <v>60</v>
      </c>
      <c r="E800" s="38" t="s">
        <v>35</v>
      </c>
      <c r="F800" s="38" t="s">
        <v>83</v>
      </c>
      <c r="G800" s="38">
        <v>84200</v>
      </c>
      <c r="H800" s="43">
        <v>0.22</v>
      </c>
      <c r="I800" s="43">
        <v>0.9</v>
      </c>
      <c r="J800" s="38">
        <v>19.100000000000001</v>
      </c>
      <c r="K800" s="42">
        <v>16439.375</v>
      </c>
      <c r="L800" s="42">
        <v>3287.88</v>
      </c>
      <c r="M800" s="38">
        <v>0</v>
      </c>
    </row>
    <row r="801" spans="1:13" ht="15" customHeight="1" x14ac:dyDescent="0.3">
      <c r="A801" s="38" t="s">
        <v>1678</v>
      </c>
      <c r="B801" s="40">
        <v>5599</v>
      </c>
      <c r="C801" s="41">
        <v>0.129</v>
      </c>
      <c r="D801" s="38">
        <v>60</v>
      </c>
      <c r="E801" s="38" t="s">
        <v>35</v>
      </c>
      <c r="F801" s="38" t="s">
        <v>71</v>
      </c>
      <c r="G801" s="38">
        <v>100744</v>
      </c>
      <c r="H801" s="43">
        <v>0.47</v>
      </c>
      <c r="I801" s="43">
        <v>0.81</v>
      </c>
      <c r="J801" s="38">
        <v>19</v>
      </c>
      <c r="K801" s="42">
        <v>3611.355</v>
      </c>
      <c r="L801" s="42">
        <v>722.27</v>
      </c>
      <c r="M801" s="38">
        <v>0</v>
      </c>
    </row>
    <row r="802" spans="1:13" ht="15" customHeight="1" x14ac:dyDescent="0.3">
      <c r="A802" s="56" t="s">
        <v>1680</v>
      </c>
      <c r="B802" s="58">
        <v>36757</v>
      </c>
      <c r="C802" s="59">
        <v>0.151</v>
      </c>
      <c r="D802" s="56">
        <v>36</v>
      </c>
      <c r="E802" s="56" t="s">
        <v>37</v>
      </c>
      <c r="F802" s="56" t="s">
        <v>80</v>
      </c>
      <c r="G802" s="56">
        <v>82495</v>
      </c>
      <c r="H802" s="61">
        <v>0.31</v>
      </c>
      <c r="I802" s="61">
        <v>0.62</v>
      </c>
      <c r="J802" s="56">
        <v>19</v>
      </c>
      <c r="K802" s="60">
        <v>16650.920999999998</v>
      </c>
      <c r="L802" s="60">
        <v>-30410.67</v>
      </c>
      <c r="M802" s="56">
        <v>1</v>
      </c>
    </row>
    <row r="803" spans="1:13" ht="15" customHeight="1" x14ac:dyDescent="0.3">
      <c r="A803" s="38" t="s">
        <v>1682</v>
      </c>
      <c r="B803" s="40">
        <v>12939</v>
      </c>
      <c r="C803" s="41">
        <v>0.13800000000000001</v>
      </c>
      <c r="D803" s="38">
        <v>60</v>
      </c>
      <c r="E803" s="38" t="s">
        <v>35</v>
      </c>
      <c r="F803" s="38" t="s">
        <v>83</v>
      </c>
      <c r="G803" s="38">
        <v>55613</v>
      </c>
      <c r="H803" s="43">
        <v>0.37</v>
      </c>
      <c r="I803" s="43">
        <v>0.81</v>
      </c>
      <c r="J803" s="38">
        <v>19</v>
      </c>
      <c r="K803" s="42">
        <v>8927.91</v>
      </c>
      <c r="L803" s="42">
        <v>1785.58</v>
      </c>
      <c r="M803" s="38">
        <v>0</v>
      </c>
    </row>
    <row r="804" spans="1:13" ht="15" customHeight="1" x14ac:dyDescent="0.3">
      <c r="A804" s="44" t="s">
        <v>1684</v>
      </c>
      <c r="B804" s="46">
        <v>21144</v>
      </c>
      <c r="C804" s="47">
        <v>0.08</v>
      </c>
      <c r="D804" s="44">
        <v>60</v>
      </c>
      <c r="E804" s="44" t="s">
        <v>36</v>
      </c>
      <c r="F804" s="44" t="s">
        <v>114</v>
      </c>
      <c r="G804" s="44">
        <v>52588</v>
      </c>
      <c r="H804" s="49">
        <v>0.14000000000000001</v>
      </c>
      <c r="I804" s="49">
        <v>0.89</v>
      </c>
      <c r="J804" s="44">
        <v>19</v>
      </c>
      <c r="K804" s="48">
        <v>8457.6</v>
      </c>
      <c r="L804" s="48">
        <v>-15149.67</v>
      </c>
      <c r="M804" s="44">
        <v>0</v>
      </c>
    </row>
    <row r="805" spans="1:13" ht="15" customHeight="1" x14ac:dyDescent="0.3">
      <c r="A805" s="38" t="s">
        <v>1686</v>
      </c>
      <c r="B805" s="40">
        <v>27015</v>
      </c>
      <c r="C805" s="41">
        <v>0.245</v>
      </c>
      <c r="D805" s="38">
        <v>36</v>
      </c>
      <c r="E805" s="38" t="s">
        <v>35</v>
      </c>
      <c r="F805" s="38" t="s">
        <v>114</v>
      </c>
      <c r="G805" s="38">
        <v>102489</v>
      </c>
      <c r="H805" s="43">
        <v>0.12</v>
      </c>
      <c r="I805" s="43">
        <v>0.95</v>
      </c>
      <c r="J805" s="38">
        <v>18.899999999999999</v>
      </c>
      <c r="K805" s="42">
        <v>19856.025000000001</v>
      </c>
      <c r="L805" s="42">
        <v>6618.68</v>
      </c>
      <c r="M805" s="38">
        <v>0</v>
      </c>
    </row>
    <row r="806" spans="1:13" ht="15" customHeight="1" x14ac:dyDescent="0.3">
      <c r="A806" s="38" t="s">
        <v>1688</v>
      </c>
      <c r="B806" s="40">
        <v>16282</v>
      </c>
      <c r="C806" s="41">
        <v>7.5999999999999998E-2</v>
      </c>
      <c r="D806" s="38">
        <v>36</v>
      </c>
      <c r="E806" s="38" t="s">
        <v>35</v>
      </c>
      <c r="F806" s="38" t="s">
        <v>114</v>
      </c>
      <c r="G806" s="38">
        <v>77893</v>
      </c>
      <c r="H806" s="43">
        <v>0.26</v>
      </c>
      <c r="I806" s="43">
        <v>0.75</v>
      </c>
      <c r="J806" s="38">
        <v>18.899999999999999</v>
      </c>
      <c r="K806" s="42">
        <v>3712.2959999999998</v>
      </c>
      <c r="L806" s="42">
        <v>1237.43</v>
      </c>
      <c r="M806" s="38">
        <v>0</v>
      </c>
    </row>
    <row r="807" spans="1:13" ht="15" customHeight="1" x14ac:dyDescent="0.3">
      <c r="A807" s="44" t="s">
        <v>1690</v>
      </c>
      <c r="B807" s="46">
        <v>19880</v>
      </c>
      <c r="C807" s="47">
        <v>5.8000000000000003E-2</v>
      </c>
      <c r="D807" s="44">
        <v>60</v>
      </c>
      <c r="E807" s="44" t="s">
        <v>36</v>
      </c>
      <c r="F807" s="44" t="s">
        <v>80</v>
      </c>
      <c r="G807" s="44">
        <v>40703</v>
      </c>
      <c r="H807" s="49">
        <v>0.34</v>
      </c>
      <c r="I807" s="49">
        <v>0.69</v>
      </c>
      <c r="J807" s="44">
        <v>18.8</v>
      </c>
      <c r="K807" s="48">
        <v>5765.2</v>
      </c>
      <c r="L807" s="48">
        <v>-14627.87</v>
      </c>
      <c r="M807" s="44">
        <v>0</v>
      </c>
    </row>
    <row r="808" spans="1:13" ht="15" customHeight="1" x14ac:dyDescent="0.3">
      <c r="A808" s="44" t="s">
        <v>1692</v>
      </c>
      <c r="B808" s="46">
        <v>4389</v>
      </c>
      <c r="C808" s="47">
        <v>0.17399999999999999</v>
      </c>
      <c r="D808" s="44">
        <v>60</v>
      </c>
      <c r="E808" s="44" t="s">
        <v>36</v>
      </c>
      <c r="F808" s="44" t="s">
        <v>71</v>
      </c>
      <c r="G808" s="44">
        <v>64314</v>
      </c>
      <c r="H808" s="49">
        <v>0.45</v>
      </c>
      <c r="I808" s="49">
        <v>0.89</v>
      </c>
      <c r="J808" s="44">
        <v>18.7</v>
      </c>
      <c r="K808" s="48">
        <v>3818.43</v>
      </c>
      <c r="L808" s="48">
        <v>-2946.81</v>
      </c>
      <c r="M808" s="44">
        <v>0</v>
      </c>
    </row>
    <row r="809" spans="1:13" ht="15" customHeight="1" x14ac:dyDescent="0.3">
      <c r="A809" s="44" t="s">
        <v>1694</v>
      </c>
      <c r="B809" s="46">
        <v>18850</v>
      </c>
      <c r="C809" s="47">
        <v>0.22600000000000001</v>
      </c>
      <c r="D809" s="44">
        <v>36</v>
      </c>
      <c r="E809" s="44" t="s">
        <v>36</v>
      </c>
      <c r="F809" s="44" t="s">
        <v>60</v>
      </c>
      <c r="G809" s="44">
        <v>117796</v>
      </c>
      <c r="H809" s="49">
        <v>0.15</v>
      </c>
      <c r="I809" s="49">
        <v>0.63</v>
      </c>
      <c r="J809" s="44">
        <v>18.7</v>
      </c>
      <c r="K809" s="48">
        <v>12780.3</v>
      </c>
      <c r="L809" s="48">
        <v>-10369.16</v>
      </c>
      <c r="M809" s="44">
        <v>0</v>
      </c>
    </row>
    <row r="810" spans="1:13" ht="15" customHeight="1" x14ac:dyDescent="0.3">
      <c r="A810" s="38" t="s">
        <v>1696</v>
      </c>
      <c r="B810" s="40">
        <v>3920</v>
      </c>
      <c r="C810" s="41">
        <v>6.3E-2</v>
      </c>
      <c r="D810" s="38">
        <v>60</v>
      </c>
      <c r="E810" s="38" t="s">
        <v>35</v>
      </c>
      <c r="F810" s="38" t="s">
        <v>66</v>
      </c>
      <c r="G810" s="38">
        <v>112956</v>
      </c>
      <c r="H810" s="43">
        <v>0.35</v>
      </c>
      <c r="I810" s="43">
        <v>0.63</v>
      </c>
      <c r="J810" s="38">
        <v>18.600000000000001</v>
      </c>
      <c r="K810" s="42">
        <v>1234.8</v>
      </c>
      <c r="L810" s="42">
        <v>246.96</v>
      </c>
      <c r="M810" s="38">
        <v>0</v>
      </c>
    </row>
    <row r="811" spans="1:13" ht="15" customHeight="1" x14ac:dyDescent="0.3">
      <c r="A811" s="38" t="s">
        <v>1698</v>
      </c>
      <c r="B811" s="40">
        <v>18434</v>
      </c>
      <c r="C811" s="41">
        <v>0.22600000000000001</v>
      </c>
      <c r="D811" s="38">
        <v>36</v>
      </c>
      <c r="E811" s="38" t="s">
        <v>35</v>
      </c>
      <c r="F811" s="38" t="s">
        <v>83</v>
      </c>
      <c r="G811" s="38">
        <v>146545</v>
      </c>
      <c r="H811" s="43">
        <v>0.37</v>
      </c>
      <c r="I811" s="43">
        <v>0.61</v>
      </c>
      <c r="J811" s="38">
        <v>18.600000000000001</v>
      </c>
      <c r="K811" s="42">
        <v>12498.252</v>
      </c>
      <c r="L811" s="42">
        <v>4166.08</v>
      </c>
      <c r="M811" s="38">
        <v>0</v>
      </c>
    </row>
    <row r="812" spans="1:13" ht="15" customHeight="1" x14ac:dyDescent="0.3">
      <c r="A812" s="38" t="s">
        <v>1700</v>
      </c>
      <c r="B812" s="40">
        <v>18320</v>
      </c>
      <c r="C812" s="41">
        <v>8.3000000000000004E-2</v>
      </c>
      <c r="D812" s="38">
        <v>36</v>
      </c>
      <c r="E812" s="38" t="s">
        <v>35</v>
      </c>
      <c r="F812" s="38" t="s">
        <v>80</v>
      </c>
      <c r="G812" s="38">
        <v>120880</v>
      </c>
      <c r="H812" s="43">
        <v>0.49</v>
      </c>
      <c r="I812" s="43">
        <v>0.63</v>
      </c>
      <c r="J812" s="38">
        <v>18.5</v>
      </c>
      <c r="K812" s="42">
        <v>4561.68</v>
      </c>
      <c r="L812" s="42">
        <v>1520.56</v>
      </c>
      <c r="M812" s="38">
        <v>0</v>
      </c>
    </row>
    <row r="813" spans="1:13" ht="15" customHeight="1" x14ac:dyDescent="0.3">
      <c r="A813" s="44" t="s">
        <v>1702</v>
      </c>
      <c r="B813" s="46">
        <v>36612</v>
      </c>
      <c r="C813" s="47">
        <v>0.19700000000000001</v>
      </c>
      <c r="D813" s="44">
        <v>36</v>
      </c>
      <c r="E813" s="44" t="s">
        <v>36</v>
      </c>
      <c r="F813" s="44" t="s">
        <v>66</v>
      </c>
      <c r="G813" s="44">
        <v>105602</v>
      </c>
      <c r="H813" s="49">
        <v>0.46</v>
      </c>
      <c r="I813" s="49">
        <v>0.81</v>
      </c>
      <c r="J813" s="44">
        <v>18.5</v>
      </c>
      <c r="K813" s="48">
        <v>21637.691999999999</v>
      </c>
      <c r="L813" s="48">
        <v>-29539.34</v>
      </c>
      <c r="M813" s="44">
        <v>0</v>
      </c>
    </row>
    <row r="814" spans="1:13" ht="15" customHeight="1" x14ac:dyDescent="0.3">
      <c r="A814" s="56" t="s">
        <v>1704</v>
      </c>
      <c r="B814" s="58">
        <v>27160</v>
      </c>
      <c r="C814" s="59">
        <v>0.05</v>
      </c>
      <c r="D814" s="56">
        <v>36</v>
      </c>
      <c r="E814" s="56" t="s">
        <v>37</v>
      </c>
      <c r="F814" s="56" t="s">
        <v>257</v>
      </c>
      <c r="G814" s="56">
        <v>55068</v>
      </c>
      <c r="H814" s="61">
        <v>0.42</v>
      </c>
      <c r="I814" s="61">
        <v>0.84</v>
      </c>
      <c r="J814" s="56">
        <v>18.5</v>
      </c>
      <c r="K814" s="60">
        <v>4074</v>
      </c>
      <c r="L814" s="60">
        <v>-23621.27</v>
      </c>
      <c r="M814" s="56">
        <v>1</v>
      </c>
    </row>
    <row r="815" spans="1:13" ht="15" customHeight="1" x14ac:dyDescent="0.3">
      <c r="A815" s="38" t="s">
        <v>1706</v>
      </c>
      <c r="B815" s="40">
        <v>32987</v>
      </c>
      <c r="C815" s="41">
        <v>0.10100000000000001</v>
      </c>
      <c r="D815" s="38">
        <v>36</v>
      </c>
      <c r="E815" s="38" t="s">
        <v>35</v>
      </c>
      <c r="F815" s="38" t="s">
        <v>60</v>
      </c>
      <c r="G815" s="38">
        <v>63402</v>
      </c>
      <c r="H815" s="43">
        <v>0.32</v>
      </c>
      <c r="I815" s="43">
        <v>0.87</v>
      </c>
      <c r="J815" s="38">
        <v>18.5</v>
      </c>
      <c r="K815" s="42">
        <v>9995.0609999999997</v>
      </c>
      <c r="L815" s="42">
        <v>3331.69</v>
      </c>
      <c r="M815" s="38">
        <v>0</v>
      </c>
    </row>
    <row r="816" spans="1:13" ht="15" customHeight="1" x14ac:dyDescent="0.3">
      <c r="A816" s="44" t="s">
        <v>1708</v>
      </c>
      <c r="B816" s="46">
        <v>21829</v>
      </c>
      <c r="C816" s="47">
        <v>0.154</v>
      </c>
      <c r="D816" s="44">
        <v>60</v>
      </c>
      <c r="E816" s="44" t="s">
        <v>36</v>
      </c>
      <c r="F816" s="44" t="s">
        <v>60</v>
      </c>
      <c r="G816" s="44">
        <v>104795</v>
      </c>
      <c r="H816" s="49">
        <v>0.13</v>
      </c>
      <c r="I816" s="49">
        <v>0.72</v>
      </c>
      <c r="J816" s="44">
        <v>18.5</v>
      </c>
      <c r="K816" s="48">
        <v>16808.330000000002</v>
      </c>
      <c r="L816" s="48">
        <v>-14387.91</v>
      </c>
      <c r="M816" s="44">
        <v>0</v>
      </c>
    </row>
    <row r="817" spans="1:13" ht="15" customHeight="1" x14ac:dyDescent="0.3">
      <c r="A817" s="56" t="s">
        <v>1710</v>
      </c>
      <c r="B817" s="58">
        <v>20508</v>
      </c>
      <c r="C817" s="59">
        <v>5.0999999999999997E-2</v>
      </c>
      <c r="D817" s="56">
        <v>60</v>
      </c>
      <c r="E817" s="56" t="s">
        <v>37</v>
      </c>
      <c r="F817" s="56" t="s">
        <v>60</v>
      </c>
      <c r="G817" s="56">
        <v>144995</v>
      </c>
      <c r="H817" s="61">
        <v>0.34</v>
      </c>
      <c r="I817" s="61">
        <v>0.72</v>
      </c>
      <c r="J817" s="56">
        <v>18.399999999999999</v>
      </c>
      <c r="K817" s="60">
        <v>5229.54</v>
      </c>
      <c r="L817" s="60">
        <v>-17450.21</v>
      </c>
      <c r="M817" s="56">
        <v>1</v>
      </c>
    </row>
    <row r="818" spans="1:13" ht="15" customHeight="1" x14ac:dyDescent="0.3">
      <c r="A818" s="38" t="s">
        <v>1712</v>
      </c>
      <c r="B818" s="40">
        <v>27984</v>
      </c>
      <c r="C818" s="41">
        <v>0.20799999999999999</v>
      </c>
      <c r="D818" s="38">
        <v>36</v>
      </c>
      <c r="E818" s="38" t="s">
        <v>35</v>
      </c>
      <c r="F818" s="38" t="s">
        <v>83</v>
      </c>
      <c r="G818" s="38">
        <v>93400</v>
      </c>
      <c r="H818" s="43">
        <v>0.18</v>
      </c>
      <c r="I818" s="43">
        <v>0.61</v>
      </c>
      <c r="J818" s="38">
        <v>18.399999999999999</v>
      </c>
      <c r="K818" s="42">
        <v>17462.016</v>
      </c>
      <c r="L818" s="42">
        <v>5820.67</v>
      </c>
      <c r="M818" s="38">
        <v>0</v>
      </c>
    </row>
    <row r="819" spans="1:13" ht="15" customHeight="1" x14ac:dyDescent="0.3">
      <c r="A819" s="38" t="s">
        <v>1714</v>
      </c>
      <c r="B819" s="40">
        <v>39006</v>
      </c>
      <c r="C819" s="41">
        <v>0.22800000000000001</v>
      </c>
      <c r="D819" s="38">
        <v>60</v>
      </c>
      <c r="E819" s="38" t="s">
        <v>35</v>
      </c>
      <c r="F819" s="38" t="s">
        <v>80</v>
      </c>
      <c r="G819" s="38">
        <v>93293</v>
      </c>
      <c r="H819" s="43">
        <v>0.34</v>
      </c>
      <c r="I819" s="43">
        <v>0.67</v>
      </c>
      <c r="J819" s="38">
        <v>18.399999999999999</v>
      </c>
      <c r="K819" s="42">
        <v>44466.84</v>
      </c>
      <c r="L819" s="42">
        <v>8893.3700000000008</v>
      </c>
      <c r="M819" s="38">
        <v>0</v>
      </c>
    </row>
    <row r="820" spans="1:13" ht="15" customHeight="1" x14ac:dyDescent="0.3">
      <c r="A820" s="44" t="s">
        <v>1716</v>
      </c>
      <c r="B820" s="46">
        <v>24384</v>
      </c>
      <c r="C820" s="47">
        <v>0.20899999999999999</v>
      </c>
      <c r="D820" s="44">
        <v>60</v>
      </c>
      <c r="E820" s="44" t="s">
        <v>36</v>
      </c>
      <c r="F820" s="44" t="s">
        <v>83</v>
      </c>
      <c r="G820" s="44">
        <v>132789</v>
      </c>
      <c r="H820" s="49">
        <v>0.12</v>
      </c>
      <c r="I820" s="49">
        <v>0.9</v>
      </c>
      <c r="J820" s="44">
        <v>18.399999999999999</v>
      </c>
      <c r="K820" s="48">
        <v>25481.279999999999</v>
      </c>
      <c r="L820" s="48">
        <v>-16469.43</v>
      </c>
      <c r="M820" s="44">
        <v>0</v>
      </c>
    </row>
    <row r="821" spans="1:13" ht="15" customHeight="1" x14ac:dyDescent="0.3">
      <c r="A821" s="38" t="s">
        <v>1718</v>
      </c>
      <c r="B821" s="40">
        <v>35832</v>
      </c>
      <c r="C821" s="41">
        <v>0.14199999999999999</v>
      </c>
      <c r="D821" s="38">
        <v>60</v>
      </c>
      <c r="E821" s="38" t="s">
        <v>35</v>
      </c>
      <c r="F821" s="38" t="s">
        <v>83</v>
      </c>
      <c r="G821" s="38">
        <v>105324</v>
      </c>
      <c r="H821" s="43">
        <v>0.3</v>
      </c>
      <c r="I821" s="43">
        <v>0.66</v>
      </c>
      <c r="J821" s="38">
        <v>18.3</v>
      </c>
      <c r="K821" s="42">
        <v>25440.720000000001</v>
      </c>
      <c r="L821" s="42">
        <v>5088.1400000000003</v>
      </c>
      <c r="M821" s="38">
        <v>0</v>
      </c>
    </row>
    <row r="822" spans="1:13" ht="15" customHeight="1" x14ac:dyDescent="0.3">
      <c r="A822" s="38" t="s">
        <v>1720</v>
      </c>
      <c r="B822" s="40">
        <v>5795</v>
      </c>
      <c r="C822" s="41">
        <v>0.17899999999999999</v>
      </c>
      <c r="D822" s="38">
        <v>36</v>
      </c>
      <c r="E822" s="38" t="s">
        <v>35</v>
      </c>
      <c r="F822" s="38" t="s">
        <v>60</v>
      </c>
      <c r="G822" s="38">
        <v>138107</v>
      </c>
      <c r="H822" s="43">
        <v>0.47</v>
      </c>
      <c r="I822" s="43">
        <v>0.65</v>
      </c>
      <c r="J822" s="38">
        <v>18.3</v>
      </c>
      <c r="K822" s="42">
        <v>3111.915</v>
      </c>
      <c r="L822" s="42">
        <v>1037.3</v>
      </c>
      <c r="M822" s="38">
        <v>0</v>
      </c>
    </row>
    <row r="823" spans="1:13" ht="15" customHeight="1" x14ac:dyDescent="0.3">
      <c r="A823" s="38" t="s">
        <v>1722</v>
      </c>
      <c r="B823" s="40">
        <v>35414</v>
      </c>
      <c r="C823" s="41">
        <v>0.13800000000000001</v>
      </c>
      <c r="D823" s="38">
        <v>60</v>
      </c>
      <c r="E823" s="38" t="s">
        <v>35</v>
      </c>
      <c r="F823" s="38" t="s">
        <v>60</v>
      </c>
      <c r="G823" s="38">
        <v>145464</v>
      </c>
      <c r="H823" s="43">
        <v>0.13</v>
      </c>
      <c r="I823" s="43">
        <v>0.51</v>
      </c>
      <c r="J823" s="38">
        <v>18.100000000000001</v>
      </c>
      <c r="K823" s="42">
        <v>24435.66</v>
      </c>
      <c r="L823" s="42">
        <v>4887.13</v>
      </c>
      <c r="M823" s="38">
        <v>0</v>
      </c>
    </row>
    <row r="824" spans="1:13" ht="15" customHeight="1" x14ac:dyDescent="0.3">
      <c r="A824" s="38" t="s">
        <v>1724</v>
      </c>
      <c r="B824" s="40">
        <v>28605</v>
      </c>
      <c r="C824" s="41">
        <v>0.17100000000000001</v>
      </c>
      <c r="D824" s="38">
        <v>36</v>
      </c>
      <c r="E824" s="38" t="s">
        <v>35</v>
      </c>
      <c r="F824" s="38" t="s">
        <v>80</v>
      </c>
      <c r="G824" s="38">
        <v>34006</v>
      </c>
      <c r="H824" s="43">
        <v>0.46</v>
      </c>
      <c r="I824" s="43">
        <v>0.81</v>
      </c>
      <c r="J824" s="38">
        <v>18.100000000000001</v>
      </c>
      <c r="K824" s="42">
        <v>14674.365</v>
      </c>
      <c r="L824" s="42">
        <v>4891.46</v>
      </c>
      <c r="M824" s="38">
        <v>0</v>
      </c>
    </row>
    <row r="825" spans="1:13" ht="15" customHeight="1" x14ac:dyDescent="0.3">
      <c r="A825" s="38" t="s">
        <v>1726</v>
      </c>
      <c r="B825" s="40">
        <v>3852</v>
      </c>
      <c r="C825" s="41">
        <v>0.23699999999999999</v>
      </c>
      <c r="D825" s="38">
        <v>60</v>
      </c>
      <c r="E825" s="38" t="s">
        <v>35</v>
      </c>
      <c r="F825" s="38" t="s">
        <v>71</v>
      </c>
      <c r="G825" s="38">
        <v>138464</v>
      </c>
      <c r="H825" s="43">
        <v>0.16</v>
      </c>
      <c r="I825" s="43">
        <v>0.87</v>
      </c>
      <c r="J825" s="38">
        <v>18.100000000000001</v>
      </c>
      <c r="K825" s="42">
        <v>4564.62</v>
      </c>
      <c r="L825" s="42">
        <v>912.92</v>
      </c>
      <c r="M825" s="38">
        <v>0</v>
      </c>
    </row>
    <row r="826" spans="1:13" ht="15" customHeight="1" x14ac:dyDescent="0.3">
      <c r="A826" s="56" t="s">
        <v>1728</v>
      </c>
      <c r="B826" s="58">
        <v>8424</v>
      </c>
      <c r="C826" s="59">
        <v>0.18099999999999999</v>
      </c>
      <c r="D826" s="56">
        <v>36</v>
      </c>
      <c r="E826" s="56" t="s">
        <v>37</v>
      </c>
      <c r="F826" s="56" t="s">
        <v>114</v>
      </c>
      <c r="G826" s="56">
        <v>34529</v>
      </c>
      <c r="H826" s="61">
        <v>0.46</v>
      </c>
      <c r="I826" s="61">
        <v>0.64</v>
      </c>
      <c r="J826" s="56">
        <v>18</v>
      </c>
      <c r="K826" s="60">
        <v>4574.232</v>
      </c>
      <c r="L826" s="60">
        <v>-6504.4</v>
      </c>
      <c r="M826" s="56">
        <v>1</v>
      </c>
    </row>
    <row r="827" spans="1:13" ht="15" customHeight="1" x14ac:dyDescent="0.3">
      <c r="A827" s="44" t="s">
        <v>1730</v>
      </c>
      <c r="B827" s="46">
        <v>30545</v>
      </c>
      <c r="C827" s="47">
        <v>0.19600000000000001</v>
      </c>
      <c r="D827" s="44">
        <v>60</v>
      </c>
      <c r="E827" s="44" t="s">
        <v>36</v>
      </c>
      <c r="F827" s="44" t="s">
        <v>114</v>
      </c>
      <c r="G827" s="44">
        <v>49539</v>
      </c>
      <c r="H827" s="49">
        <v>0.14000000000000001</v>
      </c>
      <c r="I827" s="49">
        <v>0.5</v>
      </c>
      <c r="J827" s="44">
        <v>18</v>
      </c>
      <c r="K827" s="48">
        <v>29934.1</v>
      </c>
      <c r="L827" s="48">
        <v>-24666.05</v>
      </c>
      <c r="M827" s="44">
        <v>0</v>
      </c>
    </row>
    <row r="828" spans="1:13" ht="15" customHeight="1" x14ac:dyDescent="0.3">
      <c r="A828" s="44" t="s">
        <v>1732</v>
      </c>
      <c r="B828" s="46">
        <v>8287</v>
      </c>
      <c r="C828" s="47">
        <v>0.23100000000000001</v>
      </c>
      <c r="D828" s="44">
        <v>36</v>
      </c>
      <c r="E828" s="44" t="s">
        <v>36</v>
      </c>
      <c r="F828" s="44" t="s">
        <v>114</v>
      </c>
      <c r="G828" s="44">
        <v>142314</v>
      </c>
      <c r="H828" s="49">
        <v>0.11</v>
      </c>
      <c r="I828" s="49">
        <v>0.53</v>
      </c>
      <c r="J828" s="44">
        <v>18</v>
      </c>
      <c r="K828" s="48">
        <v>5742.8909999999996</v>
      </c>
      <c r="L828" s="48">
        <v>-6749.33</v>
      </c>
      <c r="M828" s="44">
        <v>0</v>
      </c>
    </row>
    <row r="829" spans="1:13" ht="15" customHeight="1" x14ac:dyDescent="0.3">
      <c r="A829" s="44" t="s">
        <v>1734</v>
      </c>
      <c r="B829" s="46">
        <v>7548</v>
      </c>
      <c r="C829" s="47">
        <v>0.17899999999999999</v>
      </c>
      <c r="D829" s="44">
        <v>36</v>
      </c>
      <c r="E829" s="44" t="s">
        <v>36</v>
      </c>
      <c r="F829" s="44" t="s">
        <v>60</v>
      </c>
      <c r="G829" s="44">
        <v>137227</v>
      </c>
      <c r="H829" s="49">
        <v>0.19</v>
      </c>
      <c r="I829" s="49">
        <v>0.52</v>
      </c>
      <c r="J829" s="44">
        <v>17.899999999999999</v>
      </c>
      <c r="K829" s="48">
        <v>4053.2759999999998</v>
      </c>
      <c r="L829" s="48">
        <v>-5166.21</v>
      </c>
      <c r="M829" s="44">
        <v>0</v>
      </c>
    </row>
    <row r="830" spans="1:13" ht="15" customHeight="1" x14ac:dyDescent="0.3">
      <c r="A830" s="44" t="s">
        <v>1736</v>
      </c>
      <c r="B830" s="46">
        <v>28213</v>
      </c>
      <c r="C830" s="47">
        <v>0.19500000000000001</v>
      </c>
      <c r="D830" s="44">
        <v>60</v>
      </c>
      <c r="E830" s="44" t="s">
        <v>36</v>
      </c>
      <c r="F830" s="44" t="s">
        <v>83</v>
      </c>
      <c r="G830" s="44">
        <v>53666</v>
      </c>
      <c r="H830" s="49">
        <v>0.39</v>
      </c>
      <c r="I830" s="49">
        <v>0.92</v>
      </c>
      <c r="J830" s="44">
        <v>17.8</v>
      </c>
      <c r="K830" s="48">
        <v>27507.674999999999</v>
      </c>
      <c r="L830" s="48">
        <v>-23137.49</v>
      </c>
      <c r="M830" s="44">
        <v>0</v>
      </c>
    </row>
    <row r="831" spans="1:13" ht="15" customHeight="1" x14ac:dyDescent="0.3">
      <c r="A831" s="56" t="s">
        <v>1738</v>
      </c>
      <c r="B831" s="58">
        <v>29441</v>
      </c>
      <c r="C831" s="59">
        <v>0.216</v>
      </c>
      <c r="D831" s="56">
        <v>60</v>
      </c>
      <c r="E831" s="56" t="s">
        <v>37</v>
      </c>
      <c r="F831" s="56" t="s">
        <v>60</v>
      </c>
      <c r="G831" s="56">
        <v>106533</v>
      </c>
      <c r="H831" s="61">
        <v>0.23</v>
      </c>
      <c r="I831" s="61">
        <v>0.57999999999999996</v>
      </c>
      <c r="J831" s="56">
        <v>17.8</v>
      </c>
      <c r="K831" s="60">
        <v>31796.28</v>
      </c>
      <c r="L831" s="60">
        <v>-17710.78</v>
      </c>
      <c r="M831" s="56">
        <v>1</v>
      </c>
    </row>
    <row r="832" spans="1:13" ht="15" customHeight="1" x14ac:dyDescent="0.3">
      <c r="A832" s="38" t="s">
        <v>1740</v>
      </c>
      <c r="B832" s="40">
        <v>36057</v>
      </c>
      <c r="C832" s="41">
        <v>0.156</v>
      </c>
      <c r="D832" s="38">
        <v>60</v>
      </c>
      <c r="E832" s="38" t="s">
        <v>35</v>
      </c>
      <c r="F832" s="38" t="s">
        <v>80</v>
      </c>
      <c r="G832" s="38">
        <v>113494</v>
      </c>
      <c r="H832" s="43">
        <v>0.47</v>
      </c>
      <c r="I832" s="43">
        <v>0.9</v>
      </c>
      <c r="J832" s="38">
        <v>17.8</v>
      </c>
      <c r="K832" s="42">
        <v>28124.46</v>
      </c>
      <c r="L832" s="42">
        <v>5624.89</v>
      </c>
      <c r="M832" s="38">
        <v>0</v>
      </c>
    </row>
    <row r="833" spans="1:13" ht="15" customHeight="1" x14ac:dyDescent="0.3">
      <c r="A833" s="38" t="s">
        <v>1742</v>
      </c>
      <c r="B833" s="40">
        <v>33981</v>
      </c>
      <c r="C833" s="41">
        <v>0.122</v>
      </c>
      <c r="D833" s="38">
        <v>36</v>
      </c>
      <c r="E833" s="38" t="s">
        <v>35</v>
      </c>
      <c r="F833" s="38" t="s">
        <v>83</v>
      </c>
      <c r="G833" s="38">
        <v>89546</v>
      </c>
      <c r="H833" s="43">
        <v>0.13</v>
      </c>
      <c r="I833" s="43">
        <v>0.76</v>
      </c>
      <c r="J833" s="38">
        <v>17.8</v>
      </c>
      <c r="K833" s="42">
        <v>12437.046</v>
      </c>
      <c r="L833" s="42">
        <v>4145.68</v>
      </c>
      <c r="M833" s="38">
        <v>0</v>
      </c>
    </row>
    <row r="834" spans="1:13" ht="15" customHeight="1" x14ac:dyDescent="0.3">
      <c r="A834" s="44" t="s">
        <v>1744</v>
      </c>
      <c r="B834" s="46">
        <v>19743</v>
      </c>
      <c r="C834" s="47">
        <v>0.19500000000000001</v>
      </c>
      <c r="D834" s="44">
        <v>60</v>
      </c>
      <c r="E834" s="44" t="s">
        <v>36</v>
      </c>
      <c r="F834" s="44" t="s">
        <v>60</v>
      </c>
      <c r="G834" s="44">
        <v>66639</v>
      </c>
      <c r="H834" s="49">
        <v>0.33</v>
      </c>
      <c r="I834" s="49">
        <v>0.56000000000000005</v>
      </c>
      <c r="J834" s="44">
        <v>17.8</v>
      </c>
      <c r="K834" s="48">
        <v>19249.424999999999</v>
      </c>
      <c r="L834" s="48">
        <v>-14266.3</v>
      </c>
      <c r="M834" s="44">
        <v>0</v>
      </c>
    </row>
    <row r="835" spans="1:13" ht="15" customHeight="1" x14ac:dyDescent="0.3">
      <c r="A835" s="44" t="s">
        <v>1746</v>
      </c>
      <c r="B835" s="46">
        <v>22727</v>
      </c>
      <c r="C835" s="47">
        <v>0.183</v>
      </c>
      <c r="D835" s="44">
        <v>36</v>
      </c>
      <c r="E835" s="44" t="s">
        <v>36</v>
      </c>
      <c r="F835" s="44" t="s">
        <v>114</v>
      </c>
      <c r="G835" s="44">
        <v>123308</v>
      </c>
      <c r="H835" s="49">
        <v>0.28999999999999998</v>
      </c>
      <c r="I835" s="49">
        <v>0.78</v>
      </c>
      <c r="J835" s="44">
        <v>17.7</v>
      </c>
      <c r="K835" s="48">
        <v>12477.123</v>
      </c>
      <c r="L835" s="48">
        <v>-13571.93</v>
      </c>
      <c r="M835" s="44">
        <v>0</v>
      </c>
    </row>
    <row r="836" spans="1:13" ht="15" customHeight="1" x14ac:dyDescent="0.3">
      <c r="A836" s="44" t="s">
        <v>1748</v>
      </c>
      <c r="B836" s="46">
        <v>9258</v>
      </c>
      <c r="C836" s="47">
        <v>8.7999999999999995E-2</v>
      </c>
      <c r="D836" s="44">
        <v>60</v>
      </c>
      <c r="E836" s="44" t="s">
        <v>36</v>
      </c>
      <c r="F836" s="44" t="s">
        <v>114</v>
      </c>
      <c r="G836" s="44">
        <v>126507</v>
      </c>
      <c r="H836" s="49">
        <v>0.12</v>
      </c>
      <c r="I836" s="49">
        <v>0.78</v>
      </c>
      <c r="J836" s="44">
        <v>17.7</v>
      </c>
      <c r="K836" s="48">
        <v>4073.52</v>
      </c>
      <c r="L836" s="48">
        <v>-5301.17</v>
      </c>
      <c r="M836" s="44">
        <v>0</v>
      </c>
    </row>
    <row r="837" spans="1:13" ht="15" customHeight="1" x14ac:dyDescent="0.3">
      <c r="A837" s="44" t="s">
        <v>1750</v>
      </c>
      <c r="B837" s="46">
        <v>30794</v>
      </c>
      <c r="C837" s="47">
        <v>6.5000000000000002E-2</v>
      </c>
      <c r="D837" s="44">
        <v>36</v>
      </c>
      <c r="E837" s="44" t="s">
        <v>36</v>
      </c>
      <c r="F837" s="44" t="s">
        <v>114</v>
      </c>
      <c r="G837" s="44">
        <v>34298</v>
      </c>
      <c r="H837" s="49">
        <v>0.28000000000000003</v>
      </c>
      <c r="I837" s="49">
        <v>0.56000000000000005</v>
      </c>
      <c r="J837" s="44">
        <v>17.600000000000001</v>
      </c>
      <c r="K837" s="48">
        <v>6004.83</v>
      </c>
      <c r="L837" s="48">
        <v>-18591.310000000001</v>
      </c>
      <c r="M837" s="44">
        <v>0</v>
      </c>
    </row>
    <row r="838" spans="1:13" ht="15" customHeight="1" x14ac:dyDescent="0.3">
      <c r="A838" s="44" t="s">
        <v>1752</v>
      </c>
      <c r="B838" s="46">
        <v>30052</v>
      </c>
      <c r="C838" s="47">
        <v>0.14299999999999999</v>
      </c>
      <c r="D838" s="44">
        <v>36</v>
      </c>
      <c r="E838" s="44" t="s">
        <v>36</v>
      </c>
      <c r="F838" s="44" t="s">
        <v>66</v>
      </c>
      <c r="G838" s="44">
        <v>71185</v>
      </c>
      <c r="H838" s="49">
        <v>0.3</v>
      </c>
      <c r="I838" s="49">
        <v>0.85</v>
      </c>
      <c r="J838" s="44">
        <v>17.600000000000001</v>
      </c>
      <c r="K838" s="48">
        <v>12892.308000000001</v>
      </c>
      <c r="L838" s="48">
        <v>-18957.63</v>
      </c>
      <c r="M838" s="44">
        <v>0</v>
      </c>
    </row>
    <row r="839" spans="1:13" ht="15" customHeight="1" x14ac:dyDescent="0.3">
      <c r="A839" s="44" t="s">
        <v>1754</v>
      </c>
      <c r="B839" s="46">
        <v>3469</v>
      </c>
      <c r="C839" s="47">
        <v>0.19400000000000001</v>
      </c>
      <c r="D839" s="44">
        <v>36</v>
      </c>
      <c r="E839" s="44" t="s">
        <v>36</v>
      </c>
      <c r="F839" s="44" t="s">
        <v>80</v>
      </c>
      <c r="G839" s="44">
        <v>62933</v>
      </c>
      <c r="H839" s="49">
        <v>0.36</v>
      </c>
      <c r="I839" s="49">
        <v>0.55000000000000004</v>
      </c>
      <c r="J839" s="44">
        <v>17.5</v>
      </c>
      <c r="K839" s="48">
        <v>2018.9580000000001</v>
      </c>
      <c r="L839" s="48">
        <v>-2778.51</v>
      </c>
      <c r="M839" s="44">
        <v>0</v>
      </c>
    </row>
    <row r="840" spans="1:13" ht="15" customHeight="1" x14ac:dyDescent="0.3">
      <c r="A840" s="44" t="s">
        <v>1756</v>
      </c>
      <c r="B840" s="46">
        <v>2828</v>
      </c>
      <c r="C840" s="47">
        <v>0.19700000000000001</v>
      </c>
      <c r="D840" s="44">
        <v>36</v>
      </c>
      <c r="E840" s="44" t="s">
        <v>36</v>
      </c>
      <c r="F840" s="44" t="s">
        <v>80</v>
      </c>
      <c r="G840" s="44">
        <v>129534</v>
      </c>
      <c r="H840" s="49">
        <v>0.18</v>
      </c>
      <c r="I840" s="49">
        <v>0.59</v>
      </c>
      <c r="J840" s="44">
        <v>17.5</v>
      </c>
      <c r="K840" s="48">
        <v>1671.348</v>
      </c>
      <c r="L840" s="48">
        <v>-1889.13</v>
      </c>
      <c r="M840" s="44">
        <v>0</v>
      </c>
    </row>
    <row r="841" spans="1:13" ht="15" customHeight="1" x14ac:dyDescent="0.3">
      <c r="A841" s="38" t="s">
        <v>1758</v>
      </c>
      <c r="B841" s="40">
        <v>31027</v>
      </c>
      <c r="C841" s="41">
        <v>7.8E-2</v>
      </c>
      <c r="D841" s="38">
        <v>60</v>
      </c>
      <c r="E841" s="38" t="s">
        <v>35</v>
      </c>
      <c r="F841" s="38" t="s">
        <v>83</v>
      </c>
      <c r="G841" s="38">
        <v>74254</v>
      </c>
      <c r="H841" s="43">
        <v>0.42</v>
      </c>
      <c r="I841" s="43">
        <v>0.61</v>
      </c>
      <c r="J841" s="38">
        <v>17.5</v>
      </c>
      <c r="K841" s="42">
        <v>12100.53</v>
      </c>
      <c r="L841" s="42">
        <v>2420.11</v>
      </c>
      <c r="M841" s="38">
        <v>0</v>
      </c>
    </row>
    <row r="842" spans="1:13" ht="15" customHeight="1" x14ac:dyDescent="0.3">
      <c r="A842" s="44" t="s">
        <v>1760</v>
      </c>
      <c r="B842" s="46">
        <v>27916</v>
      </c>
      <c r="C842" s="47">
        <v>0.06</v>
      </c>
      <c r="D842" s="44">
        <v>60</v>
      </c>
      <c r="E842" s="44" t="s">
        <v>36</v>
      </c>
      <c r="F842" s="44" t="s">
        <v>71</v>
      </c>
      <c r="G842" s="44">
        <v>103193</v>
      </c>
      <c r="H842" s="49">
        <v>0.18</v>
      </c>
      <c r="I842" s="49">
        <v>0.81</v>
      </c>
      <c r="J842" s="44">
        <v>17.5</v>
      </c>
      <c r="K842" s="48">
        <v>8374.7999999999993</v>
      </c>
      <c r="L842" s="48">
        <v>-22986.959999999999</v>
      </c>
      <c r="M842" s="44">
        <v>0</v>
      </c>
    </row>
    <row r="843" spans="1:13" ht="15" customHeight="1" x14ac:dyDescent="0.3">
      <c r="A843" s="56" t="s">
        <v>1762</v>
      </c>
      <c r="B843" s="58">
        <v>5806</v>
      </c>
      <c r="C843" s="59">
        <v>0.24299999999999999</v>
      </c>
      <c r="D843" s="56">
        <v>36</v>
      </c>
      <c r="E843" s="56" t="s">
        <v>37</v>
      </c>
      <c r="F843" s="56" t="s">
        <v>66</v>
      </c>
      <c r="G843" s="56">
        <v>93972</v>
      </c>
      <c r="H843" s="61">
        <v>0.18</v>
      </c>
      <c r="I843" s="61">
        <v>0.59</v>
      </c>
      <c r="J843" s="56">
        <v>17.399999999999999</v>
      </c>
      <c r="K843" s="60">
        <v>4232.5739999999996</v>
      </c>
      <c r="L843" s="60">
        <v>-5388.87</v>
      </c>
      <c r="M843" s="56">
        <v>1</v>
      </c>
    </row>
    <row r="844" spans="1:13" ht="15" customHeight="1" x14ac:dyDescent="0.3">
      <c r="A844" s="38" t="s">
        <v>1764</v>
      </c>
      <c r="B844" s="40">
        <v>8005</v>
      </c>
      <c r="C844" s="41">
        <v>0.11799999999999999</v>
      </c>
      <c r="D844" s="38">
        <v>60</v>
      </c>
      <c r="E844" s="38" t="s">
        <v>35</v>
      </c>
      <c r="F844" s="38" t="s">
        <v>114</v>
      </c>
      <c r="G844" s="38">
        <v>68225</v>
      </c>
      <c r="H844" s="43">
        <v>0.47</v>
      </c>
      <c r="I844" s="43">
        <v>0.73</v>
      </c>
      <c r="J844" s="38">
        <v>17.3</v>
      </c>
      <c r="K844" s="42">
        <v>4722.95</v>
      </c>
      <c r="L844" s="42">
        <v>944.59</v>
      </c>
      <c r="M844" s="38">
        <v>0</v>
      </c>
    </row>
    <row r="845" spans="1:13" ht="15" customHeight="1" x14ac:dyDescent="0.3">
      <c r="A845" s="38" t="s">
        <v>1766</v>
      </c>
      <c r="B845" s="40">
        <v>1163</v>
      </c>
      <c r="C845" s="41">
        <v>8.3000000000000004E-2</v>
      </c>
      <c r="D845" s="38">
        <v>36</v>
      </c>
      <c r="E845" s="38" t="s">
        <v>35</v>
      </c>
      <c r="F845" s="38" t="s">
        <v>66</v>
      </c>
      <c r="G845" s="38">
        <v>31587</v>
      </c>
      <c r="H845" s="43">
        <v>0.44</v>
      </c>
      <c r="I845" s="43">
        <v>0.94</v>
      </c>
      <c r="J845" s="38">
        <v>17.3</v>
      </c>
      <c r="K845" s="42">
        <v>289.58699999999999</v>
      </c>
      <c r="L845" s="42">
        <v>96.53</v>
      </c>
      <c r="M845" s="38">
        <v>0</v>
      </c>
    </row>
    <row r="846" spans="1:13" ht="15" customHeight="1" x14ac:dyDescent="0.3">
      <c r="A846" s="44" t="s">
        <v>1768</v>
      </c>
      <c r="B846" s="46">
        <v>25817</v>
      </c>
      <c r="C846" s="47">
        <v>0.14599999999999999</v>
      </c>
      <c r="D846" s="44">
        <v>36</v>
      </c>
      <c r="E846" s="44" t="s">
        <v>36</v>
      </c>
      <c r="F846" s="44" t="s">
        <v>71</v>
      </c>
      <c r="G846" s="44">
        <v>144853</v>
      </c>
      <c r="H846" s="49">
        <v>0.28000000000000003</v>
      </c>
      <c r="I846" s="49">
        <v>0.66</v>
      </c>
      <c r="J846" s="44">
        <v>17.3</v>
      </c>
      <c r="K846" s="48">
        <v>11307.846</v>
      </c>
      <c r="L846" s="48">
        <v>-16638.89</v>
      </c>
      <c r="M846" s="44">
        <v>0</v>
      </c>
    </row>
    <row r="847" spans="1:13" ht="15" customHeight="1" x14ac:dyDescent="0.3">
      <c r="A847" s="38" t="s">
        <v>1770</v>
      </c>
      <c r="B847" s="40">
        <v>27630</v>
      </c>
      <c r="C847" s="41">
        <v>0.14000000000000001</v>
      </c>
      <c r="D847" s="38">
        <v>60</v>
      </c>
      <c r="E847" s="38" t="s">
        <v>35</v>
      </c>
      <c r="F847" s="38" t="s">
        <v>114</v>
      </c>
      <c r="G847" s="38">
        <v>147305</v>
      </c>
      <c r="H847" s="43">
        <v>0.35</v>
      </c>
      <c r="I847" s="43">
        <v>0.64</v>
      </c>
      <c r="J847" s="38">
        <v>17.3</v>
      </c>
      <c r="K847" s="42">
        <v>19341</v>
      </c>
      <c r="L847" s="42">
        <v>3868.2</v>
      </c>
      <c r="M847" s="38">
        <v>0</v>
      </c>
    </row>
    <row r="848" spans="1:13" ht="15" customHeight="1" x14ac:dyDescent="0.3">
      <c r="A848" s="44" t="s">
        <v>1772</v>
      </c>
      <c r="B848" s="46">
        <v>36196</v>
      </c>
      <c r="C848" s="47">
        <v>0.121</v>
      </c>
      <c r="D848" s="44">
        <v>36</v>
      </c>
      <c r="E848" s="44" t="s">
        <v>36</v>
      </c>
      <c r="F848" s="44" t="s">
        <v>60</v>
      </c>
      <c r="G848" s="44">
        <v>60908</v>
      </c>
      <c r="H848" s="49">
        <v>0.15</v>
      </c>
      <c r="I848" s="49">
        <v>0.66</v>
      </c>
      <c r="J848" s="44">
        <v>17.2</v>
      </c>
      <c r="K848" s="48">
        <v>13139.147999999999</v>
      </c>
      <c r="L848" s="48">
        <v>-21793.95</v>
      </c>
      <c r="M848" s="44">
        <v>0</v>
      </c>
    </row>
    <row r="849" spans="1:13" ht="15" customHeight="1" x14ac:dyDescent="0.3">
      <c r="A849" s="38" t="s">
        <v>1774</v>
      </c>
      <c r="B849" s="40">
        <v>13329</v>
      </c>
      <c r="C849" s="41">
        <v>0.17699999999999999</v>
      </c>
      <c r="D849" s="38">
        <v>36</v>
      </c>
      <c r="E849" s="38" t="s">
        <v>35</v>
      </c>
      <c r="F849" s="38" t="s">
        <v>71</v>
      </c>
      <c r="G849" s="38">
        <v>107963</v>
      </c>
      <c r="H849" s="43">
        <v>0.19</v>
      </c>
      <c r="I849" s="43">
        <v>0.84</v>
      </c>
      <c r="J849" s="38">
        <v>17.2</v>
      </c>
      <c r="K849" s="42">
        <v>7077.6989999999996</v>
      </c>
      <c r="L849" s="42">
        <v>2359.23</v>
      </c>
      <c r="M849" s="38">
        <v>0</v>
      </c>
    </row>
    <row r="850" spans="1:13" ht="15" customHeight="1" x14ac:dyDescent="0.3">
      <c r="A850" s="38" t="s">
        <v>1776</v>
      </c>
      <c r="B850" s="40">
        <v>9325</v>
      </c>
      <c r="C850" s="41">
        <v>0.14499999999999999</v>
      </c>
      <c r="D850" s="38">
        <v>60</v>
      </c>
      <c r="E850" s="38" t="s">
        <v>35</v>
      </c>
      <c r="F850" s="38" t="s">
        <v>83</v>
      </c>
      <c r="G850" s="38">
        <v>137765</v>
      </c>
      <c r="H850" s="43">
        <v>0.28999999999999998</v>
      </c>
      <c r="I850" s="43">
        <v>0.72</v>
      </c>
      <c r="J850" s="38">
        <v>17.2</v>
      </c>
      <c r="K850" s="42">
        <v>6760.625</v>
      </c>
      <c r="L850" s="42">
        <v>1352.12</v>
      </c>
      <c r="M850" s="38">
        <v>0</v>
      </c>
    </row>
    <row r="851" spans="1:13" ht="15" customHeight="1" x14ac:dyDescent="0.3">
      <c r="A851" s="38" t="s">
        <v>1778</v>
      </c>
      <c r="B851" s="40">
        <v>39675</v>
      </c>
      <c r="C851" s="41">
        <v>0.124</v>
      </c>
      <c r="D851" s="38">
        <v>60</v>
      </c>
      <c r="E851" s="38" t="s">
        <v>35</v>
      </c>
      <c r="F851" s="38" t="s">
        <v>114</v>
      </c>
      <c r="G851" s="38">
        <v>96163</v>
      </c>
      <c r="H851" s="43">
        <v>0.28999999999999998</v>
      </c>
      <c r="I851" s="43">
        <v>0.62</v>
      </c>
      <c r="J851" s="38">
        <v>17.100000000000001</v>
      </c>
      <c r="K851" s="42">
        <v>24598.5</v>
      </c>
      <c r="L851" s="42">
        <v>4919.7</v>
      </c>
      <c r="M851" s="38">
        <v>0</v>
      </c>
    </row>
    <row r="852" spans="1:13" ht="15" customHeight="1" x14ac:dyDescent="0.3">
      <c r="A852" s="44" t="s">
        <v>1780</v>
      </c>
      <c r="B852" s="46">
        <v>5798</v>
      </c>
      <c r="C852" s="47">
        <v>0.23899999999999999</v>
      </c>
      <c r="D852" s="44">
        <v>36</v>
      </c>
      <c r="E852" s="44" t="s">
        <v>36</v>
      </c>
      <c r="F852" s="44" t="s">
        <v>66</v>
      </c>
      <c r="G852" s="44">
        <v>84710</v>
      </c>
      <c r="H852" s="49">
        <v>0.21</v>
      </c>
      <c r="I852" s="49">
        <v>0.83</v>
      </c>
      <c r="J852" s="44">
        <v>17.100000000000001</v>
      </c>
      <c r="K852" s="48">
        <v>4157.1660000000002</v>
      </c>
      <c r="L852" s="48">
        <v>-4381.67</v>
      </c>
      <c r="M852" s="44">
        <v>0</v>
      </c>
    </row>
    <row r="853" spans="1:13" ht="15" customHeight="1" x14ac:dyDescent="0.3">
      <c r="A853" s="38" t="s">
        <v>1782</v>
      </c>
      <c r="B853" s="40">
        <v>10956</v>
      </c>
      <c r="C853" s="41">
        <v>0.184</v>
      </c>
      <c r="D853" s="38">
        <v>60</v>
      </c>
      <c r="E853" s="38" t="s">
        <v>35</v>
      </c>
      <c r="F853" s="38" t="s">
        <v>60</v>
      </c>
      <c r="G853" s="38">
        <v>80042</v>
      </c>
      <c r="H853" s="43">
        <v>0.48</v>
      </c>
      <c r="I853" s="43">
        <v>0.54</v>
      </c>
      <c r="J853" s="38">
        <v>17</v>
      </c>
      <c r="K853" s="42">
        <v>10079.52</v>
      </c>
      <c r="L853" s="42">
        <v>2015.9</v>
      </c>
      <c r="M853" s="38">
        <v>0</v>
      </c>
    </row>
    <row r="854" spans="1:13" ht="15" customHeight="1" x14ac:dyDescent="0.3">
      <c r="A854" s="38" t="s">
        <v>1784</v>
      </c>
      <c r="B854" s="40">
        <v>16313</v>
      </c>
      <c r="C854" s="41">
        <v>6.3E-2</v>
      </c>
      <c r="D854" s="38">
        <v>36</v>
      </c>
      <c r="E854" s="38" t="s">
        <v>35</v>
      </c>
      <c r="F854" s="38" t="s">
        <v>60</v>
      </c>
      <c r="G854" s="38">
        <v>87124</v>
      </c>
      <c r="H854" s="43">
        <v>0.22</v>
      </c>
      <c r="I854" s="43">
        <v>0.67</v>
      </c>
      <c r="J854" s="38">
        <v>16.899999999999999</v>
      </c>
      <c r="K854" s="42">
        <v>3083.1570000000002</v>
      </c>
      <c r="L854" s="42">
        <v>1027.72</v>
      </c>
      <c r="M854" s="38">
        <v>0</v>
      </c>
    </row>
    <row r="855" spans="1:13" ht="15" customHeight="1" x14ac:dyDescent="0.3">
      <c r="A855" s="38" t="s">
        <v>1786</v>
      </c>
      <c r="B855" s="40">
        <v>26032</v>
      </c>
      <c r="C855" s="41">
        <v>0.221</v>
      </c>
      <c r="D855" s="38">
        <v>60</v>
      </c>
      <c r="E855" s="38" t="s">
        <v>35</v>
      </c>
      <c r="F855" s="38" t="s">
        <v>60</v>
      </c>
      <c r="G855" s="38">
        <v>33783</v>
      </c>
      <c r="H855" s="43">
        <v>0.35</v>
      </c>
      <c r="I855" s="43">
        <v>0.81</v>
      </c>
      <c r="J855" s="38">
        <v>16.899999999999999</v>
      </c>
      <c r="K855" s="42">
        <v>28765.360000000001</v>
      </c>
      <c r="L855" s="42">
        <v>5753.07</v>
      </c>
      <c r="M855" s="38">
        <v>0</v>
      </c>
    </row>
    <row r="856" spans="1:13" ht="15" customHeight="1" x14ac:dyDescent="0.3">
      <c r="A856" s="38" t="s">
        <v>1788</v>
      </c>
      <c r="B856" s="40">
        <v>14673</v>
      </c>
      <c r="C856" s="41">
        <v>6.2E-2</v>
      </c>
      <c r="D856" s="38">
        <v>36</v>
      </c>
      <c r="E856" s="38" t="s">
        <v>35</v>
      </c>
      <c r="F856" s="38" t="s">
        <v>71</v>
      </c>
      <c r="G856" s="38">
        <v>87415</v>
      </c>
      <c r="H856" s="43">
        <v>0.23</v>
      </c>
      <c r="I856" s="43">
        <v>0.67</v>
      </c>
      <c r="J856" s="38">
        <v>16.899999999999999</v>
      </c>
      <c r="K856" s="42">
        <v>2729.1779999999999</v>
      </c>
      <c r="L856" s="42">
        <v>909.73</v>
      </c>
      <c r="M856" s="38">
        <v>0</v>
      </c>
    </row>
    <row r="857" spans="1:13" ht="15" customHeight="1" x14ac:dyDescent="0.3">
      <c r="A857" s="44" t="s">
        <v>1790</v>
      </c>
      <c r="B857" s="46">
        <v>27289</v>
      </c>
      <c r="C857" s="47">
        <v>0.246</v>
      </c>
      <c r="D857" s="44">
        <v>36</v>
      </c>
      <c r="E857" s="44" t="s">
        <v>36</v>
      </c>
      <c r="F857" s="44" t="s">
        <v>83</v>
      </c>
      <c r="G857" s="44">
        <v>149277</v>
      </c>
      <c r="H857" s="49">
        <v>0.48</v>
      </c>
      <c r="I857" s="49">
        <v>0.83</v>
      </c>
      <c r="J857" s="44">
        <v>16.899999999999999</v>
      </c>
      <c r="K857" s="48">
        <v>20139.281999999999</v>
      </c>
      <c r="L857" s="48">
        <v>-24713.03</v>
      </c>
      <c r="M857" s="44">
        <v>0</v>
      </c>
    </row>
    <row r="858" spans="1:13" ht="15" customHeight="1" x14ac:dyDescent="0.3">
      <c r="A858" s="38" t="s">
        <v>1792</v>
      </c>
      <c r="B858" s="40">
        <v>24197</v>
      </c>
      <c r="C858" s="41">
        <v>0.13</v>
      </c>
      <c r="D858" s="38">
        <v>60</v>
      </c>
      <c r="E858" s="38" t="s">
        <v>35</v>
      </c>
      <c r="F858" s="38" t="s">
        <v>80</v>
      </c>
      <c r="G858" s="38">
        <v>78847</v>
      </c>
      <c r="H858" s="43">
        <v>0.42</v>
      </c>
      <c r="I858" s="43">
        <v>0.74</v>
      </c>
      <c r="J858" s="38">
        <v>16.899999999999999</v>
      </c>
      <c r="K858" s="42">
        <v>15728.05</v>
      </c>
      <c r="L858" s="42">
        <v>3145.61</v>
      </c>
      <c r="M858" s="38">
        <v>0</v>
      </c>
    </row>
    <row r="859" spans="1:13" ht="15" customHeight="1" x14ac:dyDescent="0.3">
      <c r="A859" s="38" t="s">
        <v>1794</v>
      </c>
      <c r="B859" s="40">
        <v>10686</v>
      </c>
      <c r="C859" s="41">
        <v>0.17699999999999999</v>
      </c>
      <c r="D859" s="38">
        <v>36</v>
      </c>
      <c r="E859" s="38" t="s">
        <v>35</v>
      </c>
      <c r="F859" s="38" t="s">
        <v>71</v>
      </c>
      <c r="G859" s="38">
        <v>100427</v>
      </c>
      <c r="H859" s="43">
        <v>0.17</v>
      </c>
      <c r="I859" s="43">
        <v>0.89</v>
      </c>
      <c r="J859" s="38">
        <v>16.8</v>
      </c>
      <c r="K859" s="42">
        <v>5674.2659999999996</v>
      </c>
      <c r="L859" s="42">
        <v>1891.42</v>
      </c>
      <c r="M859" s="38">
        <v>0</v>
      </c>
    </row>
    <row r="860" spans="1:13" ht="15" customHeight="1" x14ac:dyDescent="0.3">
      <c r="A860" s="38" t="s">
        <v>1796</v>
      </c>
      <c r="B860" s="40">
        <v>34613</v>
      </c>
      <c r="C860" s="41">
        <v>0.192</v>
      </c>
      <c r="D860" s="38">
        <v>36</v>
      </c>
      <c r="E860" s="38" t="s">
        <v>35</v>
      </c>
      <c r="F860" s="38" t="s">
        <v>60</v>
      </c>
      <c r="G860" s="38">
        <v>31987</v>
      </c>
      <c r="H860" s="43">
        <v>0.45</v>
      </c>
      <c r="I860" s="43">
        <v>0.56000000000000005</v>
      </c>
      <c r="J860" s="38">
        <v>16.7</v>
      </c>
      <c r="K860" s="42">
        <v>19937.088</v>
      </c>
      <c r="L860" s="42">
        <v>6645.7</v>
      </c>
      <c r="M860" s="38">
        <v>0</v>
      </c>
    </row>
    <row r="861" spans="1:13" ht="15" customHeight="1" x14ac:dyDescent="0.3">
      <c r="A861" s="38" t="s">
        <v>1798</v>
      </c>
      <c r="B861" s="40">
        <v>30969</v>
      </c>
      <c r="C861" s="41">
        <v>5.6000000000000001E-2</v>
      </c>
      <c r="D861" s="38">
        <v>60</v>
      </c>
      <c r="E861" s="38" t="s">
        <v>35</v>
      </c>
      <c r="F861" s="38" t="s">
        <v>80</v>
      </c>
      <c r="G861" s="38">
        <v>90593</v>
      </c>
      <c r="H861" s="43">
        <v>0.38</v>
      </c>
      <c r="I861" s="43">
        <v>0.68</v>
      </c>
      <c r="J861" s="38">
        <v>16.7</v>
      </c>
      <c r="K861" s="42">
        <v>8671.32</v>
      </c>
      <c r="L861" s="42">
        <v>1734.26</v>
      </c>
      <c r="M861" s="38">
        <v>0</v>
      </c>
    </row>
    <row r="862" spans="1:13" ht="15" customHeight="1" x14ac:dyDescent="0.3">
      <c r="A862" s="38" t="s">
        <v>1800</v>
      </c>
      <c r="B862" s="40">
        <v>34282</v>
      </c>
      <c r="C862" s="41">
        <v>6.5000000000000002E-2</v>
      </c>
      <c r="D862" s="38">
        <v>36</v>
      </c>
      <c r="E862" s="38" t="s">
        <v>35</v>
      </c>
      <c r="F862" s="38" t="s">
        <v>83</v>
      </c>
      <c r="G862" s="38">
        <v>75619</v>
      </c>
      <c r="H862" s="43">
        <v>0.2</v>
      </c>
      <c r="I862" s="43">
        <v>0.94</v>
      </c>
      <c r="J862" s="38">
        <v>16.7</v>
      </c>
      <c r="K862" s="42">
        <v>6684.9900000000098</v>
      </c>
      <c r="L862" s="42">
        <v>2228.33</v>
      </c>
      <c r="M862" s="38">
        <v>0</v>
      </c>
    </row>
    <row r="863" spans="1:13" ht="15" customHeight="1" x14ac:dyDescent="0.3">
      <c r="A863" s="38" t="s">
        <v>1802</v>
      </c>
      <c r="B863" s="40">
        <v>29937</v>
      </c>
      <c r="C863" s="41">
        <v>0.224</v>
      </c>
      <c r="D863" s="38">
        <v>60</v>
      </c>
      <c r="E863" s="38" t="s">
        <v>35</v>
      </c>
      <c r="F863" s="38" t="s">
        <v>66</v>
      </c>
      <c r="G863" s="38">
        <v>107525</v>
      </c>
      <c r="H863" s="43">
        <v>0.26</v>
      </c>
      <c r="I863" s="43">
        <v>0.9</v>
      </c>
      <c r="J863" s="38">
        <v>16.600000000000001</v>
      </c>
      <c r="K863" s="42">
        <v>33529.440000000002</v>
      </c>
      <c r="L863" s="42">
        <v>6705.89</v>
      </c>
      <c r="M863" s="38">
        <v>0</v>
      </c>
    </row>
    <row r="864" spans="1:13" ht="15" customHeight="1" x14ac:dyDescent="0.3">
      <c r="A864" s="38" t="s">
        <v>1804</v>
      </c>
      <c r="B864" s="40">
        <v>5494</v>
      </c>
      <c r="C864" s="41">
        <v>9.7000000000000003E-2</v>
      </c>
      <c r="D864" s="38">
        <v>36</v>
      </c>
      <c r="E864" s="38" t="s">
        <v>35</v>
      </c>
      <c r="F864" s="38" t="s">
        <v>83</v>
      </c>
      <c r="G864" s="38">
        <v>147603</v>
      </c>
      <c r="H864" s="43">
        <v>0.39</v>
      </c>
      <c r="I864" s="43">
        <v>0.57999999999999996</v>
      </c>
      <c r="J864" s="38">
        <v>16.600000000000001</v>
      </c>
      <c r="K864" s="42">
        <v>1598.7539999999999</v>
      </c>
      <c r="L864" s="42">
        <v>532.91999999999996</v>
      </c>
      <c r="M864" s="38">
        <v>0</v>
      </c>
    </row>
    <row r="865" spans="1:13" ht="15" customHeight="1" x14ac:dyDescent="0.3">
      <c r="A865" s="38" t="s">
        <v>1806</v>
      </c>
      <c r="B865" s="40">
        <v>29841</v>
      </c>
      <c r="C865" s="41">
        <v>0.105</v>
      </c>
      <c r="D865" s="38">
        <v>60</v>
      </c>
      <c r="E865" s="38" t="s">
        <v>35</v>
      </c>
      <c r="F865" s="38" t="s">
        <v>80</v>
      </c>
      <c r="G865" s="38">
        <v>140335</v>
      </c>
      <c r="H865" s="43">
        <v>0.37</v>
      </c>
      <c r="I865" s="43">
        <v>0.68</v>
      </c>
      <c r="J865" s="38">
        <v>16.600000000000001</v>
      </c>
      <c r="K865" s="42">
        <v>15666.525</v>
      </c>
      <c r="L865" s="42">
        <v>3133.3</v>
      </c>
      <c r="M865" s="38">
        <v>0</v>
      </c>
    </row>
    <row r="866" spans="1:13" ht="15" customHeight="1" x14ac:dyDescent="0.3">
      <c r="A866" s="38" t="s">
        <v>1808</v>
      </c>
      <c r="B866" s="40">
        <v>13112</v>
      </c>
      <c r="C866" s="41">
        <v>6.4000000000000001E-2</v>
      </c>
      <c r="D866" s="38">
        <v>60</v>
      </c>
      <c r="E866" s="38" t="s">
        <v>35</v>
      </c>
      <c r="F866" s="38" t="s">
        <v>80</v>
      </c>
      <c r="G866" s="38">
        <v>140300</v>
      </c>
      <c r="H866" s="43">
        <v>0.19</v>
      </c>
      <c r="I866" s="43">
        <v>0.75</v>
      </c>
      <c r="J866" s="38">
        <v>16.600000000000001</v>
      </c>
      <c r="K866" s="42">
        <v>4195.84</v>
      </c>
      <c r="L866" s="42">
        <v>839.17</v>
      </c>
      <c r="M866" s="38">
        <v>0</v>
      </c>
    </row>
    <row r="867" spans="1:13" ht="15" customHeight="1" x14ac:dyDescent="0.3">
      <c r="A867" s="38" t="s">
        <v>1810</v>
      </c>
      <c r="B867" s="40">
        <v>12664</v>
      </c>
      <c r="C867" s="41">
        <v>0.13900000000000001</v>
      </c>
      <c r="D867" s="38">
        <v>36</v>
      </c>
      <c r="E867" s="38" t="s">
        <v>35</v>
      </c>
      <c r="F867" s="38" t="s">
        <v>60</v>
      </c>
      <c r="G867" s="38">
        <v>72215</v>
      </c>
      <c r="H867" s="43">
        <v>0.13</v>
      </c>
      <c r="I867" s="43">
        <v>0.93</v>
      </c>
      <c r="J867" s="38">
        <v>16.600000000000001</v>
      </c>
      <c r="K867" s="42">
        <v>5280.8879999999999</v>
      </c>
      <c r="L867" s="42">
        <v>1760.3</v>
      </c>
      <c r="M867" s="38">
        <v>0</v>
      </c>
    </row>
    <row r="868" spans="1:13" ht="15" customHeight="1" x14ac:dyDescent="0.3">
      <c r="A868" s="38" t="s">
        <v>1812</v>
      </c>
      <c r="B868" s="40">
        <v>35701</v>
      </c>
      <c r="C868" s="41">
        <v>6.0999999999999999E-2</v>
      </c>
      <c r="D868" s="38">
        <v>36</v>
      </c>
      <c r="E868" s="38" t="s">
        <v>35</v>
      </c>
      <c r="F868" s="38" t="s">
        <v>66</v>
      </c>
      <c r="G868" s="38">
        <v>120012</v>
      </c>
      <c r="H868" s="43">
        <v>0.17</v>
      </c>
      <c r="I868" s="43">
        <v>0.9</v>
      </c>
      <c r="J868" s="38">
        <v>16.600000000000001</v>
      </c>
      <c r="K868" s="42">
        <v>6533.2830000000004</v>
      </c>
      <c r="L868" s="42">
        <v>2177.7600000000002</v>
      </c>
      <c r="M868" s="38">
        <v>0</v>
      </c>
    </row>
    <row r="869" spans="1:13" ht="15" customHeight="1" x14ac:dyDescent="0.3">
      <c r="A869" s="38" t="s">
        <v>1814</v>
      </c>
      <c r="B869" s="40">
        <v>6655</v>
      </c>
      <c r="C869" s="41">
        <v>0.19400000000000001</v>
      </c>
      <c r="D869" s="38">
        <v>36</v>
      </c>
      <c r="E869" s="38" t="s">
        <v>35</v>
      </c>
      <c r="F869" s="38" t="s">
        <v>80</v>
      </c>
      <c r="G869" s="38">
        <v>53989</v>
      </c>
      <c r="H869" s="43">
        <v>0.19</v>
      </c>
      <c r="I869" s="43">
        <v>0.93</v>
      </c>
      <c r="J869" s="38">
        <v>16.600000000000001</v>
      </c>
      <c r="K869" s="42">
        <v>3873.21</v>
      </c>
      <c r="L869" s="42">
        <v>1291.07</v>
      </c>
      <c r="M869" s="38">
        <v>0</v>
      </c>
    </row>
    <row r="870" spans="1:13" ht="15" customHeight="1" x14ac:dyDescent="0.3">
      <c r="A870" s="44" t="s">
        <v>1816</v>
      </c>
      <c r="B870" s="46">
        <v>14081</v>
      </c>
      <c r="C870" s="47">
        <v>0.23799999999999999</v>
      </c>
      <c r="D870" s="44">
        <v>36</v>
      </c>
      <c r="E870" s="44" t="s">
        <v>36</v>
      </c>
      <c r="F870" s="44" t="s">
        <v>114</v>
      </c>
      <c r="G870" s="44">
        <v>106067</v>
      </c>
      <c r="H870" s="49">
        <v>0.3</v>
      </c>
      <c r="I870" s="49">
        <v>0.71</v>
      </c>
      <c r="J870" s="44">
        <v>16.5</v>
      </c>
      <c r="K870" s="48">
        <v>10053.834000000001</v>
      </c>
      <c r="L870" s="48">
        <v>-9495.2900000000009</v>
      </c>
      <c r="M870" s="44">
        <v>0</v>
      </c>
    </row>
    <row r="871" spans="1:13" ht="15" customHeight="1" x14ac:dyDescent="0.3">
      <c r="A871" s="38" t="s">
        <v>1818</v>
      </c>
      <c r="B871" s="40">
        <v>10715</v>
      </c>
      <c r="C871" s="41">
        <v>0.16400000000000001</v>
      </c>
      <c r="D871" s="38">
        <v>36</v>
      </c>
      <c r="E871" s="38" t="s">
        <v>35</v>
      </c>
      <c r="F871" s="38" t="s">
        <v>114</v>
      </c>
      <c r="G871" s="38">
        <v>128239</v>
      </c>
      <c r="H871" s="43">
        <v>0.47</v>
      </c>
      <c r="I871" s="43">
        <v>0.53</v>
      </c>
      <c r="J871" s="38">
        <v>16.5</v>
      </c>
      <c r="K871" s="42">
        <v>5271.78</v>
      </c>
      <c r="L871" s="42">
        <v>1757.26</v>
      </c>
      <c r="M871" s="38">
        <v>0</v>
      </c>
    </row>
    <row r="872" spans="1:13" ht="15" customHeight="1" x14ac:dyDescent="0.3">
      <c r="A872" s="38" t="s">
        <v>1820</v>
      </c>
      <c r="B872" s="40">
        <v>35450</v>
      </c>
      <c r="C872" s="41">
        <v>0.115</v>
      </c>
      <c r="D872" s="38">
        <v>60</v>
      </c>
      <c r="E872" s="38" t="s">
        <v>35</v>
      </c>
      <c r="F872" s="38" t="s">
        <v>71</v>
      </c>
      <c r="G872" s="38">
        <v>116669</v>
      </c>
      <c r="H872" s="43">
        <v>0.26</v>
      </c>
      <c r="I872" s="43">
        <v>0.64</v>
      </c>
      <c r="J872" s="38">
        <v>16.5</v>
      </c>
      <c r="K872" s="42">
        <v>20383.75</v>
      </c>
      <c r="L872" s="42">
        <v>4076.75</v>
      </c>
      <c r="M872" s="38">
        <v>0</v>
      </c>
    </row>
    <row r="873" spans="1:13" ht="15" customHeight="1" x14ac:dyDescent="0.3">
      <c r="A873" s="44" t="s">
        <v>1822</v>
      </c>
      <c r="B873" s="46">
        <v>7819</v>
      </c>
      <c r="C873" s="47">
        <v>0.121</v>
      </c>
      <c r="D873" s="44">
        <v>36</v>
      </c>
      <c r="E873" s="44" t="s">
        <v>36</v>
      </c>
      <c r="F873" s="44" t="s">
        <v>60</v>
      </c>
      <c r="G873" s="44">
        <v>55307</v>
      </c>
      <c r="H873" s="49">
        <v>0.12</v>
      </c>
      <c r="I873" s="49">
        <v>0.85</v>
      </c>
      <c r="J873" s="44">
        <v>16.5</v>
      </c>
      <c r="K873" s="48">
        <v>2838.297</v>
      </c>
      <c r="L873" s="48">
        <v>-7096.57</v>
      </c>
      <c r="M873" s="44">
        <v>0</v>
      </c>
    </row>
    <row r="874" spans="1:13" ht="15" customHeight="1" x14ac:dyDescent="0.3">
      <c r="A874" s="38" t="s">
        <v>1824</v>
      </c>
      <c r="B874" s="40">
        <v>34142</v>
      </c>
      <c r="C874" s="41">
        <v>0.221</v>
      </c>
      <c r="D874" s="38">
        <v>60</v>
      </c>
      <c r="E874" s="38" t="s">
        <v>35</v>
      </c>
      <c r="F874" s="38" t="s">
        <v>60</v>
      </c>
      <c r="G874" s="38">
        <v>55566</v>
      </c>
      <c r="H874" s="43">
        <v>0.43</v>
      </c>
      <c r="I874" s="43">
        <v>0.92</v>
      </c>
      <c r="J874" s="38">
        <v>16.5</v>
      </c>
      <c r="K874" s="42">
        <v>37726.910000000003</v>
      </c>
      <c r="L874" s="42">
        <v>7545.38</v>
      </c>
      <c r="M874" s="38">
        <v>0</v>
      </c>
    </row>
    <row r="875" spans="1:13" ht="15" customHeight="1" x14ac:dyDescent="0.3">
      <c r="A875" s="38" t="s">
        <v>1826</v>
      </c>
      <c r="B875" s="40">
        <v>21420</v>
      </c>
      <c r="C875" s="41">
        <v>0.11899999999999999</v>
      </c>
      <c r="D875" s="38">
        <v>60</v>
      </c>
      <c r="E875" s="38" t="s">
        <v>35</v>
      </c>
      <c r="F875" s="38" t="s">
        <v>60</v>
      </c>
      <c r="G875" s="38">
        <v>80626</v>
      </c>
      <c r="H875" s="43">
        <v>0.18</v>
      </c>
      <c r="I875" s="43">
        <v>0.53</v>
      </c>
      <c r="J875" s="38">
        <v>16.5</v>
      </c>
      <c r="K875" s="42">
        <v>12744.9</v>
      </c>
      <c r="L875" s="42">
        <v>2548.98</v>
      </c>
      <c r="M875" s="38">
        <v>0</v>
      </c>
    </row>
    <row r="876" spans="1:13" ht="15" customHeight="1" x14ac:dyDescent="0.3">
      <c r="A876" s="38" t="s">
        <v>1828</v>
      </c>
      <c r="B876" s="40">
        <v>5232</v>
      </c>
      <c r="C876" s="41">
        <v>0.08</v>
      </c>
      <c r="D876" s="38">
        <v>36</v>
      </c>
      <c r="E876" s="38" t="s">
        <v>35</v>
      </c>
      <c r="F876" s="38" t="s">
        <v>71</v>
      </c>
      <c r="G876" s="38">
        <v>65740</v>
      </c>
      <c r="H876" s="43">
        <v>0.5</v>
      </c>
      <c r="I876" s="43">
        <v>0.72</v>
      </c>
      <c r="J876" s="38">
        <v>16.399999999999999</v>
      </c>
      <c r="K876" s="42">
        <v>1255.68</v>
      </c>
      <c r="L876" s="42">
        <v>418.56</v>
      </c>
      <c r="M876" s="38">
        <v>0</v>
      </c>
    </row>
    <row r="877" spans="1:13" ht="15" customHeight="1" x14ac:dyDescent="0.3">
      <c r="A877" s="38" t="s">
        <v>1830</v>
      </c>
      <c r="B877" s="40">
        <v>37509</v>
      </c>
      <c r="C877" s="41">
        <v>0.159</v>
      </c>
      <c r="D877" s="38">
        <v>60</v>
      </c>
      <c r="E877" s="38" t="s">
        <v>35</v>
      </c>
      <c r="F877" s="38" t="s">
        <v>83</v>
      </c>
      <c r="G877" s="38">
        <v>126462</v>
      </c>
      <c r="H877" s="43">
        <v>0.17</v>
      </c>
      <c r="I877" s="43">
        <v>0.69</v>
      </c>
      <c r="J877" s="38">
        <v>16.399999999999999</v>
      </c>
      <c r="K877" s="42">
        <v>29819.654999999999</v>
      </c>
      <c r="L877" s="42">
        <v>5963.93</v>
      </c>
      <c r="M877" s="38">
        <v>0</v>
      </c>
    </row>
    <row r="878" spans="1:13" ht="15" customHeight="1" x14ac:dyDescent="0.3">
      <c r="A878" s="56" t="s">
        <v>1832</v>
      </c>
      <c r="B878" s="58">
        <v>24429</v>
      </c>
      <c r="C878" s="59">
        <v>0.16600000000000001</v>
      </c>
      <c r="D878" s="56">
        <v>60</v>
      </c>
      <c r="E878" s="56" t="s">
        <v>37</v>
      </c>
      <c r="F878" s="56" t="s">
        <v>83</v>
      </c>
      <c r="G878" s="56">
        <v>55901</v>
      </c>
      <c r="H878" s="61">
        <v>0.1</v>
      </c>
      <c r="I878" s="61">
        <v>0.76</v>
      </c>
      <c r="J878" s="56">
        <v>16.2</v>
      </c>
      <c r="K878" s="60">
        <v>20276.07</v>
      </c>
      <c r="L878" s="60">
        <v>-18100.830000000002</v>
      </c>
      <c r="M878" s="56">
        <v>1</v>
      </c>
    </row>
    <row r="879" spans="1:13" ht="15" customHeight="1" x14ac:dyDescent="0.3">
      <c r="A879" s="38" t="s">
        <v>1834</v>
      </c>
      <c r="B879" s="40">
        <v>12171</v>
      </c>
      <c r="C879" s="41">
        <v>0.22800000000000001</v>
      </c>
      <c r="D879" s="38">
        <v>60</v>
      </c>
      <c r="E879" s="38" t="s">
        <v>35</v>
      </c>
      <c r="F879" s="38" t="s">
        <v>71</v>
      </c>
      <c r="G879" s="38">
        <v>75541</v>
      </c>
      <c r="H879" s="43">
        <v>0.35</v>
      </c>
      <c r="I879" s="43">
        <v>0.68</v>
      </c>
      <c r="J879" s="38">
        <v>16.2</v>
      </c>
      <c r="K879" s="42">
        <v>13874.94</v>
      </c>
      <c r="L879" s="42">
        <v>2774.99</v>
      </c>
      <c r="M879" s="38">
        <v>0</v>
      </c>
    </row>
    <row r="880" spans="1:13" ht="15" customHeight="1" x14ac:dyDescent="0.3">
      <c r="A880" s="38" t="s">
        <v>1836</v>
      </c>
      <c r="B880" s="40">
        <v>22932</v>
      </c>
      <c r="C880" s="41">
        <v>7.0999999999999994E-2</v>
      </c>
      <c r="D880" s="38">
        <v>60</v>
      </c>
      <c r="E880" s="38" t="s">
        <v>35</v>
      </c>
      <c r="F880" s="38" t="s">
        <v>60</v>
      </c>
      <c r="G880" s="38">
        <v>50566</v>
      </c>
      <c r="H880" s="43">
        <v>0.2</v>
      </c>
      <c r="I880" s="43">
        <v>0.9</v>
      </c>
      <c r="J880" s="38">
        <v>16.2</v>
      </c>
      <c r="K880" s="42">
        <v>8140.86</v>
      </c>
      <c r="L880" s="42">
        <v>1628.17</v>
      </c>
      <c r="M880" s="38">
        <v>0</v>
      </c>
    </row>
    <row r="881" spans="1:13" ht="15" customHeight="1" x14ac:dyDescent="0.3">
      <c r="A881" s="38" t="s">
        <v>1838</v>
      </c>
      <c r="B881" s="40">
        <v>30759</v>
      </c>
      <c r="C881" s="41">
        <v>7.0999999999999994E-2</v>
      </c>
      <c r="D881" s="38">
        <v>36</v>
      </c>
      <c r="E881" s="38" t="s">
        <v>35</v>
      </c>
      <c r="F881" s="38" t="s">
        <v>257</v>
      </c>
      <c r="G881" s="38">
        <v>124835</v>
      </c>
      <c r="H881" s="43">
        <v>0.22</v>
      </c>
      <c r="I881" s="43">
        <v>0.72</v>
      </c>
      <c r="J881" s="38">
        <v>16.100000000000001</v>
      </c>
      <c r="K881" s="42">
        <v>6551.6670000000004</v>
      </c>
      <c r="L881" s="42">
        <v>2183.89</v>
      </c>
      <c r="M881" s="38">
        <v>0</v>
      </c>
    </row>
    <row r="882" spans="1:13" ht="15" customHeight="1" x14ac:dyDescent="0.3">
      <c r="A882" s="44" t="s">
        <v>1840</v>
      </c>
      <c r="B882" s="46">
        <v>23015</v>
      </c>
      <c r="C882" s="47">
        <v>0.14499999999999999</v>
      </c>
      <c r="D882" s="44">
        <v>60</v>
      </c>
      <c r="E882" s="44" t="s">
        <v>36</v>
      </c>
      <c r="F882" s="44" t="s">
        <v>80</v>
      </c>
      <c r="G882" s="44">
        <v>40335</v>
      </c>
      <c r="H882" s="49">
        <v>0.1</v>
      </c>
      <c r="I882" s="49">
        <v>0.87</v>
      </c>
      <c r="J882" s="44">
        <v>16.100000000000001</v>
      </c>
      <c r="K882" s="48">
        <v>16685.875</v>
      </c>
      <c r="L882" s="48">
        <v>-11529.09</v>
      </c>
      <c r="M882" s="44">
        <v>0</v>
      </c>
    </row>
    <row r="883" spans="1:13" ht="15" customHeight="1" x14ac:dyDescent="0.3">
      <c r="A883" s="38" t="s">
        <v>1842</v>
      </c>
      <c r="B883" s="40">
        <v>11706</v>
      </c>
      <c r="C883" s="41">
        <v>0.14899999999999999</v>
      </c>
      <c r="D883" s="38">
        <v>60</v>
      </c>
      <c r="E883" s="38" t="s">
        <v>35</v>
      </c>
      <c r="F883" s="38" t="s">
        <v>83</v>
      </c>
      <c r="G883" s="38">
        <v>86984</v>
      </c>
      <c r="H883" s="43">
        <v>0.25</v>
      </c>
      <c r="I883" s="43">
        <v>0.73</v>
      </c>
      <c r="J883" s="38">
        <v>16.100000000000001</v>
      </c>
      <c r="K883" s="42">
        <v>8720.9699999999993</v>
      </c>
      <c r="L883" s="42">
        <v>1744.19</v>
      </c>
      <c r="M883" s="38">
        <v>0</v>
      </c>
    </row>
    <row r="884" spans="1:13" ht="15" customHeight="1" x14ac:dyDescent="0.3">
      <c r="A884" s="38" t="s">
        <v>1844</v>
      </c>
      <c r="B884" s="40">
        <v>30426</v>
      </c>
      <c r="C884" s="41">
        <v>5.8000000000000003E-2</v>
      </c>
      <c r="D884" s="38">
        <v>36</v>
      </c>
      <c r="E884" s="38" t="s">
        <v>35</v>
      </c>
      <c r="F884" s="38" t="s">
        <v>80</v>
      </c>
      <c r="G884" s="38">
        <v>96983</v>
      </c>
      <c r="H884" s="43">
        <v>0.45</v>
      </c>
      <c r="I884" s="43">
        <v>0.83</v>
      </c>
      <c r="J884" s="38">
        <v>16.100000000000001</v>
      </c>
      <c r="K884" s="42">
        <v>5294.1239999999998</v>
      </c>
      <c r="L884" s="42">
        <v>1764.71</v>
      </c>
      <c r="M884" s="38">
        <v>0</v>
      </c>
    </row>
    <row r="885" spans="1:13" ht="15" customHeight="1" x14ac:dyDescent="0.3">
      <c r="A885" s="44" t="s">
        <v>1846</v>
      </c>
      <c r="B885" s="46">
        <v>10323</v>
      </c>
      <c r="C885" s="47">
        <v>0.127</v>
      </c>
      <c r="D885" s="44">
        <v>60</v>
      </c>
      <c r="E885" s="44" t="s">
        <v>36</v>
      </c>
      <c r="F885" s="44" t="s">
        <v>60</v>
      </c>
      <c r="G885" s="44">
        <v>71609</v>
      </c>
      <c r="H885" s="49">
        <v>0.27</v>
      </c>
      <c r="I885" s="49">
        <v>0.6</v>
      </c>
      <c r="J885" s="44">
        <v>16</v>
      </c>
      <c r="K885" s="48">
        <v>6555.1049999999996</v>
      </c>
      <c r="L885" s="48">
        <v>-6944.8</v>
      </c>
      <c r="M885" s="44">
        <v>0</v>
      </c>
    </row>
    <row r="886" spans="1:13" ht="15" customHeight="1" x14ac:dyDescent="0.3">
      <c r="A886" s="38" t="s">
        <v>1848</v>
      </c>
      <c r="B886" s="40">
        <v>12555</v>
      </c>
      <c r="C886" s="41">
        <v>0.248</v>
      </c>
      <c r="D886" s="38">
        <v>36</v>
      </c>
      <c r="E886" s="38" t="s">
        <v>35</v>
      </c>
      <c r="F886" s="38" t="s">
        <v>60</v>
      </c>
      <c r="G886" s="38">
        <v>85480</v>
      </c>
      <c r="H886" s="43">
        <v>0.19</v>
      </c>
      <c r="I886" s="43">
        <v>0.73</v>
      </c>
      <c r="J886" s="38">
        <v>15.9</v>
      </c>
      <c r="K886" s="42">
        <v>9340.92</v>
      </c>
      <c r="L886" s="42">
        <v>3113.64</v>
      </c>
      <c r="M886" s="38">
        <v>0</v>
      </c>
    </row>
    <row r="887" spans="1:13" ht="15" customHeight="1" x14ac:dyDescent="0.3">
      <c r="A887" s="38" t="s">
        <v>1850</v>
      </c>
      <c r="B887" s="40">
        <v>39559</v>
      </c>
      <c r="C887" s="41">
        <v>0.13200000000000001</v>
      </c>
      <c r="D887" s="38">
        <v>36</v>
      </c>
      <c r="E887" s="38" t="s">
        <v>35</v>
      </c>
      <c r="F887" s="38" t="s">
        <v>83</v>
      </c>
      <c r="G887" s="38">
        <v>33327</v>
      </c>
      <c r="H887" s="43">
        <v>0.38</v>
      </c>
      <c r="I887" s="43">
        <v>0.65</v>
      </c>
      <c r="J887" s="38">
        <v>15.9</v>
      </c>
      <c r="K887" s="42">
        <v>15665.364</v>
      </c>
      <c r="L887" s="42">
        <v>5221.79</v>
      </c>
      <c r="M887" s="38">
        <v>0</v>
      </c>
    </row>
    <row r="888" spans="1:13" ht="15" customHeight="1" x14ac:dyDescent="0.3">
      <c r="A888" s="38" t="s">
        <v>1852</v>
      </c>
      <c r="B888" s="40">
        <v>4738</v>
      </c>
      <c r="C888" s="41">
        <v>5.3999999999999999E-2</v>
      </c>
      <c r="D888" s="38">
        <v>36</v>
      </c>
      <c r="E888" s="38" t="s">
        <v>35</v>
      </c>
      <c r="F888" s="38" t="s">
        <v>80</v>
      </c>
      <c r="G888" s="38">
        <v>143237</v>
      </c>
      <c r="H888" s="43">
        <v>0.36</v>
      </c>
      <c r="I888" s="43">
        <v>0.88</v>
      </c>
      <c r="J888" s="38">
        <v>15.8</v>
      </c>
      <c r="K888" s="42">
        <v>767.55600000000004</v>
      </c>
      <c r="L888" s="42">
        <v>255.85</v>
      </c>
      <c r="M888" s="38">
        <v>0</v>
      </c>
    </row>
    <row r="889" spans="1:13" ht="15" customHeight="1" x14ac:dyDescent="0.3">
      <c r="A889" s="38" t="s">
        <v>1854</v>
      </c>
      <c r="B889" s="40">
        <v>34933</v>
      </c>
      <c r="C889" s="41">
        <v>0.19900000000000001</v>
      </c>
      <c r="D889" s="38">
        <v>36</v>
      </c>
      <c r="E889" s="38" t="s">
        <v>35</v>
      </c>
      <c r="F889" s="38" t="s">
        <v>80</v>
      </c>
      <c r="G889" s="38">
        <v>61709</v>
      </c>
      <c r="H889" s="43">
        <v>0.12</v>
      </c>
      <c r="I889" s="43">
        <v>0.72</v>
      </c>
      <c r="J889" s="38">
        <v>15.7</v>
      </c>
      <c r="K889" s="42">
        <v>20855.001</v>
      </c>
      <c r="L889" s="42">
        <v>6951.67</v>
      </c>
      <c r="M889" s="38">
        <v>0</v>
      </c>
    </row>
    <row r="890" spans="1:13" ht="15" customHeight="1" x14ac:dyDescent="0.3">
      <c r="A890" s="38" t="s">
        <v>1856</v>
      </c>
      <c r="B890" s="40">
        <v>6435</v>
      </c>
      <c r="C890" s="41">
        <v>7.5999999999999998E-2</v>
      </c>
      <c r="D890" s="38">
        <v>60</v>
      </c>
      <c r="E890" s="38" t="s">
        <v>35</v>
      </c>
      <c r="F890" s="38" t="s">
        <v>60</v>
      </c>
      <c r="G890" s="38">
        <v>36305</v>
      </c>
      <c r="H890" s="43">
        <v>0.15</v>
      </c>
      <c r="I890" s="43">
        <v>0.51</v>
      </c>
      <c r="J890" s="38">
        <v>15.7</v>
      </c>
      <c r="K890" s="42">
        <v>2445.3000000000002</v>
      </c>
      <c r="L890" s="42">
        <v>489.06</v>
      </c>
      <c r="M890" s="38">
        <v>0</v>
      </c>
    </row>
    <row r="891" spans="1:13" ht="15" customHeight="1" x14ac:dyDescent="0.3">
      <c r="A891" s="56" t="s">
        <v>1858</v>
      </c>
      <c r="B891" s="58">
        <v>2969</v>
      </c>
      <c r="C891" s="59">
        <v>0.16800000000000001</v>
      </c>
      <c r="D891" s="56">
        <v>36</v>
      </c>
      <c r="E891" s="56" t="s">
        <v>37</v>
      </c>
      <c r="F891" s="56" t="s">
        <v>114</v>
      </c>
      <c r="G891" s="56">
        <v>147473</v>
      </c>
      <c r="H891" s="61">
        <v>0.49</v>
      </c>
      <c r="I891" s="61">
        <v>0.85</v>
      </c>
      <c r="J891" s="56">
        <v>15.7</v>
      </c>
      <c r="K891" s="60">
        <v>1496.376</v>
      </c>
      <c r="L891" s="60">
        <v>-2665.37</v>
      </c>
      <c r="M891" s="56">
        <v>1</v>
      </c>
    </row>
    <row r="892" spans="1:13" ht="15" customHeight="1" x14ac:dyDescent="0.3">
      <c r="A892" s="38" t="s">
        <v>1860</v>
      </c>
      <c r="B892" s="40">
        <v>16504</v>
      </c>
      <c r="C892" s="41">
        <v>0.129</v>
      </c>
      <c r="D892" s="38">
        <v>60</v>
      </c>
      <c r="E892" s="38" t="s">
        <v>35</v>
      </c>
      <c r="F892" s="38" t="s">
        <v>60</v>
      </c>
      <c r="G892" s="38">
        <v>41874</v>
      </c>
      <c r="H892" s="43">
        <v>0.27</v>
      </c>
      <c r="I892" s="43">
        <v>0.94</v>
      </c>
      <c r="J892" s="38">
        <v>15.7</v>
      </c>
      <c r="K892" s="42">
        <v>10645.08</v>
      </c>
      <c r="L892" s="42">
        <v>2129.02</v>
      </c>
      <c r="M892" s="38">
        <v>0</v>
      </c>
    </row>
    <row r="893" spans="1:13" ht="15" customHeight="1" x14ac:dyDescent="0.3">
      <c r="A893" s="38" t="s">
        <v>1862</v>
      </c>
      <c r="B893" s="40">
        <v>20169</v>
      </c>
      <c r="C893" s="41">
        <v>0.23100000000000001</v>
      </c>
      <c r="D893" s="38">
        <v>36</v>
      </c>
      <c r="E893" s="38" t="s">
        <v>35</v>
      </c>
      <c r="F893" s="38" t="s">
        <v>114</v>
      </c>
      <c r="G893" s="38">
        <v>74041</v>
      </c>
      <c r="H893" s="43">
        <v>0.26</v>
      </c>
      <c r="I893" s="43">
        <v>0.8</v>
      </c>
      <c r="J893" s="38">
        <v>15.6</v>
      </c>
      <c r="K893" s="42">
        <v>13977.117</v>
      </c>
      <c r="L893" s="42">
        <v>4659.04</v>
      </c>
      <c r="M893" s="38">
        <v>0</v>
      </c>
    </row>
    <row r="894" spans="1:13" ht="15" customHeight="1" x14ac:dyDescent="0.3">
      <c r="A894" s="38" t="s">
        <v>1864</v>
      </c>
      <c r="B894" s="40">
        <v>27526</v>
      </c>
      <c r="C894" s="41">
        <v>9.4E-2</v>
      </c>
      <c r="D894" s="38">
        <v>36</v>
      </c>
      <c r="E894" s="38" t="s">
        <v>35</v>
      </c>
      <c r="F894" s="38" t="s">
        <v>71</v>
      </c>
      <c r="G894" s="38">
        <v>37347</v>
      </c>
      <c r="H894" s="43">
        <v>0.4</v>
      </c>
      <c r="I894" s="43">
        <v>0.5</v>
      </c>
      <c r="J894" s="38">
        <v>15.5</v>
      </c>
      <c r="K894" s="42">
        <v>7762.3320000000003</v>
      </c>
      <c r="L894" s="42">
        <v>2587.44</v>
      </c>
      <c r="M894" s="38">
        <v>0</v>
      </c>
    </row>
    <row r="895" spans="1:13" ht="15" customHeight="1" x14ac:dyDescent="0.3">
      <c r="A895" s="38" t="s">
        <v>1866</v>
      </c>
      <c r="B895" s="40">
        <v>38946</v>
      </c>
      <c r="C895" s="41">
        <v>0.156</v>
      </c>
      <c r="D895" s="38">
        <v>36</v>
      </c>
      <c r="E895" s="38" t="s">
        <v>35</v>
      </c>
      <c r="F895" s="38" t="s">
        <v>60</v>
      </c>
      <c r="G895" s="38">
        <v>31881</v>
      </c>
      <c r="H895" s="43">
        <v>0.17</v>
      </c>
      <c r="I895" s="43">
        <v>0.75</v>
      </c>
      <c r="J895" s="38">
        <v>15.5</v>
      </c>
      <c r="K895" s="42">
        <v>18226.727999999999</v>
      </c>
      <c r="L895" s="42">
        <v>6075.58</v>
      </c>
      <c r="M895" s="38">
        <v>0</v>
      </c>
    </row>
    <row r="896" spans="1:13" ht="15" customHeight="1" x14ac:dyDescent="0.3">
      <c r="A896" s="38" t="s">
        <v>1868</v>
      </c>
      <c r="B896" s="40">
        <v>29763</v>
      </c>
      <c r="C896" s="41">
        <v>9.8000000000000004E-2</v>
      </c>
      <c r="D896" s="38">
        <v>36</v>
      </c>
      <c r="E896" s="38" t="s">
        <v>35</v>
      </c>
      <c r="F896" s="38" t="s">
        <v>71</v>
      </c>
      <c r="G896" s="38">
        <v>135583</v>
      </c>
      <c r="H896" s="43">
        <v>0.43</v>
      </c>
      <c r="I896" s="43">
        <v>0.54</v>
      </c>
      <c r="J896" s="38">
        <v>15.5</v>
      </c>
      <c r="K896" s="42">
        <v>8750.3220000000001</v>
      </c>
      <c r="L896" s="42">
        <v>2916.77</v>
      </c>
      <c r="M896" s="38">
        <v>0</v>
      </c>
    </row>
    <row r="897" spans="1:13" ht="15" customHeight="1" x14ac:dyDescent="0.3">
      <c r="A897" s="56" t="s">
        <v>1870</v>
      </c>
      <c r="B897" s="58">
        <v>22195</v>
      </c>
      <c r="C897" s="59">
        <v>6.9000000000000006E-2</v>
      </c>
      <c r="D897" s="56">
        <v>36</v>
      </c>
      <c r="E897" s="56" t="s">
        <v>37</v>
      </c>
      <c r="F897" s="56" t="s">
        <v>83</v>
      </c>
      <c r="G897" s="56">
        <v>109768</v>
      </c>
      <c r="H897" s="61">
        <v>0.12</v>
      </c>
      <c r="I897" s="61">
        <v>0.89</v>
      </c>
      <c r="J897" s="56">
        <v>15.4</v>
      </c>
      <c r="K897" s="60">
        <v>4594.3649999999998</v>
      </c>
      <c r="L897" s="60">
        <v>-16512.27</v>
      </c>
      <c r="M897" s="56">
        <v>1</v>
      </c>
    </row>
    <row r="898" spans="1:13" ht="15" customHeight="1" x14ac:dyDescent="0.3">
      <c r="A898" s="44" t="s">
        <v>1872</v>
      </c>
      <c r="B898" s="46">
        <v>10077</v>
      </c>
      <c r="C898" s="47">
        <v>0.11899999999999999</v>
      </c>
      <c r="D898" s="44">
        <v>60</v>
      </c>
      <c r="E898" s="44" t="s">
        <v>36</v>
      </c>
      <c r="F898" s="44" t="s">
        <v>83</v>
      </c>
      <c r="G898" s="44">
        <v>60257</v>
      </c>
      <c r="H898" s="49">
        <v>0.2</v>
      </c>
      <c r="I898" s="49">
        <v>0.6</v>
      </c>
      <c r="J898" s="44">
        <v>15.4</v>
      </c>
      <c r="K898" s="48">
        <v>5995.8149999999996</v>
      </c>
      <c r="L898" s="48">
        <v>-7248.73</v>
      </c>
      <c r="M898" s="44">
        <v>0</v>
      </c>
    </row>
    <row r="899" spans="1:13" ht="15" customHeight="1" x14ac:dyDescent="0.3">
      <c r="A899" s="38" t="s">
        <v>1874</v>
      </c>
      <c r="B899" s="40">
        <v>17163</v>
      </c>
      <c r="C899" s="41">
        <v>0.23899999999999999</v>
      </c>
      <c r="D899" s="38">
        <v>36</v>
      </c>
      <c r="E899" s="38" t="s">
        <v>35</v>
      </c>
      <c r="F899" s="38" t="s">
        <v>80</v>
      </c>
      <c r="G899" s="38">
        <v>61954</v>
      </c>
      <c r="H899" s="43">
        <v>0.28999999999999998</v>
      </c>
      <c r="I899" s="43">
        <v>0.86</v>
      </c>
      <c r="J899" s="38">
        <v>15.4</v>
      </c>
      <c r="K899" s="42">
        <v>12305.870999999999</v>
      </c>
      <c r="L899" s="42">
        <v>4101.96</v>
      </c>
      <c r="M899" s="38">
        <v>0</v>
      </c>
    </row>
    <row r="900" spans="1:13" ht="15" customHeight="1" x14ac:dyDescent="0.3">
      <c r="A900" s="44" t="s">
        <v>1876</v>
      </c>
      <c r="B900" s="46">
        <v>17456</v>
      </c>
      <c r="C900" s="47">
        <v>0.223</v>
      </c>
      <c r="D900" s="44">
        <v>36</v>
      </c>
      <c r="E900" s="44" t="s">
        <v>36</v>
      </c>
      <c r="F900" s="44" t="s">
        <v>83</v>
      </c>
      <c r="G900" s="44">
        <v>107475</v>
      </c>
      <c r="H900" s="49">
        <v>0.21</v>
      </c>
      <c r="I900" s="49">
        <v>0.73</v>
      </c>
      <c r="J900" s="44">
        <v>15.4</v>
      </c>
      <c r="K900" s="48">
        <v>11678.064</v>
      </c>
      <c r="L900" s="48">
        <v>-9981.2999999999993</v>
      </c>
      <c r="M900" s="44">
        <v>0</v>
      </c>
    </row>
    <row r="901" spans="1:13" ht="15" customHeight="1" x14ac:dyDescent="0.3">
      <c r="A901" s="38" t="s">
        <v>1878</v>
      </c>
      <c r="B901" s="40">
        <v>33088</v>
      </c>
      <c r="C901" s="41">
        <v>0.23899999999999999</v>
      </c>
      <c r="D901" s="38">
        <v>36</v>
      </c>
      <c r="E901" s="38" t="s">
        <v>35</v>
      </c>
      <c r="F901" s="38" t="s">
        <v>257</v>
      </c>
      <c r="G901" s="38">
        <v>92767</v>
      </c>
      <c r="H901" s="43">
        <v>0.28999999999999998</v>
      </c>
      <c r="I901" s="43">
        <v>0.85</v>
      </c>
      <c r="J901" s="38">
        <v>15.4</v>
      </c>
      <c r="K901" s="42">
        <v>23724.096000000001</v>
      </c>
      <c r="L901" s="42">
        <v>7908.03</v>
      </c>
      <c r="M901" s="38">
        <v>0</v>
      </c>
    </row>
    <row r="902" spans="1:13" ht="15" customHeight="1" x14ac:dyDescent="0.3">
      <c r="A902" s="44" t="s">
        <v>1880</v>
      </c>
      <c r="B902" s="46">
        <v>19023</v>
      </c>
      <c r="C902" s="47">
        <v>5.8999999999999997E-2</v>
      </c>
      <c r="D902" s="44">
        <v>60</v>
      </c>
      <c r="E902" s="44" t="s">
        <v>36</v>
      </c>
      <c r="F902" s="44" t="s">
        <v>60</v>
      </c>
      <c r="G902" s="44">
        <v>32890</v>
      </c>
      <c r="H902" s="49">
        <v>0.23</v>
      </c>
      <c r="I902" s="49">
        <v>0.71</v>
      </c>
      <c r="J902" s="44">
        <v>15.3</v>
      </c>
      <c r="K902" s="48">
        <v>5611.7849999999999</v>
      </c>
      <c r="L902" s="48">
        <v>-12235.12</v>
      </c>
      <c r="M902" s="44">
        <v>0</v>
      </c>
    </row>
    <row r="903" spans="1:13" ht="15" customHeight="1" x14ac:dyDescent="0.3">
      <c r="A903" s="38" t="s">
        <v>1882</v>
      </c>
      <c r="B903" s="40">
        <v>27788</v>
      </c>
      <c r="C903" s="41">
        <v>0.224</v>
      </c>
      <c r="D903" s="38">
        <v>36</v>
      </c>
      <c r="E903" s="38" t="s">
        <v>35</v>
      </c>
      <c r="F903" s="38" t="s">
        <v>66</v>
      </c>
      <c r="G903" s="38">
        <v>47618</v>
      </c>
      <c r="H903" s="43">
        <v>0.28999999999999998</v>
      </c>
      <c r="I903" s="43">
        <v>0.82</v>
      </c>
      <c r="J903" s="38">
        <v>15.2</v>
      </c>
      <c r="K903" s="42">
        <v>18673.536</v>
      </c>
      <c r="L903" s="42">
        <v>6224.51</v>
      </c>
      <c r="M903" s="38">
        <v>0</v>
      </c>
    </row>
    <row r="904" spans="1:13" ht="15" customHeight="1" x14ac:dyDescent="0.3">
      <c r="A904" s="44" t="s">
        <v>1884</v>
      </c>
      <c r="B904" s="46">
        <v>20201</v>
      </c>
      <c r="C904" s="47">
        <v>0.161</v>
      </c>
      <c r="D904" s="44">
        <v>60</v>
      </c>
      <c r="E904" s="44" t="s">
        <v>36</v>
      </c>
      <c r="F904" s="44" t="s">
        <v>83</v>
      </c>
      <c r="G904" s="44">
        <v>109866</v>
      </c>
      <c r="H904" s="49">
        <v>0.13</v>
      </c>
      <c r="I904" s="49">
        <v>0.83</v>
      </c>
      <c r="J904" s="44">
        <v>15.2</v>
      </c>
      <c r="K904" s="48">
        <v>16261.805</v>
      </c>
      <c r="L904" s="48">
        <v>-11575.62</v>
      </c>
      <c r="M904" s="44">
        <v>0</v>
      </c>
    </row>
    <row r="905" spans="1:13" ht="15" customHeight="1" x14ac:dyDescent="0.3">
      <c r="A905" s="56" t="s">
        <v>1886</v>
      </c>
      <c r="B905" s="58">
        <v>23042</v>
      </c>
      <c r="C905" s="59">
        <v>0.19800000000000001</v>
      </c>
      <c r="D905" s="56">
        <v>60</v>
      </c>
      <c r="E905" s="56" t="s">
        <v>37</v>
      </c>
      <c r="F905" s="56" t="s">
        <v>66</v>
      </c>
      <c r="G905" s="56">
        <v>91845</v>
      </c>
      <c r="H905" s="61">
        <v>0.26</v>
      </c>
      <c r="I905" s="61">
        <v>0.59</v>
      </c>
      <c r="J905" s="56">
        <v>15.2</v>
      </c>
      <c r="K905" s="60">
        <v>22811.58</v>
      </c>
      <c r="L905" s="60">
        <v>-20049.97</v>
      </c>
      <c r="M905" s="56">
        <v>1</v>
      </c>
    </row>
    <row r="906" spans="1:13" ht="15" customHeight="1" x14ac:dyDescent="0.3">
      <c r="A906" s="44" t="s">
        <v>1888</v>
      </c>
      <c r="B906" s="46">
        <v>8491</v>
      </c>
      <c r="C906" s="47">
        <v>0.16200000000000001</v>
      </c>
      <c r="D906" s="44">
        <v>36</v>
      </c>
      <c r="E906" s="44" t="s">
        <v>36</v>
      </c>
      <c r="F906" s="44" t="s">
        <v>80</v>
      </c>
      <c r="G906" s="44">
        <v>140130</v>
      </c>
      <c r="H906" s="49">
        <v>0.44</v>
      </c>
      <c r="I906" s="49">
        <v>0.56999999999999995</v>
      </c>
      <c r="J906" s="44">
        <v>15</v>
      </c>
      <c r="K906" s="48">
        <v>4126.6260000000002</v>
      </c>
      <c r="L906" s="48">
        <v>-7326.18</v>
      </c>
      <c r="M906" s="44">
        <v>0</v>
      </c>
    </row>
    <row r="907" spans="1:13" ht="15" customHeight="1" x14ac:dyDescent="0.3">
      <c r="A907" s="38" t="s">
        <v>1890</v>
      </c>
      <c r="B907" s="40">
        <v>38685</v>
      </c>
      <c r="C907" s="41">
        <v>0.19700000000000001</v>
      </c>
      <c r="D907" s="38">
        <v>60</v>
      </c>
      <c r="E907" s="38" t="s">
        <v>35</v>
      </c>
      <c r="F907" s="38" t="s">
        <v>114</v>
      </c>
      <c r="G907" s="38">
        <v>70953</v>
      </c>
      <c r="H907" s="43">
        <v>0.36</v>
      </c>
      <c r="I907" s="43">
        <v>0.73</v>
      </c>
      <c r="J907" s="38">
        <v>15</v>
      </c>
      <c r="K907" s="42">
        <v>38104.724999999999</v>
      </c>
      <c r="L907" s="42">
        <v>7620.94</v>
      </c>
      <c r="M907" s="38">
        <v>0</v>
      </c>
    </row>
    <row r="908" spans="1:13" ht="15" customHeight="1" x14ac:dyDescent="0.3">
      <c r="A908" s="44" t="s">
        <v>1892</v>
      </c>
      <c r="B908" s="46">
        <v>3353</v>
      </c>
      <c r="C908" s="47">
        <v>0.21</v>
      </c>
      <c r="D908" s="44">
        <v>36</v>
      </c>
      <c r="E908" s="44" t="s">
        <v>36</v>
      </c>
      <c r="F908" s="44" t="s">
        <v>60</v>
      </c>
      <c r="G908" s="44">
        <v>35232</v>
      </c>
      <c r="H908" s="49">
        <v>0.47</v>
      </c>
      <c r="I908" s="49">
        <v>0.84</v>
      </c>
      <c r="J908" s="44">
        <v>15</v>
      </c>
      <c r="K908" s="48">
        <v>2112.39</v>
      </c>
      <c r="L908" s="48">
        <v>-2686.52</v>
      </c>
      <c r="M908" s="44">
        <v>0</v>
      </c>
    </row>
    <row r="909" spans="1:13" ht="15" customHeight="1" x14ac:dyDescent="0.3">
      <c r="A909" s="38" t="s">
        <v>1894</v>
      </c>
      <c r="B909" s="40">
        <v>19792</v>
      </c>
      <c r="C909" s="41">
        <v>0.23699999999999999</v>
      </c>
      <c r="D909" s="38">
        <v>36</v>
      </c>
      <c r="E909" s="38" t="s">
        <v>35</v>
      </c>
      <c r="F909" s="38" t="s">
        <v>60</v>
      </c>
      <c r="G909" s="38">
        <v>137524</v>
      </c>
      <c r="H909" s="43">
        <v>0.16</v>
      </c>
      <c r="I909" s="43">
        <v>0.93</v>
      </c>
      <c r="J909" s="38">
        <v>15</v>
      </c>
      <c r="K909" s="42">
        <v>14072.111999999999</v>
      </c>
      <c r="L909" s="42">
        <v>4690.7</v>
      </c>
      <c r="M909" s="38">
        <v>0</v>
      </c>
    </row>
    <row r="910" spans="1:13" ht="15" customHeight="1" x14ac:dyDescent="0.3">
      <c r="A910" s="38" t="s">
        <v>1896</v>
      </c>
      <c r="B910" s="40">
        <v>16422</v>
      </c>
      <c r="C910" s="41">
        <v>0.216</v>
      </c>
      <c r="D910" s="38">
        <v>36</v>
      </c>
      <c r="E910" s="38" t="s">
        <v>35</v>
      </c>
      <c r="F910" s="38" t="s">
        <v>257</v>
      </c>
      <c r="G910" s="38">
        <v>54000</v>
      </c>
      <c r="H910" s="43">
        <v>0.45</v>
      </c>
      <c r="I910" s="43">
        <v>0.71</v>
      </c>
      <c r="J910" s="38">
        <v>14.9</v>
      </c>
      <c r="K910" s="42">
        <v>10641.456</v>
      </c>
      <c r="L910" s="42">
        <v>3547.15</v>
      </c>
      <c r="M910" s="38">
        <v>0</v>
      </c>
    </row>
    <row r="911" spans="1:13" ht="15" customHeight="1" x14ac:dyDescent="0.3">
      <c r="A911" s="38" t="s">
        <v>1898</v>
      </c>
      <c r="B911" s="40">
        <v>38957</v>
      </c>
      <c r="C911" s="41">
        <v>0.08</v>
      </c>
      <c r="D911" s="38">
        <v>60</v>
      </c>
      <c r="E911" s="38" t="s">
        <v>35</v>
      </c>
      <c r="F911" s="38" t="s">
        <v>83</v>
      </c>
      <c r="G911" s="38">
        <v>30307</v>
      </c>
      <c r="H911" s="43">
        <v>0.34</v>
      </c>
      <c r="I911" s="43">
        <v>0.92</v>
      </c>
      <c r="J911" s="38">
        <v>14.9</v>
      </c>
      <c r="K911" s="42">
        <v>15582.8</v>
      </c>
      <c r="L911" s="42">
        <v>3116.56</v>
      </c>
      <c r="M911" s="38">
        <v>0</v>
      </c>
    </row>
    <row r="912" spans="1:13" ht="15" customHeight="1" x14ac:dyDescent="0.3">
      <c r="A912" s="44" t="s">
        <v>1900</v>
      </c>
      <c r="B912" s="46">
        <v>31682</v>
      </c>
      <c r="C912" s="47">
        <v>7.2999999999999995E-2</v>
      </c>
      <c r="D912" s="44">
        <v>36</v>
      </c>
      <c r="E912" s="44" t="s">
        <v>36</v>
      </c>
      <c r="F912" s="44" t="s">
        <v>80</v>
      </c>
      <c r="G912" s="44">
        <v>49738</v>
      </c>
      <c r="H912" s="49">
        <v>0.16</v>
      </c>
      <c r="I912" s="49">
        <v>0.51</v>
      </c>
      <c r="J912" s="44">
        <v>14.9</v>
      </c>
      <c r="K912" s="48">
        <v>6938.3579999999902</v>
      </c>
      <c r="L912" s="48">
        <v>-20444.810000000001</v>
      </c>
      <c r="M912" s="44">
        <v>0</v>
      </c>
    </row>
    <row r="913" spans="1:13" ht="15" customHeight="1" x14ac:dyDescent="0.3">
      <c r="A913" s="56" t="s">
        <v>1902</v>
      </c>
      <c r="B913" s="58">
        <v>19073</v>
      </c>
      <c r="C913" s="59">
        <v>0.23599999999999999</v>
      </c>
      <c r="D913" s="56">
        <v>36</v>
      </c>
      <c r="E913" s="56" t="s">
        <v>37</v>
      </c>
      <c r="F913" s="56" t="s">
        <v>80</v>
      </c>
      <c r="G913" s="56">
        <v>79422</v>
      </c>
      <c r="H913" s="61">
        <v>0.23</v>
      </c>
      <c r="I913" s="61">
        <v>0.93</v>
      </c>
      <c r="J913" s="56">
        <v>14.8</v>
      </c>
      <c r="K913" s="60">
        <v>13503.683999999999</v>
      </c>
      <c r="L913" s="60">
        <v>-12924.69</v>
      </c>
      <c r="M913" s="56">
        <v>1</v>
      </c>
    </row>
    <row r="914" spans="1:13" ht="15" customHeight="1" x14ac:dyDescent="0.3">
      <c r="A914" s="38" t="s">
        <v>1904</v>
      </c>
      <c r="B914" s="40">
        <v>17335</v>
      </c>
      <c r="C914" s="41">
        <v>7.3999999999999996E-2</v>
      </c>
      <c r="D914" s="38">
        <v>36</v>
      </c>
      <c r="E914" s="38" t="s">
        <v>35</v>
      </c>
      <c r="F914" s="38" t="s">
        <v>60</v>
      </c>
      <c r="G914" s="38">
        <v>140684</v>
      </c>
      <c r="H914" s="43">
        <v>0.43</v>
      </c>
      <c r="I914" s="43">
        <v>0.88</v>
      </c>
      <c r="J914" s="38">
        <v>14.8</v>
      </c>
      <c r="K914" s="42">
        <v>3848.37</v>
      </c>
      <c r="L914" s="42">
        <v>1282.79</v>
      </c>
      <c r="M914" s="38">
        <v>0</v>
      </c>
    </row>
    <row r="915" spans="1:13" ht="15" customHeight="1" x14ac:dyDescent="0.3">
      <c r="A915" s="56" t="s">
        <v>1906</v>
      </c>
      <c r="B915" s="58">
        <v>9783</v>
      </c>
      <c r="C915" s="59">
        <v>0.20200000000000001</v>
      </c>
      <c r="D915" s="56">
        <v>36</v>
      </c>
      <c r="E915" s="56" t="s">
        <v>37</v>
      </c>
      <c r="F915" s="56" t="s">
        <v>80</v>
      </c>
      <c r="G915" s="56">
        <v>59768</v>
      </c>
      <c r="H915" s="61">
        <v>0.41</v>
      </c>
      <c r="I915" s="61">
        <v>0.86</v>
      </c>
      <c r="J915" s="56">
        <v>14.8</v>
      </c>
      <c r="K915" s="60">
        <v>5928.4979999999996</v>
      </c>
      <c r="L915" s="60">
        <v>-5916.1</v>
      </c>
      <c r="M915" s="56">
        <v>1</v>
      </c>
    </row>
    <row r="916" spans="1:13" ht="15" customHeight="1" x14ac:dyDescent="0.3">
      <c r="A916" s="38" t="s">
        <v>1908</v>
      </c>
      <c r="B916" s="40">
        <v>14828</v>
      </c>
      <c r="C916" s="41">
        <v>0.20200000000000001</v>
      </c>
      <c r="D916" s="38">
        <v>36</v>
      </c>
      <c r="E916" s="38" t="s">
        <v>35</v>
      </c>
      <c r="F916" s="38" t="s">
        <v>60</v>
      </c>
      <c r="G916" s="38">
        <v>86561</v>
      </c>
      <c r="H916" s="43">
        <v>0.47</v>
      </c>
      <c r="I916" s="43">
        <v>0.69</v>
      </c>
      <c r="J916" s="38">
        <v>14.8</v>
      </c>
      <c r="K916" s="42">
        <v>8985.768</v>
      </c>
      <c r="L916" s="42">
        <v>2995.26</v>
      </c>
      <c r="M916" s="38">
        <v>0</v>
      </c>
    </row>
    <row r="917" spans="1:13" ht="15" customHeight="1" x14ac:dyDescent="0.3">
      <c r="A917" s="50" t="s">
        <v>1910</v>
      </c>
      <c r="B917" s="52">
        <v>33196</v>
      </c>
      <c r="C917" s="53">
        <v>0.249</v>
      </c>
      <c r="D917" s="50">
        <v>36</v>
      </c>
      <c r="E917" s="50" t="s">
        <v>38</v>
      </c>
      <c r="F917" s="50" t="s">
        <v>83</v>
      </c>
      <c r="G917" s="50">
        <v>148193</v>
      </c>
      <c r="H917" s="55">
        <v>0.14000000000000001</v>
      </c>
      <c r="I917" s="55">
        <v>0.5</v>
      </c>
      <c r="J917" s="50">
        <v>14.8</v>
      </c>
      <c r="K917" s="54">
        <v>24797.412</v>
      </c>
      <c r="L917" s="54">
        <v>-33196</v>
      </c>
      <c r="M917" s="50">
        <v>1</v>
      </c>
    </row>
    <row r="918" spans="1:13" ht="15" customHeight="1" x14ac:dyDescent="0.3">
      <c r="A918" s="44" t="s">
        <v>1912</v>
      </c>
      <c r="B918" s="46">
        <v>29535</v>
      </c>
      <c r="C918" s="47">
        <v>0.20200000000000001</v>
      </c>
      <c r="D918" s="44">
        <v>36</v>
      </c>
      <c r="E918" s="44" t="s">
        <v>36</v>
      </c>
      <c r="F918" s="44" t="s">
        <v>80</v>
      </c>
      <c r="G918" s="44">
        <v>94551</v>
      </c>
      <c r="H918" s="49">
        <v>0.22</v>
      </c>
      <c r="I918" s="49">
        <v>0.53</v>
      </c>
      <c r="J918" s="44">
        <v>14.7</v>
      </c>
      <c r="K918" s="48">
        <v>17898.21</v>
      </c>
      <c r="L918" s="48">
        <v>-22515.27</v>
      </c>
      <c r="M918" s="44">
        <v>0</v>
      </c>
    </row>
    <row r="919" spans="1:13" ht="15" customHeight="1" x14ac:dyDescent="0.3">
      <c r="A919" s="44" t="s">
        <v>1914</v>
      </c>
      <c r="B919" s="46">
        <v>37124</v>
      </c>
      <c r="C919" s="47">
        <v>0.123</v>
      </c>
      <c r="D919" s="44">
        <v>36</v>
      </c>
      <c r="E919" s="44" t="s">
        <v>36</v>
      </c>
      <c r="F919" s="44" t="s">
        <v>71</v>
      </c>
      <c r="G919" s="44">
        <v>30570</v>
      </c>
      <c r="H919" s="49">
        <v>0.23</v>
      </c>
      <c r="I919" s="49">
        <v>0.8</v>
      </c>
      <c r="J919" s="44">
        <v>14.7</v>
      </c>
      <c r="K919" s="48">
        <v>13698.755999999999</v>
      </c>
      <c r="L919" s="48">
        <v>-31692.639999999999</v>
      </c>
      <c r="M919" s="44">
        <v>0</v>
      </c>
    </row>
    <row r="920" spans="1:13" ht="15" customHeight="1" x14ac:dyDescent="0.3">
      <c r="A920" s="56" t="s">
        <v>1916</v>
      </c>
      <c r="B920" s="58">
        <v>38174</v>
      </c>
      <c r="C920" s="59">
        <v>0.185</v>
      </c>
      <c r="D920" s="56">
        <v>36</v>
      </c>
      <c r="E920" s="56" t="s">
        <v>37</v>
      </c>
      <c r="F920" s="56" t="s">
        <v>60</v>
      </c>
      <c r="G920" s="56">
        <v>91899</v>
      </c>
      <c r="H920" s="61">
        <v>0.24</v>
      </c>
      <c r="I920" s="61">
        <v>0.86</v>
      </c>
      <c r="J920" s="56">
        <v>14.7</v>
      </c>
      <c r="K920" s="60">
        <v>21186.57</v>
      </c>
      <c r="L920" s="60">
        <v>-27055.68</v>
      </c>
      <c r="M920" s="56">
        <v>1</v>
      </c>
    </row>
    <row r="921" spans="1:13" ht="15" customHeight="1" x14ac:dyDescent="0.3">
      <c r="A921" s="50" t="s">
        <v>1918</v>
      </c>
      <c r="B921" s="52">
        <v>9245</v>
      </c>
      <c r="C921" s="53">
        <v>0.19</v>
      </c>
      <c r="D921" s="50">
        <v>60</v>
      </c>
      <c r="E921" s="50" t="s">
        <v>38</v>
      </c>
      <c r="F921" s="50" t="s">
        <v>60</v>
      </c>
      <c r="G921" s="50">
        <v>96629</v>
      </c>
      <c r="H921" s="55">
        <v>0.15</v>
      </c>
      <c r="I921" s="55">
        <v>0.82</v>
      </c>
      <c r="J921" s="50">
        <v>14.7</v>
      </c>
      <c r="K921" s="54">
        <v>8782.75</v>
      </c>
      <c r="L921" s="54">
        <v>-9245</v>
      </c>
      <c r="M921" s="50">
        <v>1</v>
      </c>
    </row>
    <row r="922" spans="1:13" ht="15" customHeight="1" x14ac:dyDescent="0.3">
      <c r="A922" s="44" t="s">
        <v>1920</v>
      </c>
      <c r="B922" s="46">
        <v>21939</v>
      </c>
      <c r="C922" s="47">
        <v>5.6000000000000001E-2</v>
      </c>
      <c r="D922" s="44">
        <v>36</v>
      </c>
      <c r="E922" s="44" t="s">
        <v>36</v>
      </c>
      <c r="F922" s="44" t="s">
        <v>60</v>
      </c>
      <c r="G922" s="44">
        <v>39486</v>
      </c>
      <c r="H922" s="49">
        <v>0.28999999999999998</v>
      </c>
      <c r="I922" s="49">
        <v>0.56000000000000005</v>
      </c>
      <c r="J922" s="44">
        <v>14.6</v>
      </c>
      <c r="K922" s="48">
        <v>3685.752</v>
      </c>
      <c r="L922" s="48">
        <v>-18341.87</v>
      </c>
      <c r="M922" s="44">
        <v>0</v>
      </c>
    </row>
    <row r="923" spans="1:13" ht="15" customHeight="1" x14ac:dyDescent="0.3">
      <c r="A923" s="38" t="s">
        <v>1922</v>
      </c>
      <c r="B923" s="40">
        <v>35375</v>
      </c>
      <c r="C923" s="41">
        <v>0.20200000000000001</v>
      </c>
      <c r="D923" s="38">
        <v>60</v>
      </c>
      <c r="E923" s="38" t="s">
        <v>35</v>
      </c>
      <c r="F923" s="38" t="s">
        <v>83</v>
      </c>
      <c r="G923" s="38">
        <v>98226</v>
      </c>
      <c r="H923" s="43">
        <v>0.33</v>
      </c>
      <c r="I923" s="43">
        <v>0.69</v>
      </c>
      <c r="J923" s="38">
        <v>14.6</v>
      </c>
      <c r="K923" s="42">
        <v>35728.75</v>
      </c>
      <c r="L923" s="42">
        <v>7145.75</v>
      </c>
      <c r="M923" s="38">
        <v>0</v>
      </c>
    </row>
    <row r="924" spans="1:13" ht="15" customHeight="1" x14ac:dyDescent="0.3">
      <c r="A924" s="38" t="s">
        <v>1924</v>
      </c>
      <c r="B924" s="40">
        <v>37332</v>
      </c>
      <c r="C924" s="41">
        <v>9.0999999999999998E-2</v>
      </c>
      <c r="D924" s="38">
        <v>36</v>
      </c>
      <c r="E924" s="38" t="s">
        <v>35</v>
      </c>
      <c r="F924" s="38" t="s">
        <v>83</v>
      </c>
      <c r="G924" s="38">
        <v>46544</v>
      </c>
      <c r="H924" s="43">
        <v>0.24</v>
      </c>
      <c r="I924" s="43">
        <v>0.86</v>
      </c>
      <c r="J924" s="38">
        <v>14.6</v>
      </c>
      <c r="K924" s="42">
        <v>10191.636</v>
      </c>
      <c r="L924" s="42">
        <v>3397.21</v>
      </c>
      <c r="M924" s="38">
        <v>0</v>
      </c>
    </row>
    <row r="925" spans="1:13" ht="15" customHeight="1" x14ac:dyDescent="0.3">
      <c r="A925" s="44" t="s">
        <v>1926</v>
      </c>
      <c r="B925" s="46">
        <v>35020</v>
      </c>
      <c r="C925" s="47">
        <v>0.125</v>
      </c>
      <c r="D925" s="44">
        <v>60</v>
      </c>
      <c r="E925" s="44" t="s">
        <v>36</v>
      </c>
      <c r="F925" s="44" t="s">
        <v>71</v>
      </c>
      <c r="G925" s="44">
        <v>94925</v>
      </c>
      <c r="H925" s="49">
        <v>0.25</v>
      </c>
      <c r="I925" s="49">
        <v>0.59</v>
      </c>
      <c r="J925" s="44">
        <v>14.6</v>
      </c>
      <c r="K925" s="48">
        <v>21887.5</v>
      </c>
      <c r="L925" s="48">
        <v>-23436.240000000002</v>
      </c>
      <c r="M925" s="44">
        <v>0</v>
      </c>
    </row>
    <row r="926" spans="1:13" ht="15" customHeight="1" x14ac:dyDescent="0.3">
      <c r="A926" s="38" t="s">
        <v>1928</v>
      </c>
      <c r="B926" s="40">
        <v>16896</v>
      </c>
      <c r="C926" s="41">
        <v>0.104</v>
      </c>
      <c r="D926" s="38">
        <v>36</v>
      </c>
      <c r="E926" s="38" t="s">
        <v>35</v>
      </c>
      <c r="F926" s="38" t="s">
        <v>83</v>
      </c>
      <c r="G926" s="38">
        <v>131158</v>
      </c>
      <c r="H926" s="43">
        <v>0.32</v>
      </c>
      <c r="I926" s="43">
        <v>0.63</v>
      </c>
      <c r="J926" s="38">
        <v>14.6</v>
      </c>
      <c r="K926" s="42">
        <v>5271.5519999999997</v>
      </c>
      <c r="L926" s="42">
        <v>1757.18</v>
      </c>
      <c r="M926" s="38">
        <v>0</v>
      </c>
    </row>
    <row r="927" spans="1:13" ht="15" customHeight="1" x14ac:dyDescent="0.3">
      <c r="A927" s="38" t="s">
        <v>1930</v>
      </c>
      <c r="B927" s="40">
        <v>18275</v>
      </c>
      <c r="C927" s="41">
        <v>9.5000000000000001E-2</v>
      </c>
      <c r="D927" s="38">
        <v>36</v>
      </c>
      <c r="E927" s="38" t="s">
        <v>35</v>
      </c>
      <c r="F927" s="38" t="s">
        <v>114</v>
      </c>
      <c r="G927" s="38">
        <v>129023</v>
      </c>
      <c r="H927" s="43">
        <v>0.15</v>
      </c>
      <c r="I927" s="43">
        <v>0.74</v>
      </c>
      <c r="J927" s="38">
        <v>14.5</v>
      </c>
      <c r="K927" s="42">
        <v>5208.375</v>
      </c>
      <c r="L927" s="42">
        <v>1736.12</v>
      </c>
      <c r="M927" s="38">
        <v>0</v>
      </c>
    </row>
    <row r="928" spans="1:13" ht="15" customHeight="1" x14ac:dyDescent="0.3">
      <c r="A928" s="56" t="s">
        <v>1932</v>
      </c>
      <c r="B928" s="58">
        <v>39001</v>
      </c>
      <c r="C928" s="59">
        <v>0.20399999999999999</v>
      </c>
      <c r="D928" s="56">
        <v>36</v>
      </c>
      <c r="E928" s="56" t="s">
        <v>37</v>
      </c>
      <c r="F928" s="56" t="s">
        <v>60</v>
      </c>
      <c r="G928" s="56">
        <v>53386</v>
      </c>
      <c r="H928" s="61">
        <v>0.41</v>
      </c>
      <c r="I928" s="61">
        <v>0.67</v>
      </c>
      <c r="J928" s="56">
        <v>14.5</v>
      </c>
      <c r="K928" s="60">
        <v>23868.612000000001</v>
      </c>
      <c r="L928" s="60">
        <v>-23843.9</v>
      </c>
      <c r="M928" s="56">
        <v>1</v>
      </c>
    </row>
    <row r="929" spans="1:13" ht="15" customHeight="1" x14ac:dyDescent="0.3">
      <c r="A929" s="38" t="s">
        <v>1934</v>
      </c>
      <c r="B929" s="40">
        <v>6249</v>
      </c>
      <c r="C929" s="41">
        <v>0.214</v>
      </c>
      <c r="D929" s="38">
        <v>60</v>
      </c>
      <c r="E929" s="38" t="s">
        <v>35</v>
      </c>
      <c r="F929" s="38" t="s">
        <v>80</v>
      </c>
      <c r="G929" s="38">
        <v>125927</v>
      </c>
      <c r="H929" s="43">
        <v>0.22</v>
      </c>
      <c r="I929" s="43">
        <v>0.84</v>
      </c>
      <c r="J929" s="38">
        <v>14.5</v>
      </c>
      <c r="K929" s="42">
        <v>6686.43</v>
      </c>
      <c r="L929" s="42">
        <v>1337.29</v>
      </c>
      <c r="M929" s="38">
        <v>0</v>
      </c>
    </row>
    <row r="930" spans="1:13" ht="15" customHeight="1" x14ac:dyDescent="0.3">
      <c r="A930" s="38" t="s">
        <v>1936</v>
      </c>
      <c r="B930" s="40">
        <v>10374</v>
      </c>
      <c r="C930" s="41">
        <v>0.21299999999999999</v>
      </c>
      <c r="D930" s="38">
        <v>36</v>
      </c>
      <c r="E930" s="38" t="s">
        <v>35</v>
      </c>
      <c r="F930" s="38" t="s">
        <v>66</v>
      </c>
      <c r="G930" s="38">
        <v>114811</v>
      </c>
      <c r="H930" s="43">
        <v>0.39</v>
      </c>
      <c r="I930" s="43">
        <v>0.86</v>
      </c>
      <c r="J930" s="38">
        <v>14.5</v>
      </c>
      <c r="K930" s="42">
        <v>6628.9859999999999</v>
      </c>
      <c r="L930" s="42">
        <v>2209.66</v>
      </c>
      <c r="M930" s="38">
        <v>0</v>
      </c>
    </row>
    <row r="931" spans="1:13" ht="15" customHeight="1" x14ac:dyDescent="0.3">
      <c r="A931" s="38" t="s">
        <v>1938</v>
      </c>
      <c r="B931" s="40">
        <v>7154</v>
      </c>
      <c r="C931" s="41">
        <v>6.5000000000000002E-2</v>
      </c>
      <c r="D931" s="38">
        <v>36</v>
      </c>
      <c r="E931" s="38" t="s">
        <v>35</v>
      </c>
      <c r="F931" s="38" t="s">
        <v>80</v>
      </c>
      <c r="G931" s="38">
        <v>119132</v>
      </c>
      <c r="H931" s="43">
        <v>0.49</v>
      </c>
      <c r="I931" s="43">
        <v>0.8</v>
      </c>
      <c r="J931" s="38">
        <v>14.5</v>
      </c>
      <c r="K931" s="42">
        <v>1395.03</v>
      </c>
      <c r="L931" s="42">
        <v>465.01</v>
      </c>
      <c r="M931" s="38">
        <v>0</v>
      </c>
    </row>
    <row r="932" spans="1:13" ht="15" customHeight="1" x14ac:dyDescent="0.3">
      <c r="A932" s="44" t="s">
        <v>1940</v>
      </c>
      <c r="B932" s="46">
        <v>35888</v>
      </c>
      <c r="C932" s="47">
        <v>0.14499999999999999</v>
      </c>
      <c r="D932" s="44">
        <v>60</v>
      </c>
      <c r="E932" s="44" t="s">
        <v>36</v>
      </c>
      <c r="F932" s="44" t="s">
        <v>83</v>
      </c>
      <c r="G932" s="44">
        <v>52335</v>
      </c>
      <c r="H932" s="49">
        <v>0.19</v>
      </c>
      <c r="I932" s="49">
        <v>0.92</v>
      </c>
      <c r="J932" s="44">
        <v>14.4</v>
      </c>
      <c r="K932" s="48">
        <v>26018.799999999999</v>
      </c>
      <c r="L932" s="48">
        <v>-26131.279999999999</v>
      </c>
      <c r="M932" s="44">
        <v>0</v>
      </c>
    </row>
    <row r="933" spans="1:13" ht="15" customHeight="1" x14ac:dyDescent="0.3">
      <c r="A933" s="44" t="s">
        <v>1942</v>
      </c>
      <c r="B933" s="46">
        <v>21172</v>
      </c>
      <c r="C933" s="47">
        <v>0.113</v>
      </c>
      <c r="D933" s="44">
        <v>36</v>
      </c>
      <c r="E933" s="44" t="s">
        <v>36</v>
      </c>
      <c r="F933" s="44" t="s">
        <v>60</v>
      </c>
      <c r="G933" s="44">
        <v>69350</v>
      </c>
      <c r="H933" s="49">
        <v>0.47</v>
      </c>
      <c r="I933" s="49">
        <v>0.56000000000000005</v>
      </c>
      <c r="J933" s="44">
        <v>14.4</v>
      </c>
      <c r="K933" s="48">
        <v>7177.308</v>
      </c>
      <c r="L933" s="48">
        <v>-16321.94</v>
      </c>
      <c r="M933" s="44">
        <v>0</v>
      </c>
    </row>
    <row r="934" spans="1:13" ht="15" customHeight="1" x14ac:dyDescent="0.3">
      <c r="A934" s="44" t="s">
        <v>1944</v>
      </c>
      <c r="B934" s="46">
        <v>31784</v>
      </c>
      <c r="C934" s="47">
        <v>0.219</v>
      </c>
      <c r="D934" s="44">
        <v>36</v>
      </c>
      <c r="E934" s="44" t="s">
        <v>36</v>
      </c>
      <c r="F934" s="44" t="s">
        <v>83</v>
      </c>
      <c r="G934" s="44">
        <v>118020</v>
      </c>
      <c r="H934" s="49">
        <v>0.44</v>
      </c>
      <c r="I934" s="49">
        <v>0.69</v>
      </c>
      <c r="J934" s="44">
        <v>14.4</v>
      </c>
      <c r="K934" s="48">
        <v>20882.088</v>
      </c>
      <c r="L934" s="48">
        <v>-29661.97</v>
      </c>
      <c r="M934" s="44">
        <v>0</v>
      </c>
    </row>
    <row r="935" spans="1:13" ht="15" customHeight="1" x14ac:dyDescent="0.3">
      <c r="A935" s="44" t="s">
        <v>1946</v>
      </c>
      <c r="B935" s="46">
        <v>37875</v>
      </c>
      <c r="C935" s="47">
        <v>0.23899999999999999</v>
      </c>
      <c r="D935" s="44">
        <v>36</v>
      </c>
      <c r="E935" s="44" t="s">
        <v>36</v>
      </c>
      <c r="F935" s="44" t="s">
        <v>114</v>
      </c>
      <c r="G935" s="44">
        <v>48782</v>
      </c>
      <c r="H935" s="49">
        <v>0.33</v>
      </c>
      <c r="I935" s="49">
        <v>0.94</v>
      </c>
      <c r="J935" s="44">
        <v>14.3</v>
      </c>
      <c r="K935" s="48">
        <v>27156.375</v>
      </c>
      <c r="L935" s="48">
        <v>-28155.46</v>
      </c>
      <c r="M935" s="44">
        <v>0</v>
      </c>
    </row>
    <row r="936" spans="1:13" ht="15" customHeight="1" x14ac:dyDescent="0.3">
      <c r="A936" s="38" t="s">
        <v>1948</v>
      </c>
      <c r="B936" s="40">
        <v>26658</v>
      </c>
      <c r="C936" s="41">
        <v>0.24099999999999999</v>
      </c>
      <c r="D936" s="38">
        <v>36</v>
      </c>
      <c r="E936" s="38" t="s">
        <v>35</v>
      </c>
      <c r="F936" s="38" t="s">
        <v>60</v>
      </c>
      <c r="G936" s="38">
        <v>46351</v>
      </c>
      <c r="H936" s="43">
        <v>0.31</v>
      </c>
      <c r="I936" s="43">
        <v>0.75</v>
      </c>
      <c r="J936" s="38">
        <v>14.3</v>
      </c>
      <c r="K936" s="42">
        <v>19273.734</v>
      </c>
      <c r="L936" s="42">
        <v>6424.58</v>
      </c>
      <c r="M936" s="38">
        <v>0</v>
      </c>
    </row>
    <row r="937" spans="1:13" ht="15" customHeight="1" x14ac:dyDescent="0.3">
      <c r="A937" s="38" t="s">
        <v>1950</v>
      </c>
      <c r="B937" s="40">
        <v>2524</v>
      </c>
      <c r="C937" s="41">
        <v>7.4999999999999997E-2</v>
      </c>
      <c r="D937" s="38">
        <v>60</v>
      </c>
      <c r="E937" s="38" t="s">
        <v>35</v>
      </c>
      <c r="F937" s="38" t="s">
        <v>83</v>
      </c>
      <c r="G937" s="38">
        <v>103933</v>
      </c>
      <c r="H937" s="43">
        <v>0.16</v>
      </c>
      <c r="I937" s="43">
        <v>0.75</v>
      </c>
      <c r="J937" s="38">
        <v>14.3</v>
      </c>
      <c r="K937" s="42">
        <v>946.5</v>
      </c>
      <c r="L937" s="42">
        <v>189.3</v>
      </c>
      <c r="M937" s="38">
        <v>0</v>
      </c>
    </row>
    <row r="938" spans="1:13" ht="15" customHeight="1" x14ac:dyDescent="0.3">
      <c r="A938" s="44" t="s">
        <v>1952</v>
      </c>
      <c r="B938" s="46">
        <v>23612</v>
      </c>
      <c r="C938" s="47">
        <v>9.7000000000000003E-2</v>
      </c>
      <c r="D938" s="44">
        <v>36</v>
      </c>
      <c r="E938" s="44" t="s">
        <v>36</v>
      </c>
      <c r="F938" s="44" t="s">
        <v>66</v>
      </c>
      <c r="G938" s="44">
        <v>123185</v>
      </c>
      <c r="H938" s="49">
        <v>0.28000000000000003</v>
      </c>
      <c r="I938" s="49">
        <v>0.82</v>
      </c>
      <c r="J938" s="44">
        <v>14.3</v>
      </c>
      <c r="K938" s="48">
        <v>6871.0919999999996</v>
      </c>
      <c r="L938" s="48">
        <v>-11832.42</v>
      </c>
      <c r="M938" s="44">
        <v>0</v>
      </c>
    </row>
    <row r="939" spans="1:13" ht="15" customHeight="1" x14ac:dyDescent="0.3">
      <c r="A939" s="44" t="s">
        <v>1954</v>
      </c>
      <c r="B939" s="46">
        <v>22592</v>
      </c>
      <c r="C939" s="47">
        <v>7.0999999999999994E-2</v>
      </c>
      <c r="D939" s="44">
        <v>60</v>
      </c>
      <c r="E939" s="44" t="s">
        <v>36</v>
      </c>
      <c r="F939" s="44" t="s">
        <v>71</v>
      </c>
      <c r="G939" s="44">
        <v>41669</v>
      </c>
      <c r="H939" s="49">
        <v>0.48</v>
      </c>
      <c r="I939" s="49">
        <v>0.73</v>
      </c>
      <c r="J939" s="44">
        <v>14.2</v>
      </c>
      <c r="K939" s="48">
        <v>8020.16</v>
      </c>
      <c r="L939" s="48">
        <v>-12514.63</v>
      </c>
      <c r="M939" s="44">
        <v>0</v>
      </c>
    </row>
    <row r="940" spans="1:13" ht="15" customHeight="1" x14ac:dyDescent="0.3">
      <c r="A940" s="44" t="s">
        <v>1956</v>
      </c>
      <c r="B940" s="46">
        <v>9007</v>
      </c>
      <c r="C940" s="47">
        <v>0.22500000000000001</v>
      </c>
      <c r="D940" s="44">
        <v>36</v>
      </c>
      <c r="E940" s="44" t="s">
        <v>36</v>
      </c>
      <c r="F940" s="44" t="s">
        <v>80</v>
      </c>
      <c r="G940" s="44">
        <v>123583</v>
      </c>
      <c r="H940" s="49">
        <v>0.27</v>
      </c>
      <c r="I940" s="49">
        <v>0.54</v>
      </c>
      <c r="J940" s="44">
        <v>14.2</v>
      </c>
      <c r="K940" s="48">
        <v>6079.7250000000004</v>
      </c>
      <c r="L940" s="48">
        <v>-6023.75</v>
      </c>
      <c r="M940" s="44">
        <v>0</v>
      </c>
    </row>
    <row r="941" spans="1:13" ht="15" customHeight="1" x14ac:dyDescent="0.3">
      <c r="A941" s="44" t="s">
        <v>1958</v>
      </c>
      <c r="B941" s="46">
        <v>22927</v>
      </c>
      <c r="C941" s="47">
        <v>0.16500000000000001</v>
      </c>
      <c r="D941" s="44">
        <v>60</v>
      </c>
      <c r="E941" s="44" t="s">
        <v>36</v>
      </c>
      <c r="F941" s="44" t="s">
        <v>80</v>
      </c>
      <c r="G941" s="44">
        <v>146841</v>
      </c>
      <c r="H941" s="49">
        <v>0.11</v>
      </c>
      <c r="I941" s="49">
        <v>0.53</v>
      </c>
      <c r="J941" s="44">
        <v>14.2</v>
      </c>
      <c r="K941" s="48">
        <v>18914.775000000001</v>
      </c>
      <c r="L941" s="48">
        <v>-16076.9</v>
      </c>
      <c r="M941" s="44">
        <v>0</v>
      </c>
    </row>
    <row r="942" spans="1:13" ht="15" customHeight="1" x14ac:dyDescent="0.3">
      <c r="A942" s="38" t="s">
        <v>1960</v>
      </c>
      <c r="B942" s="40">
        <v>13040</v>
      </c>
      <c r="C942" s="41">
        <v>0.185</v>
      </c>
      <c r="D942" s="38">
        <v>36</v>
      </c>
      <c r="E942" s="38" t="s">
        <v>35</v>
      </c>
      <c r="F942" s="38" t="s">
        <v>66</v>
      </c>
      <c r="G942" s="38">
        <v>112806</v>
      </c>
      <c r="H942" s="43">
        <v>0.15</v>
      </c>
      <c r="I942" s="43">
        <v>0.73</v>
      </c>
      <c r="J942" s="38">
        <v>14.1</v>
      </c>
      <c r="K942" s="42">
        <v>7237.2</v>
      </c>
      <c r="L942" s="42">
        <v>2412.4</v>
      </c>
      <c r="M942" s="38">
        <v>0</v>
      </c>
    </row>
    <row r="943" spans="1:13" ht="15" customHeight="1" x14ac:dyDescent="0.3">
      <c r="A943" s="44" t="s">
        <v>1962</v>
      </c>
      <c r="B943" s="46">
        <v>34297</v>
      </c>
      <c r="C943" s="47">
        <v>9.8000000000000004E-2</v>
      </c>
      <c r="D943" s="44">
        <v>36</v>
      </c>
      <c r="E943" s="44" t="s">
        <v>36</v>
      </c>
      <c r="F943" s="44" t="s">
        <v>71</v>
      </c>
      <c r="G943" s="44">
        <v>89287</v>
      </c>
      <c r="H943" s="49">
        <v>0.33</v>
      </c>
      <c r="I943" s="49">
        <v>0.53</v>
      </c>
      <c r="J943" s="44">
        <v>14.1</v>
      </c>
      <c r="K943" s="48">
        <v>10083.317999999999</v>
      </c>
      <c r="L943" s="48">
        <v>-18567.86</v>
      </c>
      <c r="M943" s="44">
        <v>0</v>
      </c>
    </row>
    <row r="944" spans="1:13" ht="15" customHeight="1" x14ac:dyDescent="0.3">
      <c r="A944" s="50" t="s">
        <v>1964</v>
      </c>
      <c r="B944" s="52">
        <v>24291</v>
      </c>
      <c r="C944" s="53">
        <v>0.19800000000000001</v>
      </c>
      <c r="D944" s="50">
        <v>36</v>
      </c>
      <c r="E944" s="50" t="s">
        <v>38</v>
      </c>
      <c r="F944" s="50" t="s">
        <v>83</v>
      </c>
      <c r="G944" s="50">
        <v>128614</v>
      </c>
      <c r="H944" s="55">
        <v>0.11</v>
      </c>
      <c r="I944" s="55">
        <v>0.72</v>
      </c>
      <c r="J944" s="50">
        <v>14.1</v>
      </c>
      <c r="K944" s="54">
        <v>14428.853999999999</v>
      </c>
      <c r="L944" s="54">
        <v>-24291</v>
      </c>
      <c r="M944" s="50">
        <v>1</v>
      </c>
    </row>
    <row r="945" spans="1:13" ht="15" customHeight="1" x14ac:dyDescent="0.3">
      <c r="A945" s="38" t="s">
        <v>1966</v>
      </c>
      <c r="B945" s="40">
        <v>34662</v>
      </c>
      <c r="C945" s="41">
        <v>0.215</v>
      </c>
      <c r="D945" s="38">
        <v>36</v>
      </c>
      <c r="E945" s="38" t="s">
        <v>35</v>
      </c>
      <c r="F945" s="38" t="s">
        <v>60</v>
      </c>
      <c r="G945" s="38">
        <v>127183</v>
      </c>
      <c r="H945" s="43">
        <v>0.17</v>
      </c>
      <c r="I945" s="43">
        <v>0.82</v>
      </c>
      <c r="J945" s="38">
        <v>14.1</v>
      </c>
      <c r="K945" s="42">
        <v>22356.99</v>
      </c>
      <c r="L945" s="42">
        <v>7452.33</v>
      </c>
      <c r="M945" s="38">
        <v>0</v>
      </c>
    </row>
    <row r="946" spans="1:13" ht="15" customHeight="1" x14ac:dyDescent="0.3">
      <c r="A946" s="38" t="s">
        <v>1968</v>
      </c>
      <c r="B946" s="40">
        <v>13003</v>
      </c>
      <c r="C946" s="41">
        <v>0.247</v>
      </c>
      <c r="D946" s="38">
        <v>36</v>
      </c>
      <c r="E946" s="38" t="s">
        <v>35</v>
      </c>
      <c r="F946" s="38" t="s">
        <v>60</v>
      </c>
      <c r="G946" s="38">
        <v>53741</v>
      </c>
      <c r="H946" s="43">
        <v>0.46</v>
      </c>
      <c r="I946" s="43">
        <v>0.82</v>
      </c>
      <c r="J946" s="38">
        <v>14</v>
      </c>
      <c r="K946" s="42">
        <v>9635.223</v>
      </c>
      <c r="L946" s="42">
        <v>3211.74</v>
      </c>
      <c r="M946" s="38">
        <v>0</v>
      </c>
    </row>
    <row r="947" spans="1:13" ht="15" customHeight="1" x14ac:dyDescent="0.3">
      <c r="A947" s="50" t="s">
        <v>1970</v>
      </c>
      <c r="B947" s="52">
        <v>2177</v>
      </c>
      <c r="C947" s="53">
        <v>0.08</v>
      </c>
      <c r="D947" s="50">
        <v>36</v>
      </c>
      <c r="E947" s="50" t="s">
        <v>38</v>
      </c>
      <c r="F947" s="50" t="s">
        <v>83</v>
      </c>
      <c r="G947" s="50">
        <v>96406</v>
      </c>
      <c r="H947" s="55">
        <v>0.23</v>
      </c>
      <c r="I947" s="55">
        <v>0.7</v>
      </c>
      <c r="J947" s="50">
        <v>13.9</v>
      </c>
      <c r="K947" s="54">
        <v>522.48</v>
      </c>
      <c r="L947" s="54">
        <v>-2177</v>
      </c>
      <c r="M947" s="50">
        <v>1</v>
      </c>
    </row>
    <row r="948" spans="1:13" ht="15" customHeight="1" x14ac:dyDescent="0.3">
      <c r="A948" s="38" t="s">
        <v>1972</v>
      </c>
      <c r="B948" s="40">
        <v>15484</v>
      </c>
      <c r="C948" s="41">
        <v>0.13300000000000001</v>
      </c>
      <c r="D948" s="38">
        <v>36</v>
      </c>
      <c r="E948" s="38" t="s">
        <v>35</v>
      </c>
      <c r="F948" s="38" t="s">
        <v>80</v>
      </c>
      <c r="G948" s="38">
        <v>101762</v>
      </c>
      <c r="H948" s="43">
        <v>0.44</v>
      </c>
      <c r="I948" s="43">
        <v>0.73</v>
      </c>
      <c r="J948" s="38">
        <v>13.9</v>
      </c>
      <c r="K948" s="42">
        <v>6178.116</v>
      </c>
      <c r="L948" s="42">
        <v>2059.37</v>
      </c>
      <c r="M948" s="38">
        <v>0</v>
      </c>
    </row>
    <row r="949" spans="1:13" ht="15" customHeight="1" x14ac:dyDescent="0.3">
      <c r="A949" s="44" t="s">
        <v>1974</v>
      </c>
      <c r="B949" s="46">
        <v>38265</v>
      </c>
      <c r="C949" s="47">
        <v>8.8999999999999996E-2</v>
      </c>
      <c r="D949" s="44">
        <v>60</v>
      </c>
      <c r="E949" s="44" t="s">
        <v>36</v>
      </c>
      <c r="F949" s="44" t="s">
        <v>114</v>
      </c>
      <c r="G949" s="44">
        <v>74516</v>
      </c>
      <c r="H949" s="49">
        <v>0.41</v>
      </c>
      <c r="I949" s="49">
        <v>0.75</v>
      </c>
      <c r="J949" s="44">
        <v>13.9</v>
      </c>
      <c r="K949" s="48">
        <v>17027.924999999999</v>
      </c>
      <c r="L949" s="48">
        <v>-29612.51</v>
      </c>
      <c r="M949" s="44">
        <v>0</v>
      </c>
    </row>
    <row r="950" spans="1:13" ht="15" customHeight="1" x14ac:dyDescent="0.3">
      <c r="A950" s="38" t="s">
        <v>1976</v>
      </c>
      <c r="B950" s="40">
        <v>6776</v>
      </c>
      <c r="C950" s="41">
        <v>0.23</v>
      </c>
      <c r="D950" s="38">
        <v>60</v>
      </c>
      <c r="E950" s="38" t="s">
        <v>35</v>
      </c>
      <c r="F950" s="38" t="s">
        <v>83</v>
      </c>
      <c r="G950" s="38">
        <v>33255</v>
      </c>
      <c r="H950" s="43">
        <v>0.42</v>
      </c>
      <c r="I950" s="43">
        <v>0.6</v>
      </c>
      <c r="J950" s="38">
        <v>13.8</v>
      </c>
      <c r="K950" s="42">
        <v>7792.4</v>
      </c>
      <c r="L950" s="42">
        <v>1558.48</v>
      </c>
      <c r="M950" s="38">
        <v>0</v>
      </c>
    </row>
    <row r="951" spans="1:13" ht="15" customHeight="1" x14ac:dyDescent="0.3">
      <c r="A951" s="38" t="s">
        <v>1978</v>
      </c>
      <c r="B951" s="40">
        <v>33857</v>
      </c>
      <c r="C951" s="41">
        <v>0.126</v>
      </c>
      <c r="D951" s="38">
        <v>60</v>
      </c>
      <c r="E951" s="38" t="s">
        <v>35</v>
      </c>
      <c r="F951" s="38" t="s">
        <v>83</v>
      </c>
      <c r="G951" s="38">
        <v>57230</v>
      </c>
      <c r="H951" s="43">
        <v>0.22</v>
      </c>
      <c r="I951" s="43">
        <v>0.71</v>
      </c>
      <c r="J951" s="38">
        <v>13.7</v>
      </c>
      <c r="K951" s="42">
        <v>21329.91</v>
      </c>
      <c r="L951" s="42">
        <v>4265.9799999999996</v>
      </c>
      <c r="M951" s="38">
        <v>0</v>
      </c>
    </row>
    <row r="952" spans="1:13" ht="15" customHeight="1" x14ac:dyDescent="0.3">
      <c r="A952" s="38" t="s">
        <v>1980</v>
      </c>
      <c r="B952" s="40">
        <v>38947</v>
      </c>
      <c r="C952" s="41">
        <v>0.19500000000000001</v>
      </c>
      <c r="D952" s="38">
        <v>60</v>
      </c>
      <c r="E952" s="38" t="s">
        <v>35</v>
      </c>
      <c r="F952" s="38" t="s">
        <v>71</v>
      </c>
      <c r="G952" s="38">
        <v>75927</v>
      </c>
      <c r="H952" s="43">
        <v>0.4</v>
      </c>
      <c r="I952" s="43">
        <v>0.57999999999999996</v>
      </c>
      <c r="J952" s="38">
        <v>13.7</v>
      </c>
      <c r="K952" s="42">
        <v>37973.324999999997</v>
      </c>
      <c r="L952" s="42">
        <v>7594.66</v>
      </c>
      <c r="M952" s="38">
        <v>0</v>
      </c>
    </row>
    <row r="953" spans="1:13" ht="15" customHeight="1" x14ac:dyDescent="0.3">
      <c r="A953" s="44" t="s">
        <v>1982</v>
      </c>
      <c r="B953" s="46">
        <v>32896</v>
      </c>
      <c r="C953" s="47">
        <v>0.20599999999999999</v>
      </c>
      <c r="D953" s="44">
        <v>36</v>
      </c>
      <c r="E953" s="44" t="s">
        <v>36</v>
      </c>
      <c r="F953" s="44" t="s">
        <v>80</v>
      </c>
      <c r="G953" s="44">
        <v>34434</v>
      </c>
      <c r="H953" s="49">
        <v>0.47</v>
      </c>
      <c r="I953" s="49">
        <v>0.59</v>
      </c>
      <c r="J953" s="44">
        <v>13.7</v>
      </c>
      <c r="K953" s="48">
        <v>20329.727999999999</v>
      </c>
      <c r="L953" s="48">
        <v>-23673.41</v>
      </c>
      <c r="M953" s="44">
        <v>0</v>
      </c>
    </row>
    <row r="954" spans="1:13" ht="15" customHeight="1" x14ac:dyDescent="0.3">
      <c r="A954" s="38" t="s">
        <v>1984</v>
      </c>
      <c r="B954" s="40">
        <v>16585</v>
      </c>
      <c r="C954" s="41">
        <v>0.20699999999999999</v>
      </c>
      <c r="D954" s="38">
        <v>36</v>
      </c>
      <c r="E954" s="38" t="s">
        <v>35</v>
      </c>
      <c r="F954" s="38" t="s">
        <v>114</v>
      </c>
      <c r="G954" s="38">
        <v>65503</v>
      </c>
      <c r="H954" s="43">
        <v>0.36</v>
      </c>
      <c r="I954" s="43">
        <v>0.56000000000000005</v>
      </c>
      <c r="J954" s="38">
        <v>13.6</v>
      </c>
      <c r="K954" s="42">
        <v>10299.285</v>
      </c>
      <c r="L954" s="42">
        <v>3433.1</v>
      </c>
      <c r="M954" s="38">
        <v>0</v>
      </c>
    </row>
    <row r="955" spans="1:13" ht="15" customHeight="1" x14ac:dyDescent="0.3">
      <c r="A955" s="44" t="s">
        <v>1986</v>
      </c>
      <c r="B955" s="46">
        <v>16563</v>
      </c>
      <c r="C955" s="47">
        <v>5.8000000000000003E-2</v>
      </c>
      <c r="D955" s="44">
        <v>36</v>
      </c>
      <c r="E955" s="44" t="s">
        <v>36</v>
      </c>
      <c r="F955" s="44" t="s">
        <v>60</v>
      </c>
      <c r="G955" s="44">
        <v>147797</v>
      </c>
      <c r="H955" s="49">
        <v>0.18</v>
      </c>
      <c r="I955" s="49">
        <v>0.65</v>
      </c>
      <c r="J955" s="44">
        <v>13.6</v>
      </c>
      <c r="K955" s="48">
        <v>2881.962</v>
      </c>
      <c r="L955" s="48">
        <v>-10427.59</v>
      </c>
      <c r="M955" s="44">
        <v>0</v>
      </c>
    </row>
    <row r="956" spans="1:13" ht="15" customHeight="1" x14ac:dyDescent="0.3">
      <c r="A956" s="38" t="s">
        <v>1988</v>
      </c>
      <c r="B956" s="40">
        <v>13323</v>
      </c>
      <c r="C956" s="41">
        <v>0.192</v>
      </c>
      <c r="D956" s="38">
        <v>60</v>
      </c>
      <c r="E956" s="38" t="s">
        <v>35</v>
      </c>
      <c r="F956" s="38" t="s">
        <v>83</v>
      </c>
      <c r="G956" s="38">
        <v>86563</v>
      </c>
      <c r="H956" s="43">
        <v>0.11</v>
      </c>
      <c r="I956" s="43">
        <v>0.72</v>
      </c>
      <c r="J956" s="38">
        <v>13.6</v>
      </c>
      <c r="K956" s="42">
        <v>12790.08</v>
      </c>
      <c r="L956" s="42">
        <v>2558.02</v>
      </c>
      <c r="M956" s="38">
        <v>0</v>
      </c>
    </row>
    <row r="957" spans="1:13" ht="15" customHeight="1" x14ac:dyDescent="0.3">
      <c r="A957" s="44" t="s">
        <v>1990</v>
      </c>
      <c r="B957" s="46">
        <v>37679</v>
      </c>
      <c r="C957" s="47">
        <v>0.218</v>
      </c>
      <c r="D957" s="44">
        <v>60</v>
      </c>
      <c r="E957" s="44" t="s">
        <v>36</v>
      </c>
      <c r="F957" s="44" t="s">
        <v>66</v>
      </c>
      <c r="G957" s="44">
        <v>117954</v>
      </c>
      <c r="H957" s="49">
        <v>0.15</v>
      </c>
      <c r="I957" s="49">
        <v>0.51</v>
      </c>
      <c r="J957" s="44">
        <v>13.5</v>
      </c>
      <c r="K957" s="48">
        <v>41070.11</v>
      </c>
      <c r="L957" s="48">
        <v>-28540.29</v>
      </c>
      <c r="M957" s="44">
        <v>0</v>
      </c>
    </row>
    <row r="958" spans="1:13" ht="15" customHeight="1" x14ac:dyDescent="0.3">
      <c r="A958" s="38" t="s">
        <v>1992</v>
      </c>
      <c r="B958" s="40">
        <v>35068</v>
      </c>
      <c r="C958" s="41">
        <v>0.112</v>
      </c>
      <c r="D958" s="38">
        <v>36</v>
      </c>
      <c r="E958" s="38" t="s">
        <v>35</v>
      </c>
      <c r="F958" s="38" t="s">
        <v>66</v>
      </c>
      <c r="G958" s="38">
        <v>126362</v>
      </c>
      <c r="H958" s="43">
        <v>0.45</v>
      </c>
      <c r="I958" s="43">
        <v>0.76</v>
      </c>
      <c r="J958" s="38">
        <v>13.5</v>
      </c>
      <c r="K958" s="42">
        <v>11782.848</v>
      </c>
      <c r="L958" s="42">
        <v>3927.62</v>
      </c>
      <c r="M958" s="38">
        <v>0</v>
      </c>
    </row>
    <row r="959" spans="1:13" ht="15" customHeight="1" x14ac:dyDescent="0.3">
      <c r="A959" s="38" t="s">
        <v>1994</v>
      </c>
      <c r="B959" s="40">
        <v>24616</v>
      </c>
      <c r="C959" s="41">
        <v>0.159</v>
      </c>
      <c r="D959" s="38">
        <v>36</v>
      </c>
      <c r="E959" s="38" t="s">
        <v>35</v>
      </c>
      <c r="F959" s="38" t="s">
        <v>71</v>
      </c>
      <c r="G959" s="38">
        <v>101386</v>
      </c>
      <c r="H959" s="43">
        <v>0.48</v>
      </c>
      <c r="I959" s="43">
        <v>0.89</v>
      </c>
      <c r="J959" s="38">
        <v>13.5</v>
      </c>
      <c r="K959" s="42">
        <v>11741.832</v>
      </c>
      <c r="L959" s="42">
        <v>3913.94</v>
      </c>
      <c r="M959" s="38">
        <v>0</v>
      </c>
    </row>
    <row r="960" spans="1:13" ht="15" customHeight="1" x14ac:dyDescent="0.3">
      <c r="A960" s="38" t="s">
        <v>1996</v>
      </c>
      <c r="B960" s="40">
        <v>26064</v>
      </c>
      <c r="C960" s="41">
        <v>0.19600000000000001</v>
      </c>
      <c r="D960" s="38">
        <v>60</v>
      </c>
      <c r="E960" s="38" t="s">
        <v>35</v>
      </c>
      <c r="F960" s="38" t="s">
        <v>60</v>
      </c>
      <c r="G960" s="38">
        <v>41577</v>
      </c>
      <c r="H960" s="43">
        <v>0.39</v>
      </c>
      <c r="I960" s="43">
        <v>0.89</v>
      </c>
      <c r="J960" s="38">
        <v>13.4</v>
      </c>
      <c r="K960" s="42">
        <v>25542.720000000001</v>
      </c>
      <c r="L960" s="42">
        <v>5108.54</v>
      </c>
      <c r="M960" s="38">
        <v>0</v>
      </c>
    </row>
    <row r="961" spans="1:13" ht="15" customHeight="1" x14ac:dyDescent="0.3">
      <c r="A961" s="56" t="s">
        <v>1998</v>
      </c>
      <c r="B961" s="58">
        <v>8564</v>
      </c>
      <c r="C961" s="59">
        <v>0.218</v>
      </c>
      <c r="D961" s="56">
        <v>60</v>
      </c>
      <c r="E961" s="56" t="s">
        <v>37</v>
      </c>
      <c r="F961" s="56" t="s">
        <v>257</v>
      </c>
      <c r="G961" s="56">
        <v>40625</v>
      </c>
      <c r="H961" s="61">
        <v>0.21</v>
      </c>
      <c r="I961" s="61">
        <v>0.71</v>
      </c>
      <c r="J961" s="56">
        <v>13.4</v>
      </c>
      <c r="K961" s="60">
        <v>9334.76</v>
      </c>
      <c r="L961" s="60">
        <v>-6415.79</v>
      </c>
      <c r="M961" s="56">
        <v>1</v>
      </c>
    </row>
    <row r="962" spans="1:13" ht="15" customHeight="1" x14ac:dyDescent="0.3">
      <c r="A962" s="44" t="s">
        <v>2000</v>
      </c>
      <c r="B962" s="46">
        <v>18826</v>
      </c>
      <c r="C962" s="47">
        <v>0.10100000000000001</v>
      </c>
      <c r="D962" s="44">
        <v>36</v>
      </c>
      <c r="E962" s="44" t="s">
        <v>36</v>
      </c>
      <c r="F962" s="44" t="s">
        <v>71</v>
      </c>
      <c r="G962" s="44">
        <v>74724</v>
      </c>
      <c r="H962" s="49">
        <v>0.19</v>
      </c>
      <c r="I962" s="49">
        <v>0.6</v>
      </c>
      <c r="J962" s="44">
        <v>13.4</v>
      </c>
      <c r="K962" s="48">
        <v>5704.2780000000002</v>
      </c>
      <c r="L962" s="48">
        <v>-10235.59</v>
      </c>
      <c r="M962" s="44">
        <v>0</v>
      </c>
    </row>
    <row r="963" spans="1:13" ht="15" customHeight="1" x14ac:dyDescent="0.3">
      <c r="A963" s="38" t="s">
        <v>2002</v>
      </c>
      <c r="B963" s="40">
        <v>38784</v>
      </c>
      <c r="C963" s="41">
        <v>0.107</v>
      </c>
      <c r="D963" s="38">
        <v>60</v>
      </c>
      <c r="E963" s="38" t="s">
        <v>35</v>
      </c>
      <c r="F963" s="38" t="s">
        <v>66</v>
      </c>
      <c r="G963" s="38">
        <v>97914</v>
      </c>
      <c r="H963" s="43">
        <v>0.27</v>
      </c>
      <c r="I963" s="43">
        <v>0.72</v>
      </c>
      <c r="J963" s="38">
        <v>13.3</v>
      </c>
      <c r="K963" s="42">
        <v>20749.439999999999</v>
      </c>
      <c r="L963" s="42">
        <v>4149.8900000000003</v>
      </c>
      <c r="M963" s="38">
        <v>0</v>
      </c>
    </row>
    <row r="964" spans="1:13" ht="15" customHeight="1" x14ac:dyDescent="0.3">
      <c r="A964" s="44" t="s">
        <v>2004</v>
      </c>
      <c r="B964" s="46">
        <v>13182</v>
      </c>
      <c r="C964" s="47">
        <v>0.14799999999999999</v>
      </c>
      <c r="D964" s="44">
        <v>60</v>
      </c>
      <c r="E964" s="44" t="s">
        <v>36</v>
      </c>
      <c r="F964" s="44" t="s">
        <v>83</v>
      </c>
      <c r="G964" s="44">
        <v>119791</v>
      </c>
      <c r="H964" s="49">
        <v>0.44</v>
      </c>
      <c r="I964" s="49">
        <v>0.9</v>
      </c>
      <c r="J964" s="44">
        <v>13.3</v>
      </c>
      <c r="K964" s="48">
        <v>9754.68</v>
      </c>
      <c r="L964" s="48">
        <v>-10164.42</v>
      </c>
      <c r="M964" s="44">
        <v>0</v>
      </c>
    </row>
    <row r="965" spans="1:13" ht="15" customHeight="1" x14ac:dyDescent="0.3">
      <c r="A965" s="44" t="s">
        <v>2006</v>
      </c>
      <c r="B965" s="46">
        <v>3983</v>
      </c>
      <c r="C965" s="47">
        <v>0.22</v>
      </c>
      <c r="D965" s="44">
        <v>36</v>
      </c>
      <c r="E965" s="44" t="s">
        <v>36</v>
      </c>
      <c r="F965" s="44" t="s">
        <v>71</v>
      </c>
      <c r="G965" s="44">
        <v>81727</v>
      </c>
      <c r="H965" s="49">
        <v>0.23</v>
      </c>
      <c r="I965" s="49">
        <v>0.75</v>
      </c>
      <c r="J965" s="44">
        <v>13.2</v>
      </c>
      <c r="K965" s="48">
        <v>2628.78</v>
      </c>
      <c r="L965" s="48">
        <v>-3688.64</v>
      </c>
      <c r="M965" s="44">
        <v>0</v>
      </c>
    </row>
    <row r="966" spans="1:13" ht="15" customHeight="1" x14ac:dyDescent="0.3">
      <c r="A966" s="38" t="s">
        <v>2008</v>
      </c>
      <c r="B966" s="40">
        <v>21695</v>
      </c>
      <c r="C966" s="41">
        <v>0.14899999999999999</v>
      </c>
      <c r="D966" s="38">
        <v>60</v>
      </c>
      <c r="E966" s="38" t="s">
        <v>35</v>
      </c>
      <c r="F966" s="38" t="s">
        <v>83</v>
      </c>
      <c r="G966" s="38">
        <v>147652</v>
      </c>
      <c r="H966" s="43">
        <v>0.48</v>
      </c>
      <c r="I966" s="43">
        <v>0.65</v>
      </c>
      <c r="J966" s="38">
        <v>13.1</v>
      </c>
      <c r="K966" s="42">
        <v>16162.775</v>
      </c>
      <c r="L966" s="42">
        <v>3232.56</v>
      </c>
      <c r="M966" s="38">
        <v>0</v>
      </c>
    </row>
    <row r="967" spans="1:13" ht="15" customHeight="1" x14ac:dyDescent="0.3">
      <c r="A967" s="44" t="s">
        <v>2010</v>
      </c>
      <c r="B967" s="46">
        <v>16876</v>
      </c>
      <c r="C967" s="47">
        <v>0.16700000000000001</v>
      </c>
      <c r="D967" s="44">
        <v>36</v>
      </c>
      <c r="E967" s="44" t="s">
        <v>36</v>
      </c>
      <c r="F967" s="44" t="s">
        <v>257</v>
      </c>
      <c r="G967" s="44">
        <v>147269</v>
      </c>
      <c r="H967" s="49">
        <v>0.22</v>
      </c>
      <c r="I967" s="49">
        <v>0.88</v>
      </c>
      <c r="J967" s="44">
        <v>13.1</v>
      </c>
      <c r="K967" s="48">
        <v>8454.8760000000002</v>
      </c>
      <c r="L967" s="48">
        <v>-13177.09</v>
      </c>
      <c r="M967" s="44">
        <v>0</v>
      </c>
    </row>
    <row r="968" spans="1:13" ht="15" customHeight="1" x14ac:dyDescent="0.3">
      <c r="A968" s="38" t="s">
        <v>2012</v>
      </c>
      <c r="B968" s="40">
        <v>14629</v>
      </c>
      <c r="C968" s="41">
        <v>0.17599999999999999</v>
      </c>
      <c r="D968" s="38">
        <v>36</v>
      </c>
      <c r="E968" s="38" t="s">
        <v>35</v>
      </c>
      <c r="F968" s="38" t="s">
        <v>83</v>
      </c>
      <c r="G968" s="38">
        <v>117985</v>
      </c>
      <c r="H968" s="43">
        <v>0.49</v>
      </c>
      <c r="I968" s="43">
        <v>0.56999999999999995</v>
      </c>
      <c r="J968" s="38">
        <v>13.1</v>
      </c>
      <c r="K968" s="42">
        <v>7724.1120000000001</v>
      </c>
      <c r="L968" s="42">
        <v>2574.6999999999998</v>
      </c>
      <c r="M968" s="38">
        <v>0</v>
      </c>
    </row>
    <row r="969" spans="1:13" ht="15" customHeight="1" x14ac:dyDescent="0.3">
      <c r="A969" s="38" t="s">
        <v>2014</v>
      </c>
      <c r="B969" s="40">
        <v>6051</v>
      </c>
      <c r="C969" s="41">
        <v>0.218</v>
      </c>
      <c r="D969" s="38">
        <v>36</v>
      </c>
      <c r="E969" s="38" t="s">
        <v>35</v>
      </c>
      <c r="F969" s="38" t="s">
        <v>60</v>
      </c>
      <c r="G969" s="38">
        <v>65944</v>
      </c>
      <c r="H969" s="43">
        <v>0.45</v>
      </c>
      <c r="I969" s="43">
        <v>0.65</v>
      </c>
      <c r="J969" s="38">
        <v>13.1</v>
      </c>
      <c r="K969" s="42">
        <v>3957.3539999999998</v>
      </c>
      <c r="L969" s="42">
        <v>1319.12</v>
      </c>
      <c r="M969" s="38">
        <v>0</v>
      </c>
    </row>
    <row r="970" spans="1:13" ht="15" customHeight="1" x14ac:dyDescent="0.3">
      <c r="A970" s="38" t="s">
        <v>2016</v>
      </c>
      <c r="B970" s="40">
        <v>27123</v>
      </c>
      <c r="C970" s="41">
        <v>0.219</v>
      </c>
      <c r="D970" s="38">
        <v>60</v>
      </c>
      <c r="E970" s="38" t="s">
        <v>35</v>
      </c>
      <c r="F970" s="38" t="s">
        <v>71</v>
      </c>
      <c r="G970" s="38">
        <v>76287</v>
      </c>
      <c r="H970" s="43">
        <v>0.35</v>
      </c>
      <c r="I970" s="43">
        <v>0.61</v>
      </c>
      <c r="J970" s="38">
        <v>13.1</v>
      </c>
      <c r="K970" s="42">
        <v>29699.685000000001</v>
      </c>
      <c r="L970" s="42">
        <v>5939.94</v>
      </c>
      <c r="M970" s="38">
        <v>0</v>
      </c>
    </row>
    <row r="971" spans="1:13" ht="15" customHeight="1" x14ac:dyDescent="0.3">
      <c r="A971" s="44" t="s">
        <v>2018</v>
      </c>
      <c r="B971" s="46">
        <v>17353</v>
      </c>
      <c r="C971" s="47">
        <v>0.19700000000000001</v>
      </c>
      <c r="D971" s="44">
        <v>36</v>
      </c>
      <c r="E971" s="44" t="s">
        <v>36</v>
      </c>
      <c r="F971" s="44" t="s">
        <v>66</v>
      </c>
      <c r="G971" s="44">
        <v>64524</v>
      </c>
      <c r="H971" s="49">
        <v>0.14000000000000001</v>
      </c>
      <c r="I971" s="49">
        <v>0.79</v>
      </c>
      <c r="J971" s="44">
        <v>13.1</v>
      </c>
      <c r="K971" s="48">
        <v>10255.623</v>
      </c>
      <c r="L971" s="48">
        <v>-10327.43</v>
      </c>
      <c r="M971" s="44">
        <v>0</v>
      </c>
    </row>
    <row r="972" spans="1:13" ht="15" customHeight="1" x14ac:dyDescent="0.3">
      <c r="A972" s="38" t="s">
        <v>2020</v>
      </c>
      <c r="B972" s="40">
        <v>8052</v>
      </c>
      <c r="C972" s="41">
        <v>0.17100000000000001</v>
      </c>
      <c r="D972" s="38">
        <v>60</v>
      </c>
      <c r="E972" s="38" t="s">
        <v>35</v>
      </c>
      <c r="F972" s="38" t="s">
        <v>71</v>
      </c>
      <c r="G972" s="38">
        <v>43409</v>
      </c>
      <c r="H972" s="43">
        <v>0.39</v>
      </c>
      <c r="I972" s="43">
        <v>0.62</v>
      </c>
      <c r="J972" s="38">
        <v>13</v>
      </c>
      <c r="K972" s="42">
        <v>6884.46</v>
      </c>
      <c r="L972" s="42">
        <v>1376.89</v>
      </c>
      <c r="M972" s="38">
        <v>0</v>
      </c>
    </row>
    <row r="973" spans="1:13" ht="15" customHeight="1" x14ac:dyDescent="0.3">
      <c r="A973" s="38" t="s">
        <v>2022</v>
      </c>
      <c r="B973" s="40">
        <v>37408</v>
      </c>
      <c r="C973" s="41">
        <v>0.22600000000000001</v>
      </c>
      <c r="D973" s="38">
        <v>60</v>
      </c>
      <c r="E973" s="38" t="s">
        <v>35</v>
      </c>
      <c r="F973" s="38" t="s">
        <v>60</v>
      </c>
      <c r="G973" s="38">
        <v>74535</v>
      </c>
      <c r="H973" s="43">
        <v>0.48</v>
      </c>
      <c r="I973" s="43">
        <v>0.6</v>
      </c>
      <c r="J973" s="38">
        <v>13</v>
      </c>
      <c r="K973" s="42">
        <v>42271.040000000001</v>
      </c>
      <c r="L973" s="42">
        <v>8454.2099999999991</v>
      </c>
      <c r="M973" s="38">
        <v>0</v>
      </c>
    </row>
    <row r="974" spans="1:13" ht="15" customHeight="1" x14ac:dyDescent="0.3">
      <c r="A974" s="38" t="s">
        <v>2024</v>
      </c>
      <c r="B974" s="40">
        <v>30371</v>
      </c>
      <c r="C974" s="41">
        <v>0.224</v>
      </c>
      <c r="D974" s="38">
        <v>36</v>
      </c>
      <c r="E974" s="38" t="s">
        <v>35</v>
      </c>
      <c r="F974" s="38" t="s">
        <v>80</v>
      </c>
      <c r="G974" s="38">
        <v>110055</v>
      </c>
      <c r="H974" s="43">
        <v>0.43</v>
      </c>
      <c r="I974" s="43">
        <v>0.8</v>
      </c>
      <c r="J974" s="38">
        <v>13</v>
      </c>
      <c r="K974" s="42">
        <v>20409.312000000002</v>
      </c>
      <c r="L974" s="42">
        <v>6803.1</v>
      </c>
      <c r="M974" s="38">
        <v>0</v>
      </c>
    </row>
    <row r="975" spans="1:13" ht="15" customHeight="1" x14ac:dyDescent="0.3">
      <c r="A975" s="38" t="s">
        <v>2026</v>
      </c>
      <c r="B975" s="40">
        <v>36198</v>
      </c>
      <c r="C975" s="41">
        <v>0.17699999999999999</v>
      </c>
      <c r="D975" s="38">
        <v>60</v>
      </c>
      <c r="E975" s="38" t="s">
        <v>35</v>
      </c>
      <c r="F975" s="38" t="s">
        <v>80</v>
      </c>
      <c r="G975" s="38">
        <v>65179</v>
      </c>
      <c r="H975" s="43">
        <v>0.35</v>
      </c>
      <c r="I975" s="43">
        <v>0.87</v>
      </c>
      <c r="J975" s="38">
        <v>13</v>
      </c>
      <c r="K975" s="42">
        <v>32035.23</v>
      </c>
      <c r="L975" s="42">
        <v>6407.05</v>
      </c>
      <c r="M975" s="38">
        <v>0</v>
      </c>
    </row>
    <row r="976" spans="1:13" ht="15" customHeight="1" x14ac:dyDescent="0.3">
      <c r="A976" s="44" t="s">
        <v>2028</v>
      </c>
      <c r="B976" s="46">
        <v>1526</v>
      </c>
      <c r="C976" s="47">
        <v>0.23100000000000001</v>
      </c>
      <c r="D976" s="44">
        <v>60</v>
      </c>
      <c r="E976" s="44" t="s">
        <v>36</v>
      </c>
      <c r="F976" s="44" t="s">
        <v>80</v>
      </c>
      <c r="G976" s="44">
        <v>54519</v>
      </c>
      <c r="H976" s="49">
        <v>0.32</v>
      </c>
      <c r="I976" s="49">
        <v>0.52</v>
      </c>
      <c r="J976" s="44">
        <v>12.9</v>
      </c>
      <c r="K976" s="48">
        <v>1762.53</v>
      </c>
      <c r="L976" s="48">
        <v>-982.67</v>
      </c>
      <c r="M976" s="44">
        <v>0</v>
      </c>
    </row>
    <row r="977" spans="1:13" ht="15" customHeight="1" x14ac:dyDescent="0.3">
      <c r="A977" s="56" t="s">
        <v>2030</v>
      </c>
      <c r="B977" s="58">
        <v>27213</v>
      </c>
      <c r="C977" s="59">
        <v>0.23499999999999999</v>
      </c>
      <c r="D977" s="56">
        <v>60</v>
      </c>
      <c r="E977" s="56" t="s">
        <v>37</v>
      </c>
      <c r="F977" s="56" t="s">
        <v>60</v>
      </c>
      <c r="G977" s="56">
        <v>122876</v>
      </c>
      <c r="H977" s="61">
        <v>0.41</v>
      </c>
      <c r="I977" s="61">
        <v>0.62</v>
      </c>
      <c r="J977" s="56">
        <v>12.8</v>
      </c>
      <c r="K977" s="60">
        <v>31975.275000000001</v>
      </c>
      <c r="L977" s="60">
        <v>-18711.29</v>
      </c>
      <c r="M977" s="56">
        <v>1</v>
      </c>
    </row>
    <row r="978" spans="1:13" ht="15" customHeight="1" x14ac:dyDescent="0.3">
      <c r="A978" s="50" t="s">
        <v>2032</v>
      </c>
      <c r="B978" s="52">
        <v>7183</v>
      </c>
      <c r="C978" s="53">
        <v>0.216</v>
      </c>
      <c r="D978" s="50">
        <v>36</v>
      </c>
      <c r="E978" s="50" t="s">
        <v>39</v>
      </c>
      <c r="F978" s="50" t="s">
        <v>80</v>
      </c>
      <c r="G978" s="50">
        <v>141603</v>
      </c>
      <c r="H978" s="55">
        <v>0.15</v>
      </c>
      <c r="I978" s="55">
        <v>0.52</v>
      </c>
      <c r="J978" s="50">
        <v>12.8</v>
      </c>
      <c r="K978" s="54">
        <v>4654.5839999999998</v>
      </c>
      <c r="L978" s="54">
        <v>-7183</v>
      </c>
      <c r="M978" s="50">
        <v>0</v>
      </c>
    </row>
    <row r="979" spans="1:13" ht="15" customHeight="1" x14ac:dyDescent="0.3">
      <c r="A979" s="38" t="s">
        <v>2034</v>
      </c>
      <c r="B979" s="40">
        <v>34756</v>
      </c>
      <c r="C979" s="41">
        <v>0.14699999999999999</v>
      </c>
      <c r="D979" s="38">
        <v>60</v>
      </c>
      <c r="E979" s="38" t="s">
        <v>35</v>
      </c>
      <c r="F979" s="38" t="s">
        <v>257</v>
      </c>
      <c r="G979" s="38">
        <v>53470</v>
      </c>
      <c r="H979" s="43">
        <v>0.13</v>
      </c>
      <c r="I979" s="43">
        <v>0.94</v>
      </c>
      <c r="J979" s="38">
        <v>12.8</v>
      </c>
      <c r="K979" s="42">
        <v>25545.66</v>
      </c>
      <c r="L979" s="42">
        <v>5109.13</v>
      </c>
      <c r="M979" s="38">
        <v>0</v>
      </c>
    </row>
    <row r="980" spans="1:13" ht="15" customHeight="1" x14ac:dyDescent="0.3">
      <c r="A980" s="38" t="s">
        <v>2036</v>
      </c>
      <c r="B980" s="40">
        <v>23297</v>
      </c>
      <c r="C980" s="41">
        <v>0.08</v>
      </c>
      <c r="D980" s="38">
        <v>60</v>
      </c>
      <c r="E980" s="38" t="s">
        <v>35</v>
      </c>
      <c r="F980" s="38" t="s">
        <v>60</v>
      </c>
      <c r="G980" s="38">
        <v>71003</v>
      </c>
      <c r="H980" s="43">
        <v>0.43</v>
      </c>
      <c r="I980" s="43">
        <v>0.55000000000000004</v>
      </c>
      <c r="J980" s="38">
        <v>12.8</v>
      </c>
      <c r="K980" s="42">
        <v>9318.7999999999993</v>
      </c>
      <c r="L980" s="42">
        <v>1863.76</v>
      </c>
      <c r="M980" s="38">
        <v>0</v>
      </c>
    </row>
    <row r="981" spans="1:13" ht="15" customHeight="1" x14ac:dyDescent="0.3">
      <c r="A981" s="44" t="s">
        <v>2038</v>
      </c>
      <c r="B981" s="46">
        <v>20129</v>
      </c>
      <c r="C981" s="47">
        <v>0.16</v>
      </c>
      <c r="D981" s="44">
        <v>60</v>
      </c>
      <c r="E981" s="44" t="s">
        <v>36</v>
      </c>
      <c r="F981" s="44" t="s">
        <v>71</v>
      </c>
      <c r="G981" s="44">
        <v>90815</v>
      </c>
      <c r="H981" s="49">
        <v>0.12</v>
      </c>
      <c r="I981" s="49">
        <v>0.89</v>
      </c>
      <c r="J981" s="44">
        <v>12.7</v>
      </c>
      <c r="K981" s="48">
        <v>16103.2</v>
      </c>
      <c r="L981" s="48">
        <v>-17263.990000000002</v>
      </c>
      <c r="M981" s="44">
        <v>0</v>
      </c>
    </row>
    <row r="982" spans="1:13" ht="15" customHeight="1" x14ac:dyDescent="0.3">
      <c r="A982" s="38" t="s">
        <v>2040</v>
      </c>
      <c r="B982" s="40">
        <v>36298</v>
      </c>
      <c r="C982" s="41">
        <v>0.14399999999999999</v>
      </c>
      <c r="D982" s="38">
        <v>60</v>
      </c>
      <c r="E982" s="38" t="s">
        <v>35</v>
      </c>
      <c r="F982" s="38" t="s">
        <v>60</v>
      </c>
      <c r="G982" s="38">
        <v>145662</v>
      </c>
      <c r="H982" s="43">
        <v>0.2</v>
      </c>
      <c r="I982" s="43">
        <v>0.65</v>
      </c>
      <c r="J982" s="38">
        <v>12.7</v>
      </c>
      <c r="K982" s="42">
        <v>26134.560000000001</v>
      </c>
      <c r="L982" s="42">
        <v>5226.91</v>
      </c>
      <c r="M982" s="38">
        <v>0</v>
      </c>
    </row>
    <row r="983" spans="1:13" ht="15" customHeight="1" x14ac:dyDescent="0.3">
      <c r="A983" s="44" t="s">
        <v>2042</v>
      </c>
      <c r="B983" s="46">
        <v>8848</v>
      </c>
      <c r="C983" s="47">
        <v>0.16200000000000001</v>
      </c>
      <c r="D983" s="44">
        <v>60</v>
      </c>
      <c r="E983" s="44" t="s">
        <v>36</v>
      </c>
      <c r="F983" s="44" t="s">
        <v>80</v>
      </c>
      <c r="G983" s="44">
        <v>50862</v>
      </c>
      <c r="H983" s="49">
        <v>0.17</v>
      </c>
      <c r="I983" s="49">
        <v>0.5</v>
      </c>
      <c r="J983" s="44">
        <v>12.7</v>
      </c>
      <c r="K983" s="48">
        <v>7166.88</v>
      </c>
      <c r="L983" s="48">
        <v>-5882.15</v>
      </c>
      <c r="M983" s="44">
        <v>0</v>
      </c>
    </row>
    <row r="984" spans="1:13" ht="15" customHeight="1" x14ac:dyDescent="0.3">
      <c r="A984" s="38" t="s">
        <v>2044</v>
      </c>
      <c r="B984" s="40">
        <v>38285</v>
      </c>
      <c r="C984" s="41">
        <v>0.159</v>
      </c>
      <c r="D984" s="38">
        <v>60</v>
      </c>
      <c r="E984" s="38" t="s">
        <v>35</v>
      </c>
      <c r="F984" s="38" t="s">
        <v>60</v>
      </c>
      <c r="G984" s="38">
        <v>125745</v>
      </c>
      <c r="H984" s="43">
        <v>0.26</v>
      </c>
      <c r="I984" s="43">
        <v>0.78</v>
      </c>
      <c r="J984" s="38">
        <v>12.7</v>
      </c>
      <c r="K984" s="42">
        <v>30436.575000000001</v>
      </c>
      <c r="L984" s="42">
        <v>6087.32</v>
      </c>
      <c r="M984" s="38">
        <v>0</v>
      </c>
    </row>
    <row r="985" spans="1:13" ht="15" customHeight="1" x14ac:dyDescent="0.3">
      <c r="A985" s="50" t="s">
        <v>2046</v>
      </c>
      <c r="B985" s="52">
        <v>34039</v>
      </c>
      <c r="C985" s="53">
        <v>7.0999999999999994E-2</v>
      </c>
      <c r="D985" s="50">
        <v>60</v>
      </c>
      <c r="E985" s="50" t="s">
        <v>38</v>
      </c>
      <c r="F985" s="50" t="s">
        <v>66</v>
      </c>
      <c r="G985" s="50">
        <v>141984</v>
      </c>
      <c r="H985" s="55">
        <v>0.15</v>
      </c>
      <c r="I985" s="55">
        <v>0.8</v>
      </c>
      <c r="J985" s="50">
        <v>12.6</v>
      </c>
      <c r="K985" s="54">
        <v>12083.844999999999</v>
      </c>
      <c r="L985" s="54">
        <v>-34039</v>
      </c>
      <c r="M985" s="50">
        <v>1</v>
      </c>
    </row>
    <row r="986" spans="1:13" ht="15" customHeight="1" x14ac:dyDescent="0.3">
      <c r="A986" s="38" t="s">
        <v>2048</v>
      </c>
      <c r="B986" s="40">
        <v>24393</v>
      </c>
      <c r="C986" s="41">
        <v>0.23599999999999999</v>
      </c>
      <c r="D986" s="38">
        <v>36</v>
      </c>
      <c r="E986" s="38" t="s">
        <v>35</v>
      </c>
      <c r="F986" s="38" t="s">
        <v>114</v>
      </c>
      <c r="G986" s="38">
        <v>77664</v>
      </c>
      <c r="H986" s="43">
        <v>0.12</v>
      </c>
      <c r="I986" s="43">
        <v>0.83</v>
      </c>
      <c r="J986" s="38">
        <v>12.6</v>
      </c>
      <c r="K986" s="42">
        <v>17270.243999999999</v>
      </c>
      <c r="L986" s="42">
        <v>5756.75</v>
      </c>
      <c r="M986" s="38">
        <v>0</v>
      </c>
    </row>
    <row r="987" spans="1:13" ht="15" customHeight="1" x14ac:dyDescent="0.3">
      <c r="A987" s="38" t="s">
        <v>2050</v>
      </c>
      <c r="B987" s="40">
        <v>12383</v>
      </c>
      <c r="C987" s="41">
        <v>0.128</v>
      </c>
      <c r="D987" s="38">
        <v>36</v>
      </c>
      <c r="E987" s="38" t="s">
        <v>35</v>
      </c>
      <c r="F987" s="38" t="s">
        <v>80</v>
      </c>
      <c r="G987" s="38">
        <v>125989</v>
      </c>
      <c r="H987" s="43">
        <v>0.13</v>
      </c>
      <c r="I987" s="43">
        <v>0.55000000000000004</v>
      </c>
      <c r="J987" s="38">
        <v>12.6</v>
      </c>
      <c r="K987" s="42">
        <v>4755.0720000000001</v>
      </c>
      <c r="L987" s="42">
        <v>1585.02</v>
      </c>
      <c r="M987" s="38">
        <v>0</v>
      </c>
    </row>
    <row r="988" spans="1:13" ht="15" customHeight="1" x14ac:dyDescent="0.3">
      <c r="A988" s="38" t="s">
        <v>2052</v>
      </c>
      <c r="B988" s="40">
        <v>11634</v>
      </c>
      <c r="C988" s="41">
        <v>0.21199999999999999</v>
      </c>
      <c r="D988" s="38">
        <v>36</v>
      </c>
      <c r="E988" s="38" t="s">
        <v>35</v>
      </c>
      <c r="F988" s="38" t="s">
        <v>80</v>
      </c>
      <c r="G988" s="38">
        <v>145584</v>
      </c>
      <c r="H988" s="43">
        <v>0.39</v>
      </c>
      <c r="I988" s="43">
        <v>0.53</v>
      </c>
      <c r="J988" s="38">
        <v>12.6</v>
      </c>
      <c r="K988" s="42">
        <v>7399.2240000000002</v>
      </c>
      <c r="L988" s="42">
        <v>2466.41</v>
      </c>
      <c r="M988" s="38">
        <v>0</v>
      </c>
    </row>
    <row r="989" spans="1:13" ht="15" customHeight="1" x14ac:dyDescent="0.3">
      <c r="A989" s="44" t="s">
        <v>2054</v>
      </c>
      <c r="B989" s="46">
        <v>4292</v>
      </c>
      <c r="C989" s="47">
        <v>0.16</v>
      </c>
      <c r="D989" s="44">
        <v>36</v>
      </c>
      <c r="E989" s="44" t="s">
        <v>36</v>
      </c>
      <c r="F989" s="44" t="s">
        <v>114</v>
      </c>
      <c r="G989" s="44">
        <v>106996</v>
      </c>
      <c r="H989" s="49">
        <v>0.21</v>
      </c>
      <c r="I989" s="49">
        <v>0.92</v>
      </c>
      <c r="J989" s="44">
        <v>12.6</v>
      </c>
      <c r="K989" s="48">
        <v>2060.16</v>
      </c>
      <c r="L989" s="48">
        <v>-3455.79</v>
      </c>
      <c r="M989" s="44">
        <v>0</v>
      </c>
    </row>
    <row r="990" spans="1:13" ht="15" customHeight="1" x14ac:dyDescent="0.3">
      <c r="A990" s="56" t="s">
        <v>2056</v>
      </c>
      <c r="B990" s="58">
        <v>19271</v>
      </c>
      <c r="C990" s="59">
        <v>0.2</v>
      </c>
      <c r="D990" s="56">
        <v>60</v>
      </c>
      <c r="E990" s="56" t="s">
        <v>37</v>
      </c>
      <c r="F990" s="56" t="s">
        <v>83</v>
      </c>
      <c r="G990" s="56">
        <v>100532</v>
      </c>
      <c r="H990" s="61">
        <v>0.22</v>
      </c>
      <c r="I990" s="61">
        <v>0.75</v>
      </c>
      <c r="J990" s="56">
        <v>12.6</v>
      </c>
      <c r="K990" s="60">
        <v>19271</v>
      </c>
      <c r="L990" s="60">
        <v>-16976.2</v>
      </c>
      <c r="M990" s="56">
        <v>1</v>
      </c>
    </row>
    <row r="991" spans="1:13" ht="15" customHeight="1" x14ac:dyDescent="0.3">
      <c r="A991" s="38" t="s">
        <v>2058</v>
      </c>
      <c r="B991" s="40">
        <v>21677</v>
      </c>
      <c r="C991" s="41">
        <v>8.4000000000000005E-2</v>
      </c>
      <c r="D991" s="38">
        <v>36</v>
      </c>
      <c r="E991" s="38" t="s">
        <v>35</v>
      </c>
      <c r="F991" s="38" t="s">
        <v>83</v>
      </c>
      <c r="G991" s="38">
        <v>67842</v>
      </c>
      <c r="H991" s="43">
        <v>0.42</v>
      </c>
      <c r="I991" s="43">
        <v>0.82</v>
      </c>
      <c r="J991" s="38">
        <v>12.6</v>
      </c>
      <c r="K991" s="42">
        <v>5462.6040000000003</v>
      </c>
      <c r="L991" s="42">
        <v>1820.87</v>
      </c>
      <c r="M991" s="38">
        <v>0</v>
      </c>
    </row>
    <row r="992" spans="1:13" ht="15" customHeight="1" x14ac:dyDescent="0.3">
      <c r="A992" s="44" t="s">
        <v>2060</v>
      </c>
      <c r="B992" s="46">
        <v>18772</v>
      </c>
      <c r="C992" s="47">
        <v>0.217</v>
      </c>
      <c r="D992" s="44">
        <v>60</v>
      </c>
      <c r="E992" s="44" t="s">
        <v>36</v>
      </c>
      <c r="F992" s="44" t="s">
        <v>60</v>
      </c>
      <c r="G992" s="44">
        <v>81148</v>
      </c>
      <c r="H992" s="49">
        <v>0.26</v>
      </c>
      <c r="I992" s="49">
        <v>0.6</v>
      </c>
      <c r="J992" s="44">
        <v>12.5</v>
      </c>
      <c r="K992" s="48">
        <v>20367.62</v>
      </c>
      <c r="L992" s="48">
        <v>-10918.84</v>
      </c>
      <c r="M992" s="44">
        <v>0</v>
      </c>
    </row>
    <row r="993" spans="1:13" ht="15" customHeight="1" x14ac:dyDescent="0.3">
      <c r="A993" s="38" t="s">
        <v>2062</v>
      </c>
      <c r="B993" s="40">
        <v>15288</v>
      </c>
      <c r="C993" s="41">
        <v>0.22900000000000001</v>
      </c>
      <c r="D993" s="38">
        <v>36</v>
      </c>
      <c r="E993" s="38" t="s">
        <v>35</v>
      </c>
      <c r="F993" s="38" t="s">
        <v>80</v>
      </c>
      <c r="G993" s="38">
        <v>127790</v>
      </c>
      <c r="H993" s="43">
        <v>0.32</v>
      </c>
      <c r="I993" s="43">
        <v>0.68</v>
      </c>
      <c r="J993" s="38">
        <v>12.5</v>
      </c>
      <c r="K993" s="42">
        <v>10502.856</v>
      </c>
      <c r="L993" s="42">
        <v>3500.95</v>
      </c>
      <c r="M993" s="38">
        <v>0</v>
      </c>
    </row>
    <row r="994" spans="1:13" ht="15" customHeight="1" x14ac:dyDescent="0.3">
      <c r="A994" s="38" t="s">
        <v>2064</v>
      </c>
      <c r="B994" s="40">
        <v>11181</v>
      </c>
      <c r="C994" s="41">
        <v>0.19800000000000001</v>
      </c>
      <c r="D994" s="38">
        <v>36</v>
      </c>
      <c r="E994" s="38" t="s">
        <v>35</v>
      </c>
      <c r="F994" s="38" t="s">
        <v>114</v>
      </c>
      <c r="G994" s="38">
        <v>132438</v>
      </c>
      <c r="H994" s="43">
        <v>0.45</v>
      </c>
      <c r="I994" s="43">
        <v>0.57999999999999996</v>
      </c>
      <c r="J994" s="38">
        <v>12.5</v>
      </c>
      <c r="K994" s="42">
        <v>6641.5140000000001</v>
      </c>
      <c r="L994" s="42">
        <v>2213.84</v>
      </c>
      <c r="M994" s="38">
        <v>0</v>
      </c>
    </row>
    <row r="995" spans="1:13" ht="15" customHeight="1" x14ac:dyDescent="0.3">
      <c r="A995" s="44" t="s">
        <v>2066</v>
      </c>
      <c r="B995" s="46">
        <v>31678</v>
      </c>
      <c r="C995" s="47">
        <v>0.14000000000000001</v>
      </c>
      <c r="D995" s="44">
        <v>60</v>
      </c>
      <c r="E995" s="44" t="s">
        <v>36</v>
      </c>
      <c r="F995" s="44" t="s">
        <v>83</v>
      </c>
      <c r="G995" s="44">
        <v>121051</v>
      </c>
      <c r="H995" s="49">
        <v>0.22</v>
      </c>
      <c r="I995" s="49">
        <v>0.62</v>
      </c>
      <c r="J995" s="44">
        <v>12.5</v>
      </c>
      <c r="K995" s="48">
        <v>22174.6</v>
      </c>
      <c r="L995" s="48">
        <v>-26180.04</v>
      </c>
      <c r="M995" s="44">
        <v>0</v>
      </c>
    </row>
    <row r="996" spans="1:13" ht="15" customHeight="1" x14ac:dyDescent="0.3">
      <c r="A996" s="38" t="s">
        <v>2068</v>
      </c>
      <c r="B996" s="40">
        <v>39709</v>
      </c>
      <c r="C996" s="41">
        <v>0.152</v>
      </c>
      <c r="D996" s="38">
        <v>36</v>
      </c>
      <c r="E996" s="38" t="s">
        <v>35</v>
      </c>
      <c r="F996" s="38" t="s">
        <v>114</v>
      </c>
      <c r="G996" s="38">
        <v>81717</v>
      </c>
      <c r="H996" s="43">
        <v>0.23</v>
      </c>
      <c r="I996" s="43">
        <v>0.82</v>
      </c>
      <c r="J996" s="38">
        <v>12.4</v>
      </c>
      <c r="K996" s="42">
        <v>18107.304</v>
      </c>
      <c r="L996" s="42">
        <v>6035.77</v>
      </c>
      <c r="M996" s="38">
        <v>0</v>
      </c>
    </row>
    <row r="997" spans="1:13" ht="15" customHeight="1" x14ac:dyDescent="0.3">
      <c r="A997" s="44" t="s">
        <v>2070</v>
      </c>
      <c r="B997" s="46">
        <v>24563</v>
      </c>
      <c r="C997" s="47">
        <v>0.159</v>
      </c>
      <c r="D997" s="44">
        <v>36</v>
      </c>
      <c r="E997" s="44" t="s">
        <v>36</v>
      </c>
      <c r="F997" s="44" t="s">
        <v>60</v>
      </c>
      <c r="G997" s="44">
        <v>46260</v>
      </c>
      <c r="H997" s="49">
        <v>0.32</v>
      </c>
      <c r="I997" s="49">
        <v>0.83</v>
      </c>
      <c r="J997" s="44">
        <v>12.3</v>
      </c>
      <c r="K997" s="48">
        <v>11716.550999999999</v>
      </c>
      <c r="L997" s="48">
        <v>-14426.64</v>
      </c>
      <c r="M997" s="44">
        <v>0</v>
      </c>
    </row>
    <row r="998" spans="1:13" ht="15" customHeight="1" x14ac:dyDescent="0.3">
      <c r="A998" s="38" t="s">
        <v>2072</v>
      </c>
      <c r="B998" s="40">
        <v>1338</v>
      </c>
      <c r="C998" s="41">
        <v>0.246</v>
      </c>
      <c r="D998" s="38">
        <v>36</v>
      </c>
      <c r="E998" s="38" t="s">
        <v>35</v>
      </c>
      <c r="F998" s="38" t="s">
        <v>60</v>
      </c>
      <c r="G998" s="38">
        <v>51639</v>
      </c>
      <c r="H998" s="43">
        <v>0.27</v>
      </c>
      <c r="I998" s="43">
        <v>0.65</v>
      </c>
      <c r="J998" s="38">
        <v>12.3</v>
      </c>
      <c r="K998" s="42">
        <v>987.44399999999996</v>
      </c>
      <c r="L998" s="42">
        <v>329.15</v>
      </c>
      <c r="M998" s="38">
        <v>0</v>
      </c>
    </row>
    <row r="999" spans="1:13" ht="15" customHeight="1" x14ac:dyDescent="0.3">
      <c r="A999" s="38" t="s">
        <v>2074</v>
      </c>
      <c r="B999" s="40">
        <v>13588</v>
      </c>
      <c r="C999" s="41">
        <v>5.8999999999999997E-2</v>
      </c>
      <c r="D999" s="38">
        <v>36</v>
      </c>
      <c r="E999" s="38" t="s">
        <v>35</v>
      </c>
      <c r="F999" s="38" t="s">
        <v>66</v>
      </c>
      <c r="G999" s="38">
        <v>88870</v>
      </c>
      <c r="H999" s="43">
        <v>0.43</v>
      </c>
      <c r="I999" s="43">
        <v>0.88</v>
      </c>
      <c r="J999" s="38">
        <v>12.2</v>
      </c>
      <c r="K999" s="42">
        <v>2405.076</v>
      </c>
      <c r="L999" s="42">
        <v>801.69000000000096</v>
      </c>
      <c r="M999" s="38">
        <v>0</v>
      </c>
    </row>
    <row r="1000" spans="1:13" ht="15" customHeight="1" x14ac:dyDescent="0.3">
      <c r="A1000" s="56" t="s">
        <v>2076</v>
      </c>
      <c r="B1000" s="58">
        <v>34320</v>
      </c>
      <c r="C1000" s="59">
        <v>0.215</v>
      </c>
      <c r="D1000" s="56">
        <v>60</v>
      </c>
      <c r="E1000" s="56" t="s">
        <v>37</v>
      </c>
      <c r="F1000" s="56" t="s">
        <v>60</v>
      </c>
      <c r="G1000" s="56">
        <v>62093</v>
      </c>
      <c r="H1000" s="61">
        <v>0.3</v>
      </c>
      <c r="I1000" s="61">
        <v>0.69</v>
      </c>
      <c r="J1000" s="56">
        <v>12.1</v>
      </c>
      <c r="K1000" s="60">
        <v>36894</v>
      </c>
      <c r="L1000" s="60">
        <v>-21963.37</v>
      </c>
      <c r="M1000" s="56">
        <v>1</v>
      </c>
    </row>
    <row r="1001" spans="1:13" ht="15" customHeight="1" x14ac:dyDescent="0.3">
      <c r="A1001" s="38" t="s">
        <v>2078</v>
      </c>
      <c r="B1001" s="40">
        <v>33347</v>
      </c>
      <c r="C1001" s="41">
        <v>0.248</v>
      </c>
      <c r="D1001" s="38">
        <v>36</v>
      </c>
      <c r="E1001" s="38" t="s">
        <v>35</v>
      </c>
      <c r="F1001" s="38" t="s">
        <v>66</v>
      </c>
      <c r="G1001" s="38">
        <v>91169</v>
      </c>
      <c r="H1001" s="43">
        <v>0.16</v>
      </c>
      <c r="I1001" s="43">
        <v>0.65</v>
      </c>
      <c r="J1001" s="38">
        <v>12.1</v>
      </c>
      <c r="K1001" s="42">
        <v>24810.168000000001</v>
      </c>
      <c r="L1001" s="42">
        <v>8270.06</v>
      </c>
      <c r="M1001" s="38">
        <v>0</v>
      </c>
    </row>
    <row r="1002" spans="1:13" ht="15" customHeight="1" x14ac:dyDescent="0.3">
      <c r="A1002" s="38" t="s">
        <v>2080</v>
      </c>
      <c r="B1002" s="40">
        <v>32890</v>
      </c>
      <c r="C1002" s="41">
        <v>0.218</v>
      </c>
      <c r="D1002" s="38">
        <v>36</v>
      </c>
      <c r="E1002" s="38" t="s">
        <v>35</v>
      </c>
      <c r="F1002" s="38" t="s">
        <v>83</v>
      </c>
      <c r="G1002" s="38">
        <v>130246</v>
      </c>
      <c r="H1002" s="43">
        <v>0.25</v>
      </c>
      <c r="I1002" s="43">
        <v>0.66</v>
      </c>
      <c r="J1002" s="38">
        <v>12.1</v>
      </c>
      <c r="K1002" s="42">
        <v>21510.06</v>
      </c>
      <c r="L1002" s="42">
        <v>7170.02</v>
      </c>
      <c r="M1002" s="38">
        <v>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zoomScaleNormal="100" workbookViewId="0">
      <pane ySplit="1" topLeftCell="A11" activePane="bottomLeft" state="frozen"/>
      <selection pane="bottomLeft" sqref="A1:R1"/>
    </sheetView>
  </sheetViews>
  <sheetFormatPr defaultColWidth="8.6640625" defaultRowHeight="14.4" x14ac:dyDescent="0.3"/>
  <cols>
    <col min="1" max="14" width="20" style="15" customWidth="1"/>
  </cols>
  <sheetData>
    <row r="1" spans="1:18" ht="27.75" customHeight="1" x14ac:dyDescent="0.3">
      <c r="A1" s="119" t="s">
        <v>2087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3" spans="1:18" ht="19.5" customHeight="1" x14ac:dyDescent="0.3">
      <c r="A3" s="120" t="s">
        <v>2088</v>
      </c>
      <c r="B3" s="120"/>
      <c r="C3" s="120"/>
      <c r="D3" s="120"/>
      <c r="E3" s="120"/>
      <c r="F3" s="120"/>
      <c r="G3" s="120"/>
    </row>
    <row r="4" spans="1:18" ht="15" customHeight="1" x14ac:dyDescent="0.3">
      <c r="A4" s="62" t="s">
        <v>48</v>
      </c>
      <c r="B4" s="62" t="s">
        <v>31</v>
      </c>
      <c r="C4" s="62" t="s">
        <v>2089</v>
      </c>
      <c r="D4" s="62" t="s">
        <v>2090</v>
      </c>
      <c r="E4" s="62" t="s">
        <v>2091</v>
      </c>
      <c r="F4" s="62" t="s">
        <v>2092</v>
      </c>
    </row>
    <row r="5" spans="1:18" ht="15" customHeight="1" x14ac:dyDescent="0.3">
      <c r="A5" s="63" t="s">
        <v>37</v>
      </c>
      <c r="B5" s="63">
        <v>105</v>
      </c>
      <c r="C5" s="64">
        <v>2112176</v>
      </c>
      <c r="D5" s="65">
        <v>15.58</v>
      </c>
      <c r="E5" s="66">
        <v>543276.89</v>
      </c>
      <c r="F5" s="66">
        <v>-1503227.4</v>
      </c>
    </row>
    <row r="6" spans="1:18" ht="15" customHeight="1" x14ac:dyDescent="0.3">
      <c r="A6" s="67" t="s">
        <v>36</v>
      </c>
      <c r="B6" s="67">
        <v>310</v>
      </c>
      <c r="C6" s="68">
        <v>6467779</v>
      </c>
      <c r="D6" s="69">
        <v>15.513548387096799</v>
      </c>
      <c r="E6" s="70">
        <v>1740533.17</v>
      </c>
      <c r="F6" s="70">
        <v>-4727245.83</v>
      </c>
    </row>
    <row r="7" spans="1:18" ht="15" customHeight="1" x14ac:dyDescent="0.3">
      <c r="A7" s="63" t="s">
        <v>35</v>
      </c>
      <c r="B7" s="63">
        <v>541</v>
      </c>
      <c r="C7" s="64">
        <v>11729795</v>
      </c>
      <c r="D7" s="65">
        <v>14.7456561922366</v>
      </c>
      <c r="E7" s="66">
        <v>13459877.050000001</v>
      </c>
      <c r="F7" s="66">
        <v>1730082.05</v>
      </c>
    </row>
    <row r="8" spans="1:18" ht="15" customHeight="1" x14ac:dyDescent="0.3">
      <c r="A8" s="67" t="s">
        <v>39</v>
      </c>
      <c r="B8" s="67">
        <v>11</v>
      </c>
      <c r="C8" s="68">
        <v>248118</v>
      </c>
      <c r="D8" s="69">
        <v>15.7272727272727</v>
      </c>
      <c r="E8" s="70">
        <v>0</v>
      </c>
      <c r="F8" s="70">
        <v>-248118</v>
      </c>
    </row>
    <row r="9" spans="1:18" ht="15" customHeight="1" x14ac:dyDescent="0.3">
      <c r="A9" s="71" t="s">
        <v>2093</v>
      </c>
      <c r="B9" s="72">
        <f>SUM(B5:B8)</f>
        <v>967</v>
      </c>
      <c r="C9" s="73">
        <f>SUM(C5:C8)</f>
        <v>20557868</v>
      </c>
      <c r="D9" s="74">
        <f>SUM(D5:D8)</f>
        <v>61.566477306606096</v>
      </c>
      <c r="E9" s="75">
        <f>SUM(E5:E8)</f>
        <v>15743687.110000001</v>
      </c>
      <c r="F9" s="75">
        <f>SUM(F5:F8)</f>
        <v>-4748509.1800000006</v>
      </c>
      <c r="G9" s="76"/>
    </row>
    <row r="11" spans="1:18" ht="19.5" customHeight="1" x14ac:dyDescent="0.3">
      <c r="A11" s="120" t="s">
        <v>2094</v>
      </c>
      <c r="B11" s="120"/>
      <c r="C11" s="120"/>
      <c r="D11" s="120"/>
      <c r="E11" s="120"/>
      <c r="F11" s="120"/>
      <c r="G11" s="120"/>
      <c r="H11" s="120"/>
    </row>
    <row r="12" spans="1:18" ht="15" customHeight="1" x14ac:dyDescent="0.3">
      <c r="A12" s="62" t="s">
        <v>2095</v>
      </c>
      <c r="B12" s="62" t="s">
        <v>31</v>
      </c>
      <c r="C12" s="62" t="s">
        <v>2089</v>
      </c>
      <c r="D12" s="62" t="s">
        <v>2096</v>
      </c>
      <c r="E12" s="62" t="s">
        <v>2097</v>
      </c>
      <c r="F12" s="62" t="s">
        <v>20</v>
      </c>
      <c r="G12" s="62" t="s">
        <v>2092</v>
      </c>
    </row>
    <row r="13" spans="1:18" ht="15" customHeight="1" x14ac:dyDescent="0.3">
      <c r="A13" s="63" t="s">
        <v>60</v>
      </c>
      <c r="B13" s="63">
        <v>250</v>
      </c>
      <c r="C13" s="64">
        <v>5338618</v>
      </c>
      <c r="D13" s="65">
        <v>15.3812</v>
      </c>
      <c r="E13" s="77">
        <v>14.8</v>
      </c>
      <c r="F13" s="65">
        <v>0.29704000000000003</v>
      </c>
      <c r="G13" s="66">
        <v>-1431754.51</v>
      </c>
    </row>
    <row r="14" spans="1:18" ht="15" customHeight="1" x14ac:dyDescent="0.3">
      <c r="A14" s="67" t="s">
        <v>83</v>
      </c>
      <c r="B14" s="67">
        <v>206</v>
      </c>
      <c r="C14" s="68">
        <v>4482846</v>
      </c>
      <c r="D14" s="69">
        <v>15.2199029126214</v>
      </c>
      <c r="E14" s="78">
        <v>13.106796116504899</v>
      </c>
      <c r="F14" s="69">
        <v>0.29611650485436902</v>
      </c>
      <c r="G14" s="70">
        <v>-1019592.15</v>
      </c>
    </row>
    <row r="15" spans="1:18" ht="15" customHeight="1" x14ac:dyDescent="0.3">
      <c r="A15" s="63" t="s">
        <v>71</v>
      </c>
      <c r="B15" s="63">
        <v>154</v>
      </c>
      <c r="C15" s="64">
        <v>3235951</v>
      </c>
      <c r="D15" s="65">
        <v>14.35</v>
      </c>
      <c r="E15" s="77">
        <v>12.987012987012999</v>
      </c>
      <c r="F15" s="65">
        <v>0.28487012987013</v>
      </c>
      <c r="G15" s="66">
        <v>-905168.05</v>
      </c>
    </row>
    <row r="16" spans="1:18" ht="15" customHeight="1" x14ac:dyDescent="0.3">
      <c r="A16" s="67" t="s">
        <v>80</v>
      </c>
      <c r="B16" s="67">
        <v>159</v>
      </c>
      <c r="C16" s="68">
        <v>3264798</v>
      </c>
      <c r="D16" s="69">
        <v>14.7767295597484</v>
      </c>
      <c r="E16" s="78">
        <v>12.578616352201299</v>
      </c>
      <c r="F16" s="69">
        <v>0.29729559748427697</v>
      </c>
      <c r="G16" s="70">
        <v>-992791.84</v>
      </c>
    </row>
    <row r="17" spans="1:8" ht="15" customHeight="1" x14ac:dyDescent="0.3">
      <c r="A17" s="63" t="s">
        <v>66</v>
      </c>
      <c r="B17" s="63">
        <v>106</v>
      </c>
      <c r="C17" s="64">
        <v>2320669</v>
      </c>
      <c r="D17" s="65">
        <v>14.9641509433962</v>
      </c>
      <c r="E17" s="77">
        <v>17.924528301886799</v>
      </c>
      <c r="F17" s="65">
        <v>0.28641509433962298</v>
      </c>
      <c r="G17" s="66">
        <v>-626440.68999999994</v>
      </c>
    </row>
    <row r="18" spans="1:8" ht="15" customHeight="1" x14ac:dyDescent="0.3">
      <c r="A18" s="67" t="s">
        <v>114</v>
      </c>
      <c r="B18" s="67">
        <v>81</v>
      </c>
      <c r="C18" s="68">
        <v>1605848</v>
      </c>
      <c r="D18" s="69">
        <v>15.796296296296299</v>
      </c>
      <c r="E18" s="78">
        <v>9.8765432098765409</v>
      </c>
      <c r="F18" s="69">
        <v>0.30172839506172799</v>
      </c>
      <c r="G18" s="70">
        <v>-363283.34</v>
      </c>
    </row>
    <row r="19" spans="1:8" ht="15" customHeight="1" x14ac:dyDescent="0.3">
      <c r="A19" s="71" t="s">
        <v>2093</v>
      </c>
      <c r="B19" s="72">
        <f t="shared" ref="B19:G19" si="0">SUM(B13:B18)</f>
        <v>956</v>
      </c>
      <c r="C19" s="73">
        <f t="shared" si="0"/>
        <v>20248730</v>
      </c>
      <c r="D19" s="74">
        <f t="shared" si="0"/>
        <v>90.488279712062308</v>
      </c>
      <c r="E19" s="79">
        <f t="shared" si="0"/>
        <v>81.273496967482544</v>
      </c>
      <c r="F19" s="74">
        <f t="shared" si="0"/>
        <v>1.7634657216101268</v>
      </c>
      <c r="G19" s="75">
        <f t="shared" si="0"/>
        <v>-5339030.58</v>
      </c>
      <c r="H19" s="76"/>
    </row>
    <row r="21" spans="1:8" ht="19.5" customHeight="1" x14ac:dyDescent="0.3">
      <c r="A21" s="120" t="s">
        <v>2098</v>
      </c>
      <c r="B21" s="120"/>
      <c r="C21" s="120"/>
      <c r="D21" s="120"/>
      <c r="E21" s="120"/>
      <c r="F21" s="120"/>
      <c r="G21" s="120"/>
      <c r="H21" s="120"/>
    </row>
    <row r="22" spans="1:8" ht="15" customHeight="1" x14ac:dyDescent="0.3">
      <c r="A22" s="62" t="s">
        <v>50</v>
      </c>
      <c r="B22" s="62" t="s">
        <v>31</v>
      </c>
      <c r="C22" s="62" t="s">
        <v>2089</v>
      </c>
      <c r="D22" s="62" t="s">
        <v>2099</v>
      </c>
      <c r="E22" s="62" t="s">
        <v>2096</v>
      </c>
      <c r="F22" s="62" t="s">
        <v>2097</v>
      </c>
      <c r="G22" s="62" t="s">
        <v>2092</v>
      </c>
    </row>
    <row r="23" spans="1:8" ht="15" customHeight="1" x14ac:dyDescent="0.3">
      <c r="A23" s="63" t="s">
        <v>84</v>
      </c>
      <c r="B23" s="63">
        <v>191</v>
      </c>
      <c r="C23" s="64">
        <v>4212767</v>
      </c>
      <c r="D23" s="64">
        <v>22056.371727748701</v>
      </c>
      <c r="E23" s="65">
        <v>14.867015706806299</v>
      </c>
      <c r="F23" s="77">
        <v>9.4240837696335102</v>
      </c>
      <c r="G23" s="66">
        <v>-893245.1</v>
      </c>
    </row>
    <row r="24" spans="1:8" ht="15" customHeight="1" x14ac:dyDescent="0.3">
      <c r="A24" s="67" t="s">
        <v>72</v>
      </c>
      <c r="B24" s="67">
        <v>187</v>
      </c>
      <c r="C24" s="68">
        <v>3788403</v>
      </c>
      <c r="D24" s="68">
        <v>20258.839572192501</v>
      </c>
      <c r="E24" s="69">
        <v>15.377005347593601</v>
      </c>
      <c r="F24" s="78">
        <v>14.438502673796799</v>
      </c>
      <c r="G24" s="70">
        <v>-923508.46</v>
      </c>
    </row>
    <row r="25" spans="1:8" ht="15" customHeight="1" x14ac:dyDescent="0.3">
      <c r="A25" s="63" t="s">
        <v>61</v>
      </c>
      <c r="B25" s="63">
        <v>197</v>
      </c>
      <c r="C25" s="64">
        <v>4371262</v>
      </c>
      <c r="D25" s="64">
        <v>22189.147208121802</v>
      </c>
      <c r="E25" s="65">
        <v>15.1238578680203</v>
      </c>
      <c r="F25" s="77">
        <v>16.243654822334999</v>
      </c>
      <c r="G25" s="66">
        <v>-1388585.96</v>
      </c>
    </row>
    <row r="26" spans="1:8" ht="15" customHeight="1" x14ac:dyDescent="0.3">
      <c r="A26" s="67" t="s">
        <v>67</v>
      </c>
      <c r="B26" s="67">
        <v>211</v>
      </c>
      <c r="C26" s="68">
        <v>4432165</v>
      </c>
      <c r="D26" s="68">
        <v>21005.521327014201</v>
      </c>
      <c r="E26" s="69">
        <v>15.245971563981</v>
      </c>
      <c r="F26" s="78">
        <v>13.744075829383901</v>
      </c>
      <c r="G26" s="70">
        <v>-1127423.67</v>
      </c>
    </row>
    <row r="27" spans="1:8" ht="15" customHeight="1" x14ac:dyDescent="0.3">
      <c r="A27" s="71" t="s">
        <v>2093</v>
      </c>
      <c r="B27" s="72">
        <f t="shared" ref="B27:G27" si="1">SUM(B23:B26)</f>
        <v>786</v>
      </c>
      <c r="C27" s="73">
        <f t="shared" si="1"/>
        <v>16804597</v>
      </c>
      <c r="D27" s="73">
        <f t="shared" si="1"/>
        <v>85509.879835077212</v>
      </c>
      <c r="E27" s="74">
        <f t="shared" si="1"/>
        <v>60.613850486401205</v>
      </c>
      <c r="F27" s="79">
        <f t="shared" si="1"/>
        <v>53.850317095149208</v>
      </c>
      <c r="G27" s="75">
        <f t="shared" si="1"/>
        <v>-4332763.1899999995</v>
      </c>
      <c r="H27" s="76"/>
    </row>
    <row r="29" spans="1:8" ht="19.5" customHeight="1" x14ac:dyDescent="0.3">
      <c r="A29" s="120" t="s">
        <v>2100</v>
      </c>
      <c r="B29" s="120"/>
      <c r="C29" s="120"/>
      <c r="D29" s="120"/>
      <c r="E29" s="120"/>
      <c r="F29" s="120"/>
      <c r="G29" s="120"/>
    </row>
    <row r="30" spans="1:8" ht="15" customHeight="1" x14ac:dyDescent="0.3">
      <c r="A30" s="62" t="s">
        <v>49</v>
      </c>
      <c r="B30" s="62" t="s">
        <v>37</v>
      </c>
      <c r="C30" s="62" t="s">
        <v>36</v>
      </c>
      <c r="D30" s="62" t="s">
        <v>35</v>
      </c>
      <c r="E30" s="62" t="s">
        <v>39</v>
      </c>
      <c r="F30" s="62" t="s">
        <v>38</v>
      </c>
    </row>
    <row r="31" spans="1:8" ht="15" customHeight="1" x14ac:dyDescent="0.3">
      <c r="A31" s="63" t="s">
        <v>60</v>
      </c>
      <c r="B31" s="63">
        <v>27</v>
      </c>
      <c r="C31" s="63">
        <v>83</v>
      </c>
      <c r="D31" s="63">
        <v>129</v>
      </c>
      <c r="E31" s="63">
        <v>1</v>
      </c>
      <c r="F31" s="63">
        <v>10</v>
      </c>
    </row>
    <row r="32" spans="1:8" ht="15" customHeight="1" x14ac:dyDescent="0.3">
      <c r="A32" s="67" t="s">
        <v>83</v>
      </c>
      <c r="B32" s="67">
        <v>18</v>
      </c>
      <c r="C32" s="67">
        <v>55</v>
      </c>
      <c r="D32" s="67">
        <v>121</v>
      </c>
      <c r="E32" s="67">
        <v>3</v>
      </c>
      <c r="F32" s="67">
        <v>9</v>
      </c>
    </row>
    <row r="33" spans="1:7" ht="15" customHeight="1" x14ac:dyDescent="0.3">
      <c r="A33" s="63" t="s">
        <v>71</v>
      </c>
      <c r="B33" s="63">
        <v>16</v>
      </c>
      <c r="C33" s="63">
        <v>52</v>
      </c>
      <c r="D33" s="63">
        <v>81</v>
      </c>
      <c r="E33" s="63">
        <v>1</v>
      </c>
      <c r="F33" s="63">
        <v>4</v>
      </c>
    </row>
    <row r="34" spans="1:7" ht="15" customHeight="1" x14ac:dyDescent="0.3">
      <c r="A34" s="67" t="s">
        <v>80</v>
      </c>
      <c r="B34" s="67">
        <v>15</v>
      </c>
      <c r="C34" s="67">
        <v>54</v>
      </c>
      <c r="D34" s="67">
        <v>81</v>
      </c>
      <c r="E34" s="67">
        <v>4</v>
      </c>
      <c r="F34" s="67">
        <v>5</v>
      </c>
    </row>
    <row r="35" spans="1:7" ht="15" customHeight="1" x14ac:dyDescent="0.3">
      <c r="A35" s="63" t="s">
        <v>66</v>
      </c>
      <c r="B35" s="63">
        <v>15</v>
      </c>
      <c r="C35" s="63">
        <v>29</v>
      </c>
      <c r="D35" s="63">
        <v>57</v>
      </c>
      <c r="E35" s="63">
        <v>1</v>
      </c>
      <c r="F35" s="63">
        <v>4</v>
      </c>
    </row>
    <row r="36" spans="1:7" ht="15" customHeight="1" x14ac:dyDescent="0.3">
      <c r="A36" s="67" t="s">
        <v>114</v>
      </c>
      <c r="B36" s="67">
        <v>8</v>
      </c>
      <c r="C36" s="67">
        <v>27</v>
      </c>
      <c r="D36" s="67">
        <v>45</v>
      </c>
      <c r="E36" s="67">
        <v>1</v>
      </c>
      <c r="F36" s="67">
        <v>0</v>
      </c>
    </row>
    <row r="37" spans="1:7" ht="15" customHeight="1" x14ac:dyDescent="0.3">
      <c r="A37" s="71" t="s">
        <v>2093</v>
      </c>
      <c r="B37" s="72">
        <f>SUM(B31:B36)</f>
        <v>99</v>
      </c>
      <c r="C37" s="72">
        <f>SUM(C31:C36)</f>
        <v>300</v>
      </c>
      <c r="D37" s="72">
        <f>SUM(D31:D36)</f>
        <v>514</v>
      </c>
      <c r="E37" s="72">
        <f>SUM(E31:E36)</f>
        <v>11</v>
      </c>
      <c r="F37" s="72">
        <f>SUM(F31:F36)</f>
        <v>32</v>
      </c>
      <c r="G37" s="76"/>
    </row>
  </sheetData>
  <mergeCells count="5">
    <mergeCell ref="A1:R1"/>
    <mergeCell ref="A3:G3"/>
    <mergeCell ref="A11:H11"/>
    <mergeCell ref="A21:H21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8"/>
  <sheetViews>
    <sheetView showGridLines="0" topLeftCell="A93" zoomScaleNormal="100" workbookViewId="0">
      <selection activeCell="W96" sqref="W96"/>
    </sheetView>
  </sheetViews>
  <sheetFormatPr defaultColWidth="8.6640625" defaultRowHeight="14.4" x14ac:dyDescent="0.3"/>
  <sheetData>
    <row r="1" spans="1:26" ht="31.5" customHeight="1" x14ac:dyDescent="0.3">
      <c r="A1" s="121" t="s">
        <v>2101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3" spans="1:26" ht="15" customHeight="1" x14ac:dyDescent="0.3">
      <c r="A3" s="80" t="s">
        <v>2102</v>
      </c>
      <c r="B3" s="80" t="s">
        <v>2089</v>
      </c>
      <c r="C3" s="80" t="s">
        <v>31</v>
      </c>
      <c r="E3" s="80" t="s">
        <v>2095</v>
      </c>
      <c r="F3" s="80" t="s">
        <v>31</v>
      </c>
      <c r="G3" s="80" t="s">
        <v>2089</v>
      </c>
      <c r="I3" s="80" t="s">
        <v>30</v>
      </c>
      <c r="J3" s="80" t="s">
        <v>31</v>
      </c>
      <c r="K3" s="80" t="s">
        <v>2089</v>
      </c>
      <c r="M3" s="80" t="s">
        <v>2103</v>
      </c>
      <c r="N3" s="80" t="s">
        <v>31</v>
      </c>
      <c r="O3" s="80" t="s">
        <v>2089</v>
      </c>
    </row>
    <row r="4" spans="1:26" ht="15" customHeight="1" x14ac:dyDescent="0.3">
      <c r="A4" s="15" t="s">
        <v>2104</v>
      </c>
      <c r="B4" s="15">
        <v>801188</v>
      </c>
      <c r="C4" s="15">
        <v>35</v>
      </c>
      <c r="E4" s="15" t="s">
        <v>60</v>
      </c>
      <c r="F4" s="15">
        <v>250</v>
      </c>
      <c r="G4" s="15">
        <v>5338618</v>
      </c>
      <c r="I4" s="15" t="s">
        <v>37</v>
      </c>
      <c r="J4" s="15">
        <v>105</v>
      </c>
      <c r="K4" s="15">
        <v>2112176</v>
      </c>
      <c r="M4" s="15" t="s">
        <v>84</v>
      </c>
      <c r="N4" s="15">
        <v>191</v>
      </c>
      <c r="O4" s="15">
        <v>4212767</v>
      </c>
    </row>
    <row r="5" spans="1:26" ht="15" customHeight="1" x14ac:dyDescent="0.3">
      <c r="A5" s="15" t="s">
        <v>2105</v>
      </c>
      <c r="B5" s="15">
        <v>695282</v>
      </c>
      <c r="C5" s="15">
        <v>30</v>
      </c>
      <c r="E5" s="15" t="s">
        <v>83</v>
      </c>
      <c r="F5" s="15">
        <v>206</v>
      </c>
      <c r="G5" s="15">
        <v>4482846</v>
      </c>
      <c r="I5" s="15" t="s">
        <v>36</v>
      </c>
      <c r="J5" s="15">
        <v>310</v>
      </c>
      <c r="K5" s="15">
        <v>6467779</v>
      </c>
      <c r="M5" s="15" t="s">
        <v>72</v>
      </c>
      <c r="N5" s="15">
        <v>187</v>
      </c>
      <c r="O5" s="15">
        <v>3788403</v>
      </c>
    </row>
    <row r="6" spans="1:26" ht="15" customHeight="1" x14ac:dyDescent="0.3">
      <c r="A6" s="15" t="s">
        <v>2106</v>
      </c>
      <c r="B6" s="15">
        <v>531667</v>
      </c>
      <c r="C6" s="15">
        <v>26</v>
      </c>
      <c r="E6" s="15" t="s">
        <v>71</v>
      </c>
      <c r="F6" s="15">
        <v>154</v>
      </c>
      <c r="G6" s="15">
        <v>3235951</v>
      </c>
      <c r="I6" s="15" t="s">
        <v>35</v>
      </c>
      <c r="J6" s="15">
        <v>541</v>
      </c>
      <c r="K6" s="15">
        <v>11729795</v>
      </c>
      <c r="M6" s="15" t="s">
        <v>61</v>
      </c>
      <c r="N6" s="15">
        <v>197</v>
      </c>
      <c r="O6" s="15">
        <v>4371262</v>
      </c>
    </row>
    <row r="7" spans="1:26" ht="15" customHeight="1" x14ac:dyDescent="0.3">
      <c r="A7" s="15" t="s">
        <v>2107</v>
      </c>
      <c r="B7" s="15">
        <v>787121</v>
      </c>
      <c r="C7" s="15">
        <v>33</v>
      </c>
      <c r="E7" s="15" t="s">
        <v>80</v>
      </c>
      <c r="F7" s="15">
        <v>159</v>
      </c>
      <c r="G7" s="15">
        <v>3264798</v>
      </c>
      <c r="I7" s="15" t="s">
        <v>39</v>
      </c>
      <c r="J7" s="15">
        <v>11</v>
      </c>
      <c r="K7" s="15">
        <v>248118</v>
      </c>
      <c r="M7" s="15" t="s">
        <v>67</v>
      </c>
      <c r="N7" s="15">
        <v>211</v>
      </c>
      <c r="O7" s="15">
        <v>4432165</v>
      </c>
    </row>
    <row r="8" spans="1:26" ht="15" customHeight="1" x14ac:dyDescent="0.3">
      <c r="A8" s="15" t="s">
        <v>2108</v>
      </c>
      <c r="B8" s="15">
        <v>634756</v>
      </c>
      <c r="C8" s="15">
        <v>31</v>
      </c>
      <c r="E8" s="15" t="s">
        <v>66</v>
      </c>
      <c r="F8" s="15">
        <v>106</v>
      </c>
      <c r="G8" s="15">
        <v>2320669</v>
      </c>
      <c r="I8" s="15" t="s">
        <v>38</v>
      </c>
      <c r="J8" s="15">
        <v>33</v>
      </c>
      <c r="K8" s="15">
        <v>697676</v>
      </c>
      <c r="M8" s="15" t="s">
        <v>76</v>
      </c>
      <c r="N8" s="15">
        <v>214</v>
      </c>
      <c r="O8" s="15">
        <v>4450947</v>
      </c>
    </row>
    <row r="9" spans="1:26" ht="15" customHeight="1" x14ac:dyDescent="0.3">
      <c r="A9" s="15" t="s">
        <v>2109</v>
      </c>
      <c r="B9" s="15">
        <v>481893</v>
      </c>
      <c r="C9" s="15">
        <v>25</v>
      </c>
      <c r="E9" s="15" t="s">
        <v>114</v>
      </c>
      <c r="F9" s="15">
        <v>81</v>
      </c>
      <c r="G9" s="15">
        <v>1605848</v>
      </c>
    </row>
    <row r="10" spans="1:26" ht="15" customHeight="1" x14ac:dyDescent="0.3">
      <c r="A10" s="15" t="s">
        <v>2110</v>
      </c>
      <c r="B10" s="15">
        <v>510200</v>
      </c>
      <c r="C10" s="15">
        <v>23</v>
      </c>
      <c r="E10" s="15" t="s">
        <v>257</v>
      </c>
      <c r="F10" s="15">
        <v>44</v>
      </c>
      <c r="G10" s="15">
        <v>1006814</v>
      </c>
    </row>
    <row r="11" spans="1:26" ht="15" customHeight="1" x14ac:dyDescent="0.3">
      <c r="A11" s="15" t="s">
        <v>2111</v>
      </c>
      <c r="B11" s="15">
        <v>546366</v>
      </c>
      <c r="C11" s="15">
        <v>27</v>
      </c>
    </row>
    <row r="12" spans="1:26" ht="15" customHeight="1" x14ac:dyDescent="0.3">
      <c r="A12" s="15" t="s">
        <v>2112</v>
      </c>
      <c r="B12" s="15">
        <v>515496</v>
      </c>
      <c r="C12" s="15">
        <v>23</v>
      </c>
    </row>
    <row r="13" spans="1:26" ht="15" customHeight="1" x14ac:dyDescent="0.3">
      <c r="A13" s="15" t="s">
        <v>2113</v>
      </c>
      <c r="B13" s="15">
        <v>359820</v>
      </c>
      <c r="C13" s="15">
        <v>19</v>
      </c>
    </row>
    <row r="14" spans="1:26" ht="15" customHeight="1" x14ac:dyDescent="0.3">
      <c r="A14" s="15" t="s">
        <v>2114</v>
      </c>
      <c r="B14" s="15">
        <v>427177</v>
      </c>
      <c r="C14" s="15">
        <v>19</v>
      </c>
    </row>
    <row r="15" spans="1:26" ht="15" customHeight="1" x14ac:dyDescent="0.3">
      <c r="A15" s="15" t="s">
        <v>2115</v>
      </c>
      <c r="B15" s="15">
        <v>425361</v>
      </c>
      <c r="C15" s="15">
        <v>23</v>
      </c>
    </row>
    <row r="16" spans="1:26" ht="15" customHeight="1" x14ac:dyDescent="0.3">
      <c r="A16" s="15" t="s">
        <v>2116</v>
      </c>
      <c r="B16" s="15">
        <v>509775</v>
      </c>
      <c r="C16" s="15">
        <v>23</v>
      </c>
    </row>
    <row r="17" spans="1:3" ht="15" customHeight="1" x14ac:dyDescent="0.3">
      <c r="A17" s="15" t="s">
        <v>2117</v>
      </c>
      <c r="B17" s="15">
        <v>490831</v>
      </c>
      <c r="C17" s="15">
        <v>23</v>
      </c>
    </row>
    <row r="18" spans="1:3" ht="15" customHeight="1" x14ac:dyDescent="0.3">
      <c r="A18" s="15" t="s">
        <v>2118</v>
      </c>
      <c r="B18" s="15">
        <v>349240</v>
      </c>
      <c r="C18" s="15">
        <v>23</v>
      </c>
    </row>
    <row r="19" spans="1:3" ht="15" customHeight="1" x14ac:dyDescent="0.3">
      <c r="A19" s="15" t="s">
        <v>2119</v>
      </c>
      <c r="B19" s="15">
        <v>647344</v>
      </c>
      <c r="C19" s="15">
        <v>27</v>
      </c>
    </row>
    <row r="20" spans="1:3" ht="15" customHeight="1" x14ac:dyDescent="0.3">
      <c r="A20" s="15" t="s">
        <v>2120</v>
      </c>
      <c r="B20" s="15">
        <v>613137</v>
      </c>
      <c r="C20" s="15">
        <v>30</v>
      </c>
    </row>
    <row r="21" spans="1:3" ht="15" customHeight="1" x14ac:dyDescent="0.3">
      <c r="A21" s="15" t="s">
        <v>2121</v>
      </c>
      <c r="B21" s="15">
        <v>457945</v>
      </c>
      <c r="C21" s="15">
        <v>23</v>
      </c>
    </row>
    <row r="22" spans="1:3" ht="15" customHeight="1" x14ac:dyDescent="0.3">
      <c r="A22" s="15" t="s">
        <v>2122</v>
      </c>
      <c r="B22" s="15">
        <v>553111</v>
      </c>
      <c r="C22" s="15">
        <v>28</v>
      </c>
    </row>
    <row r="23" spans="1:3" ht="15" customHeight="1" x14ac:dyDescent="0.3">
      <c r="A23" s="15" t="s">
        <v>2123</v>
      </c>
      <c r="B23" s="15">
        <v>407113</v>
      </c>
      <c r="C23" s="15">
        <v>20</v>
      </c>
    </row>
    <row r="24" spans="1:3" ht="15" customHeight="1" x14ac:dyDescent="0.3">
      <c r="A24" s="15" t="s">
        <v>2124</v>
      </c>
      <c r="B24" s="15">
        <v>524638</v>
      </c>
      <c r="C24" s="15">
        <v>23</v>
      </c>
    </row>
    <row r="25" spans="1:3" ht="15" customHeight="1" x14ac:dyDescent="0.3">
      <c r="A25" s="15" t="s">
        <v>2125</v>
      </c>
      <c r="B25" s="15">
        <v>745056</v>
      </c>
      <c r="C25" s="15">
        <v>33</v>
      </c>
    </row>
    <row r="26" spans="1:3" ht="15" customHeight="1" x14ac:dyDescent="0.3">
      <c r="A26" s="15" t="s">
        <v>2126</v>
      </c>
      <c r="B26" s="15">
        <v>577691</v>
      </c>
      <c r="C26" s="15">
        <v>30</v>
      </c>
    </row>
    <row r="27" spans="1:3" ht="15" customHeight="1" x14ac:dyDescent="0.3">
      <c r="A27" s="15" t="s">
        <v>2127</v>
      </c>
      <c r="B27" s="15">
        <v>804709</v>
      </c>
      <c r="C27" s="15">
        <v>33</v>
      </c>
    </row>
    <row r="28" spans="1:3" ht="15" customHeight="1" x14ac:dyDescent="0.3">
      <c r="A28" s="15" t="s">
        <v>2128</v>
      </c>
      <c r="B28" s="15">
        <v>781776</v>
      </c>
      <c r="C28" s="15">
        <v>32</v>
      </c>
    </row>
    <row r="29" spans="1:3" ht="15" customHeight="1" x14ac:dyDescent="0.3">
      <c r="A29" s="15" t="s">
        <v>2129</v>
      </c>
      <c r="B29" s="15">
        <v>569847</v>
      </c>
      <c r="C29" s="15">
        <v>28</v>
      </c>
    </row>
    <row r="30" spans="1:3" ht="15" customHeight="1" x14ac:dyDescent="0.3">
      <c r="A30" s="15" t="s">
        <v>2130</v>
      </c>
      <c r="B30" s="15">
        <v>849552</v>
      </c>
      <c r="C30" s="15">
        <v>39</v>
      </c>
    </row>
    <row r="31" spans="1:3" ht="15" customHeight="1" x14ac:dyDescent="0.3">
      <c r="A31" s="15" t="s">
        <v>2131</v>
      </c>
      <c r="B31" s="15">
        <v>731409</v>
      </c>
      <c r="C31" s="15">
        <v>33</v>
      </c>
    </row>
    <row r="32" spans="1:3" ht="15" customHeight="1" x14ac:dyDescent="0.3">
      <c r="A32" s="15" t="s">
        <v>2132</v>
      </c>
      <c r="B32" s="15">
        <v>563904</v>
      </c>
      <c r="C32" s="15">
        <v>36</v>
      </c>
    </row>
    <row r="33" spans="1:13" ht="15" customHeight="1" x14ac:dyDescent="0.3">
      <c r="A33" s="15" t="s">
        <v>2135</v>
      </c>
      <c r="B33" s="15">
        <v>543497</v>
      </c>
      <c r="C33" s="15">
        <v>25</v>
      </c>
      <c r="M33" s="81" t="s">
        <v>2134</v>
      </c>
    </row>
    <row r="34" spans="1:13" ht="15" customHeight="1" x14ac:dyDescent="0.3">
      <c r="A34" s="15" t="s">
        <v>2136</v>
      </c>
      <c r="B34" s="15">
        <v>533054</v>
      </c>
      <c r="C34" s="15">
        <v>27</v>
      </c>
    </row>
    <row r="35" spans="1:13" ht="15" customHeight="1" x14ac:dyDescent="0.3">
      <c r="A35" s="15" t="s">
        <v>2137</v>
      </c>
      <c r="B35" s="15">
        <v>695543</v>
      </c>
      <c r="C35" s="15">
        <v>33</v>
      </c>
    </row>
    <row r="36" spans="1:13" ht="15" customHeight="1" x14ac:dyDescent="0.3">
      <c r="A36" s="15" t="s">
        <v>2138</v>
      </c>
      <c r="B36" s="15">
        <v>471306</v>
      </c>
      <c r="C36" s="15">
        <v>22</v>
      </c>
    </row>
    <row r="37" spans="1:13" ht="15" customHeight="1" x14ac:dyDescent="0.3">
      <c r="A37" s="15" t="s">
        <v>2139</v>
      </c>
      <c r="B37" s="15">
        <v>886443</v>
      </c>
      <c r="C37" s="15">
        <v>38</v>
      </c>
    </row>
    <row r="38" spans="1:13" ht="15" customHeight="1" x14ac:dyDescent="0.3">
      <c r="A38" s="15" t="s">
        <v>2140</v>
      </c>
      <c r="B38" s="15">
        <v>546421</v>
      </c>
      <c r="C38" s="15">
        <v>27</v>
      </c>
    </row>
    <row r="39" spans="1:13" ht="15" customHeight="1" x14ac:dyDescent="0.3">
      <c r="B39" s="15">
        <v>685875</v>
      </c>
      <c r="C39" s="15">
        <v>30</v>
      </c>
    </row>
    <row r="48" spans="1:13" x14ac:dyDescent="0.3">
      <c r="A48" s="81" t="s">
        <v>2133</v>
      </c>
    </row>
    <row r="52" spans="1:13" x14ac:dyDescent="0.3">
      <c r="A52" s="81" t="s">
        <v>2141</v>
      </c>
    </row>
    <row r="53" spans="1:13" ht="15" customHeight="1" x14ac:dyDescent="0.3">
      <c r="M53" s="81" t="s">
        <v>2142</v>
      </c>
    </row>
    <row r="73" spans="1:1" ht="15" customHeight="1" x14ac:dyDescent="0.3"/>
    <row r="78" spans="1:1" x14ac:dyDescent="0.3">
      <c r="A78" s="81" t="s">
        <v>2143</v>
      </c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zoomScaleNormal="100" workbookViewId="0">
      <pane ySplit="3" topLeftCell="A4" activePane="bottomLeft" state="frozen"/>
      <selection pane="bottomLeft" sqref="A1:J1"/>
    </sheetView>
  </sheetViews>
  <sheetFormatPr defaultColWidth="8.6640625" defaultRowHeight="14.4" x14ac:dyDescent="0.3"/>
  <cols>
    <col min="1" max="1" width="8" style="15" customWidth="1"/>
    <col min="2" max="2" width="10" style="15" customWidth="1"/>
    <col min="3" max="3" width="18" style="15" customWidth="1"/>
    <col min="4" max="4" width="14" style="15" customWidth="1"/>
    <col min="5" max="5" width="16" style="15" customWidth="1"/>
    <col min="6" max="6" width="18" style="15" customWidth="1"/>
    <col min="7" max="7" width="16" style="15" customWidth="1"/>
    <col min="8" max="9" width="10" style="15" customWidth="1"/>
  </cols>
  <sheetData>
    <row r="1" spans="1:12" ht="27.75" customHeight="1" x14ac:dyDescent="0.3">
      <c r="A1" s="119" t="s">
        <v>2144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2" ht="15" customHeight="1" x14ac:dyDescent="0.3">
      <c r="A2" s="122" t="s">
        <v>2145</v>
      </c>
      <c r="B2" s="122"/>
      <c r="C2" s="122"/>
      <c r="D2" s="122"/>
      <c r="E2" s="122"/>
      <c r="F2" s="122"/>
      <c r="G2" s="122"/>
      <c r="H2" s="122"/>
      <c r="I2" s="122"/>
      <c r="J2" s="122"/>
    </row>
    <row r="3" spans="1:12" ht="15" customHeight="1" x14ac:dyDescent="0.3">
      <c r="A3" s="37" t="s">
        <v>44</v>
      </c>
      <c r="B3" s="37" t="s">
        <v>31</v>
      </c>
      <c r="C3" s="37" t="s">
        <v>2089</v>
      </c>
      <c r="D3" s="37" t="s">
        <v>2099</v>
      </c>
      <c r="E3" s="37" t="s">
        <v>2097</v>
      </c>
      <c r="F3" s="37" t="s">
        <v>2090</v>
      </c>
      <c r="G3" s="37" t="s">
        <v>2146</v>
      </c>
      <c r="H3" s="37" t="s">
        <v>20</v>
      </c>
      <c r="I3" s="37" t="s">
        <v>21</v>
      </c>
      <c r="K3" s="80" t="s">
        <v>2147</v>
      </c>
      <c r="L3" s="80" t="s">
        <v>2089</v>
      </c>
    </row>
    <row r="4" spans="1:12" ht="15" customHeight="1" x14ac:dyDescent="0.3">
      <c r="A4" s="67" t="s">
        <v>88</v>
      </c>
      <c r="B4" s="82">
        <v>118</v>
      </c>
      <c r="C4" s="68">
        <v>2551617</v>
      </c>
      <c r="D4" s="68">
        <v>21623.87</v>
      </c>
      <c r="E4" s="78">
        <v>18.64</v>
      </c>
      <c r="F4" s="69">
        <v>15.08</v>
      </c>
      <c r="G4" s="70">
        <v>-649815.67000000004</v>
      </c>
      <c r="H4" s="69">
        <v>0.3</v>
      </c>
      <c r="I4" s="69">
        <v>0.71</v>
      </c>
      <c r="K4" s="15" t="s">
        <v>88</v>
      </c>
      <c r="L4" s="15">
        <v>2551617</v>
      </c>
    </row>
    <row r="5" spans="1:12" ht="15" customHeight="1" x14ac:dyDescent="0.3">
      <c r="A5" s="63" t="s">
        <v>97</v>
      </c>
      <c r="B5" s="83">
        <v>102</v>
      </c>
      <c r="C5" s="64">
        <v>2310129</v>
      </c>
      <c r="D5" s="64">
        <v>22648.32</v>
      </c>
      <c r="E5" s="77">
        <v>14.71</v>
      </c>
      <c r="F5" s="65">
        <v>15.49</v>
      </c>
      <c r="G5" s="66">
        <v>-531181.79</v>
      </c>
      <c r="H5" s="65">
        <v>0.28000000000000003</v>
      </c>
      <c r="I5" s="65">
        <v>0.72</v>
      </c>
      <c r="K5" s="15" t="s">
        <v>97</v>
      </c>
      <c r="L5" s="15">
        <v>2310129</v>
      </c>
    </row>
    <row r="6" spans="1:12" ht="15" customHeight="1" x14ac:dyDescent="0.3">
      <c r="A6" s="67" t="s">
        <v>65</v>
      </c>
      <c r="B6" s="82">
        <v>103</v>
      </c>
      <c r="C6" s="68">
        <v>2261248</v>
      </c>
      <c r="D6" s="68">
        <v>21953.86</v>
      </c>
      <c r="E6" s="78">
        <v>10.68</v>
      </c>
      <c r="F6" s="69">
        <v>14.23</v>
      </c>
      <c r="G6" s="70">
        <v>-660368.34</v>
      </c>
      <c r="H6" s="69">
        <v>0.27</v>
      </c>
      <c r="I6" s="69">
        <v>0.69</v>
      </c>
      <c r="K6" s="15" t="s">
        <v>65</v>
      </c>
      <c r="L6" s="15">
        <v>2261248</v>
      </c>
    </row>
    <row r="7" spans="1:12" ht="15" customHeight="1" x14ac:dyDescent="0.3">
      <c r="A7" s="63" t="s">
        <v>108</v>
      </c>
      <c r="B7" s="83">
        <v>96</v>
      </c>
      <c r="C7" s="64">
        <v>2199731</v>
      </c>
      <c r="D7" s="64">
        <v>22913.86</v>
      </c>
      <c r="E7" s="77">
        <v>12.5</v>
      </c>
      <c r="F7" s="65">
        <v>14.8</v>
      </c>
      <c r="G7" s="66">
        <v>-668259.77</v>
      </c>
      <c r="H7" s="65">
        <v>0.31</v>
      </c>
      <c r="I7" s="65">
        <v>0.7</v>
      </c>
      <c r="K7" s="15" t="s">
        <v>108</v>
      </c>
      <c r="L7" s="15">
        <v>2199731</v>
      </c>
    </row>
    <row r="8" spans="1:12" ht="15" customHeight="1" x14ac:dyDescent="0.3">
      <c r="A8" s="67" t="s">
        <v>79</v>
      </c>
      <c r="B8" s="82">
        <v>98</v>
      </c>
      <c r="C8" s="68">
        <v>2108219</v>
      </c>
      <c r="D8" s="68">
        <v>21512.44</v>
      </c>
      <c r="E8" s="78">
        <v>13.27</v>
      </c>
      <c r="F8" s="69">
        <v>15.02</v>
      </c>
      <c r="G8" s="70">
        <v>-707327.81</v>
      </c>
      <c r="H8" s="69">
        <v>0.28999999999999998</v>
      </c>
      <c r="I8" s="69">
        <v>0.71</v>
      </c>
      <c r="K8" s="15" t="s">
        <v>79</v>
      </c>
      <c r="L8" s="15">
        <v>2108219</v>
      </c>
    </row>
    <row r="9" spans="1:12" ht="15" customHeight="1" x14ac:dyDescent="0.3">
      <c r="A9" s="63" t="s">
        <v>138</v>
      </c>
      <c r="B9" s="83">
        <v>103</v>
      </c>
      <c r="C9" s="64">
        <v>2056686</v>
      </c>
      <c r="D9" s="64">
        <v>19967.830000000002</v>
      </c>
      <c r="E9" s="77">
        <v>16.5</v>
      </c>
      <c r="F9" s="65">
        <v>14.98</v>
      </c>
      <c r="G9" s="66">
        <v>-574595.97</v>
      </c>
      <c r="H9" s="65">
        <v>0.28999999999999998</v>
      </c>
      <c r="I9" s="65">
        <v>0.72</v>
      </c>
      <c r="K9" s="15" t="s">
        <v>138</v>
      </c>
      <c r="L9" s="15">
        <v>2056686</v>
      </c>
    </row>
    <row r="10" spans="1:12" ht="15" customHeight="1" x14ac:dyDescent="0.3">
      <c r="A10" s="67" t="s">
        <v>125</v>
      </c>
      <c r="B10" s="82">
        <v>106</v>
      </c>
      <c r="C10" s="68">
        <v>2034631</v>
      </c>
      <c r="D10" s="68">
        <v>19194.63</v>
      </c>
      <c r="E10" s="78">
        <v>11.32</v>
      </c>
      <c r="F10" s="69">
        <v>15.28</v>
      </c>
      <c r="G10" s="70">
        <v>-379272.36</v>
      </c>
      <c r="H10" s="69">
        <v>0.3</v>
      </c>
      <c r="I10" s="69">
        <v>0.76</v>
      </c>
      <c r="K10" s="15" t="s">
        <v>125</v>
      </c>
      <c r="L10" s="15">
        <v>2034631</v>
      </c>
    </row>
    <row r="11" spans="1:12" ht="15" customHeight="1" x14ac:dyDescent="0.3">
      <c r="A11" s="63" t="s">
        <v>113</v>
      </c>
      <c r="B11" s="83">
        <v>98</v>
      </c>
      <c r="C11" s="64">
        <v>2005298</v>
      </c>
      <c r="D11" s="64">
        <v>20462.22</v>
      </c>
      <c r="E11" s="77">
        <v>15.31</v>
      </c>
      <c r="F11" s="65">
        <v>15.54</v>
      </c>
      <c r="G11" s="66">
        <v>-488320.2</v>
      </c>
      <c r="H11" s="65">
        <v>0.3</v>
      </c>
      <c r="I11" s="65">
        <v>0.72</v>
      </c>
      <c r="K11" s="15" t="s">
        <v>113</v>
      </c>
      <c r="L11" s="15">
        <v>2005298</v>
      </c>
    </row>
    <row r="12" spans="1:12" ht="15" customHeight="1" x14ac:dyDescent="0.3">
      <c r="A12" s="67" t="s">
        <v>59</v>
      </c>
      <c r="B12" s="82">
        <v>95</v>
      </c>
      <c r="C12" s="68">
        <v>1981495</v>
      </c>
      <c r="D12" s="68">
        <v>20857.84</v>
      </c>
      <c r="E12" s="78">
        <v>15.79</v>
      </c>
      <c r="F12" s="69">
        <v>14.59</v>
      </c>
      <c r="G12" s="70">
        <v>-481835.34</v>
      </c>
      <c r="H12" s="69">
        <v>0.28000000000000003</v>
      </c>
      <c r="I12" s="69">
        <v>0.72</v>
      </c>
      <c r="K12" s="15" t="s">
        <v>59</v>
      </c>
      <c r="L12" s="15">
        <v>1981495</v>
      </c>
    </row>
    <row r="13" spans="1:12" ht="15" customHeight="1" x14ac:dyDescent="0.3">
      <c r="A13" s="63" t="s">
        <v>75</v>
      </c>
      <c r="B13" s="83">
        <v>81</v>
      </c>
      <c r="C13" s="64">
        <v>1746490</v>
      </c>
      <c r="D13" s="64">
        <v>21561.599999999999</v>
      </c>
      <c r="E13" s="77">
        <v>7.41</v>
      </c>
      <c r="F13" s="65">
        <v>15.97</v>
      </c>
      <c r="G13" s="66">
        <v>-305207.93</v>
      </c>
      <c r="H13" s="65">
        <v>0.28999999999999998</v>
      </c>
      <c r="I13" s="65">
        <v>0.76</v>
      </c>
      <c r="K13" s="15" t="s">
        <v>75</v>
      </c>
      <c r="L13" s="15">
        <v>1746490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showGridLines="0" tabSelected="1" zoomScaleNormal="100" workbookViewId="0">
      <pane ySplit="1" topLeftCell="A30" activePane="bottomLeft" state="frozen"/>
      <selection pane="bottomLeft" sqref="A1:N1"/>
    </sheetView>
  </sheetViews>
  <sheetFormatPr defaultColWidth="8.6640625" defaultRowHeight="14.4" x14ac:dyDescent="0.3"/>
  <cols>
    <col min="1" max="1" width="12" style="15" customWidth="1"/>
    <col min="2" max="7" width="18" style="15" customWidth="1"/>
  </cols>
  <sheetData>
    <row r="1" spans="1:14" ht="30" customHeight="1" x14ac:dyDescent="0.3">
      <c r="A1" s="119" t="s">
        <v>2148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3" spans="1:14" ht="15" customHeight="1" x14ac:dyDescent="0.3">
      <c r="A3" s="123" t="s">
        <v>2149</v>
      </c>
      <c r="B3" s="123"/>
      <c r="C3" s="123"/>
      <c r="D3" s="123"/>
      <c r="E3" s="123"/>
      <c r="F3" s="123"/>
    </row>
    <row r="4" spans="1:14" ht="15" customHeight="1" x14ac:dyDescent="0.3">
      <c r="A4" s="124" t="s">
        <v>2150</v>
      </c>
      <c r="B4" s="124"/>
      <c r="C4" s="124"/>
      <c r="D4" s="84">
        <v>1000</v>
      </c>
    </row>
    <row r="5" spans="1:14" ht="15" customHeight="1" x14ac:dyDescent="0.3">
      <c r="A5" s="124" t="s">
        <v>2151</v>
      </c>
      <c r="B5" s="124"/>
      <c r="C5" s="124"/>
      <c r="D5" s="85">
        <v>21255544</v>
      </c>
    </row>
    <row r="6" spans="1:14" ht="15" customHeight="1" x14ac:dyDescent="0.3">
      <c r="A6" s="124" t="s">
        <v>2152</v>
      </c>
      <c r="B6" s="124"/>
      <c r="C6" s="124"/>
      <c r="D6" s="86">
        <v>15.0814</v>
      </c>
    </row>
    <row r="7" spans="1:14" ht="15" customHeight="1" x14ac:dyDescent="0.3">
      <c r="A7" s="124" t="s">
        <v>2153</v>
      </c>
      <c r="B7" s="124"/>
      <c r="C7" s="124"/>
      <c r="D7" s="86">
        <v>13.8</v>
      </c>
    </row>
    <row r="8" spans="1:14" ht="15" customHeight="1" x14ac:dyDescent="0.3">
      <c r="A8" s="124" t="s">
        <v>2154</v>
      </c>
      <c r="B8" s="124"/>
      <c r="C8" s="124"/>
      <c r="D8" s="86">
        <v>2</v>
      </c>
    </row>
    <row r="9" spans="1:14" ht="15" customHeight="1" x14ac:dyDescent="0.3">
      <c r="A9" s="124" t="s">
        <v>2155</v>
      </c>
      <c r="B9" s="124"/>
      <c r="C9" s="124"/>
      <c r="D9" s="85">
        <v>15743687.109999999</v>
      </c>
    </row>
    <row r="10" spans="1:14" ht="15" customHeight="1" x14ac:dyDescent="0.3">
      <c r="A10" s="124" t="s">
        <v>2156</v>
      </c>
      <c r="B10" s="124"/>
      <c r="C10" s="124"/>
      <c r="D10" s="85">
        <v>608948.6</v>
      </c>
    </row>
    <row r="12" spans="1:14" ht="15" customHeight="1" x14ac:dyDescent="0.3">
      <c r="A12" s="123" t="s">
        <v>2157</v>
      </c>
      <c r="B12" s="123"/>
      <c r="C12" s="123"/>
      <c r="D12" s="123"/>
      <c r="E12" s="123"/>
      <c r="F12" s="123"/>
    </row>
    <row r="13" spans="1:14" ht="15" customHeight="1" x14ac:dyDescent="0.3">
      <c r="A13" s="125" t="s">
        <v>2158</v>
      </c>
      <c r="B13" s="125"/>
      <c r="C13" s="125"/>
      <c r="D13" s="87" t="s">
        <v>2159</v>
      </c>
      <c r="E13" s="125" t="s">
        <v>2160</v>
      </c>
      <c r="F13" s="125"/>
    </row>
    <row r="14" spans="1:14" ht="15" customHeight="1" x14ac:dyDescent="0.3">
      <c r="A14" s="126" t="s">
        <v>2161</v>
      </c>
      <c r="B14" s="126"/>
      <c r="C14" s="126"/>
      <c r="D14" s="88">
        <v>5000000</v>
      </c>
      <c r="E14" s="127" t="s">
        <v>2162</v>
      </c>
      <c r="F14" s="127"/>
    </row>
    <row r="15" spans="1:14" ht="15" customHeight="1" x14ac:dyDescent="0.3">
      <c r="A15" s="126" t="s">
        <v>2163</v>
      </c>
      <c r="B15" s="126"/>
      <c r="C15" s="126"/>
      <c r="D15" s="88">
        <f>D5*D8/100</f>
        <v>425110.88</v>
      </c>
      <c r="E15" s="127" t="s">
        <v>2164</v>
      </c>
      <c r="F15" s="127"/>
    </row>
    <row r="16" spans="1:14" ht="15" customHeight="1" x14ac:dyDescent="0.3">
      <c r="A16" s="126" t="s">
        <v>2165</v>
      </c>
      <c r="B16" s="126"/>
      <c r="C16" s="126"/>
      <c r="D16" s="88">
        <f>D14+D15</f>
        <v>5425110.8799999999</v>
      </c>
      <c r="E16" s="127" t="s">
        <v>2166</v>
      </c>
      <c r="F16" s="127"/>
    </row>
    <row r="17" spans="1:6" ht="15" customHeight="1" x14ac:dyDescent="0.3">
      <c r="A17" s="126" t="s">
        <v>2167</v>
      </c>
      <c r="B17" s="126"/>
      <c r="C17" s="126"/>
      <c r="D17" s="89">
        <f>((D16/D5)-1)*100*(12/24)</f>
        <v>-37.238362659643052</v>
      </c>
      <c r="E17" s="127" t="s">
        <v>2168</v>
      </c>
      <c r="F17" s="127"/>
    </row>
    <row r="18" spans="1:6" ht="15" customHeight="1" x14ac:dyDescent="0.3">
      <c r="A18" s="126" t="s">
        <v>2169</v>
      </c>
      <c r="B18" s="126"/>
      <c r="C18" s="126"/>
      <c r="D18" s="88">
        <f>D9+D10-D5-D15</f>
        <v>-5328019.1700000009</v>
      </c>
      <c r="E18" s="127" t="s">
        <v>2170</v>
      </c>
      <c r="F18" s="127"/>
    </row>
    <row r="20" spans="1:6" ht="15" customHeight="1" x14ac:dyDescent="0.3">
      <c r="A20" s="128" t="s">
        <v>2171</v>
      </c>
      <c r="B20" s="128"/>
      <c r="C20" s="128"/>
      <c r="D20" s="128"/>
      <c r="E20" s="128"/>
      <c r="F20" s="128"/>
    </row>
    <row r="22" spans="1:6" ht="15" customHeight="1" x14ac:dyDescent="0.3">
      <c r="A22" s="123" t="s">
        <v>2172</v>
      </c>
      <c r="B22" s="123"/>
      <c r="C22" s="123"/>
      <c r="D22" s="123"/>
      <c r="E22" s="123"/>
      <c r="F22" s="123"/>
    </row>
    <row r="23" spans="1:6" ht="15" customHeight="1" x14ac:dyDescent="0.3">
      <c r="A23" s="62" t="s">
        <v>2173</v>
      </c>
      <c r="B23" s="62" t="s">
        <v>2174</v>
      </c>
      <c r="C23" s="62" t="s">
        <v>2175</v>
      </c>
      <c r="D23" s="62" t="s">
        <v>2176</v>
      </c>
    </row>
    <row r="24" spans="1:6" ht="15" customHeight="1" x14ac:dyDescent="0.3">
      <c r="A24" s="90" t="s">
        <v>2090</v>
      </c>
      <c r="B24" s="91">
        <v>15.0814</v>
      </c>
      <c r="C24" s="92">
        <v>16.58954</v>
      </c>
      <c r="D24" s="93">
        <v>14.32733</v>
      </c>
    </row>
    <row r="25" spans="1:6" ht="15" customHeight="1" x14ac:dyDescent="0.3">
      <c r="A25" s="94" t="s">
        <v>2097</v>
      </c>
      <c r="B25" s="91">
        <v>13.8</v>
      </c>
      <c r="C25" s="92">
        <v>13.11</v>
      </c>
      <c r="D25" s="93">
        <v>15.87</v>
      </c>
    </row>
    <row r="26" spans="1:6" ht="15" customHeight="1" x14ac:dyDescent="0.3">
      <c r="A26" s="90" t="s">
        <v>2177</v>
      </c>
      <c r="B26" s="95">
        <v>12822534.451264</v>
      </c>
      <c r="C26" s="96">
        <v>14104787.896390401</v>
      </c>
      <c r="D26" s="97">
        <v>12181407.7287008</v>
      </c>
    </row>
    <row r="27" spans="1:6" ht="15" customHeight="1" x14ac:dyDescent="0.3">
      <c r="A27" s="94" t="s">
        <v>2178</v>
      </c>
      <c r="B27" s="95">
        <v>2933265.0720000002</v>
      </c>
      <c r="C27" s="96">
        <v>2786601.8184000002</v>
      </c>
      <c r="D27" s="97">
        <v>3373254.8328</v>
      </c>
    </row>
    <row r="28" spans="1:6" ht="15" customHeight="1" x14ac:dyDescent="0.3">
      <c r="A28" s="90" t="s">
        <v>2163</v>
      </c>
      <c r="B28" s="95">
        <v>425110.88</v>
      </c>
      <c r="C28" s="96">
        <v>425110.88</v>
      </c>
      <c r="D28" s="97">
        <v>425110.88</v>
      </c>
    </row>
    <row r="29" spans="1:6" ht="15" customHeight="1" x14ac:dyDescent="0.3">
      <c r="A29" s="98" t="s">
        <v>2179</v>
      </c>
      <c r="B29" s="99">
        <v>9464158.499264</v>
      </c>
      <c r="C29" s="100">
        <v>10893075.197990401</v>
      </c>
      <c r="D29" s="101">
        <v>8383042.0159008</v>
      </c>
    </row>
    <row r="30" spans="1:6" ht="15" customHeight="1" x14ac:dyDescent="0.3">
      <c r="A30" s="90" t="s">
        <v>2180</v>
      </c>
      <c r="B30" s="95">
        <v>0</v>
      </c>
      <c r="C30" s="96">
        <v>1428916.6987264</v>
      </c>
      <c r="D30" s="97">
        <v>-1081116.4833632</v>
      </c>
    </row>
    <row r="31" spans="1:6" ht="15" customHeight="1" x14ac:dyDescent="0.3">
      <c r="A31" s="94" t="s">
        <v>2181</v>
      </c>
      <c r="B31" s="91">
        <v>0</v>
      </c>
      <c r="C31" s="92">
        <v>15.098190703775</v>
      </c>
      <c r="D31" s="93">
        <v>-11.423271106958699</v>
      </c>
    </row>
    <row r="33" spans="1:14" ht="15" customHeight="1" x14ac:dyDescent="0.3">
      <c r="A33" s="128" t="s">
        <v>2182</v>
      </c>
      <c r="B33" s="128"/>
      <c r="C33" s="128"/>
      <c r="D33" s="128"/>
      <c r="E33" s="128"/>
      <c r="F33" s="128"/>
    </row>
    <row r="35" spans="1:14" ht="15" customHeight="1" x14ac:dyDescent="0.3">
      <c r="A35" s="123" t="s">
        <v>2183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</row>
    <row r="36" spans="1:14" ht="15" customHeight="1" x14ac:dyDescent="0.3">
      <c r="A36" s="129" t="s">
        <v>2184</v>
      </c>
      <c r="B36" s="129"/>
      <c r="C36" s="129"/>
      <c r="D36" s="129"/>
    </row>
    <row r="37" spans="1:14" ht="30" customHeight="1" x14ac:dyDescent="0.3">
      <c r="A37" s="102" t="s">
        <v>2185</v>
      </c>
      <c r="B37" s="103" t="s">
        <v>2186</v>
      </c>
      <c r="C37" s="103" t="s">
        <v>2187</v>
      </c>
      <c r="D37" s="103" t="s">
        <v>2188</v>
      </c>
      <c r="E37" s="103" t="s">
        <v>2189</v>
      </c>
      <c r="F37" s="103" t="s">
        <v>2190</v>
      </c>
      <c r="G37" s="103" t="s">
        <v>2191</v>
      </c>
    </row>
    <row r="38" spans="1:14" ht="15" customHeight="1" x14ac:dyDescent="0.3">
      <c r="A38" s="103" t="s">
        <v>2192</v>
      </c>
      <c r="B38" s="104">
        <v>4463664</v>
      </c>
      <c r="C38" s="105">
        <v>5313886</v>
      </c>
      <c r="D38" s="105">
        <v>6164108</v>
      </c>
      <c r="E38" s="105">
        <v>7014330</v>
      </c>
      <c r="F38" s="105">
        <v>7864551</v>
      </c>
      <c r="G38" s="105">
        <v>8714773</v>
      </c>
    </row>
    <row r="39" spans="1:14" ht="15" customHeight="1" x14ac:dyDescent="0.3">
      <c r="A39" s="103" t="s">
        <v>2193</v>
      </c>
      <c r="B39" s="106">
        <v>4251109</v>
      </c>
      <c r="C39" s="105">
        <v>5101331</v>
      </c>
      <c r="D39" s="105">
        <v>5951552</v>
      </c>
      <c r="E39" s="105">
        <v>6801774</v>
      </c>
      <c r="F39" s="105">
        <v>7651996</v>
      </c>
      <c r="G39" s="105">
        <v>8502218</v>
      </c>
    </row>
    <row r="40" spans="1:14" ht="15" customHeight="1" x14ac:dyDescent="0.3">
      <c r="A40" s="103" t="s">
        <v>2186</v>
      </c>
      <c r="B40" s="107">
        <v>4038553</v>
      </c>
      <c r="C40" s="108">
        <v>4888775</v>
      </c>
      <c r="D40" s="105">
        <v>5738997</v>
      </c>
      <c r="E40" s="105">
        <v>6589219</v>
      </c>
      <c r="F40" s="105">
        <v>7439440</v>
      </c>
      <c r="G40" s="105">
        <v>8289662</v>
      </c>
    </row>
    <row r="41" spans="1:14" ht="15" customHeight="1" x14ac:dyDescent="0.3">
      <c r="A41" s="103" t="s">
        <v>2187</v>
      </c>
      <c r="B41" s="109">
        <v>3825998</v>
      </c>
      <c r="C41" s="110">
        <v>4676220</v>
      </c>
      <c r="D41" s="105">
        <v>5526441</v>
      </c>
      <c r="E41" s="105">
        <v>6376663</v>
      </c>
      <c r="F41" s="105">
        <v>7226885</v>
      </c>
      <c r="G41" s="105">
        <v>8077107</v>
      </c>
    </row>
    <row r="42" spans="1:14" ht="15" customHeight="1" x14ac:dyDescent="0.3">
      <c r="A42" s="103" t="s">
        <v>2188</v>
      </c>
      <c r="B42" s="111">
        <v>3613442</v>
      </c>
      <c r="C42" s="104">
        <v>4463664</v>
      </c>
      <c r="D42" s="105">
        <v>5313886</v>
      </c>
      <c r="E42" s="105">
        <v>6164108</v>
      </c>
      <c r="F42" s="105">
        <v>7014330</v>
      </c>
      <c r="G42" s="105">
        <v>7864551</v>
      </c>
    </row>
    <row r="43" spans="1:14" ht="15" customHeight="1" x14ac:dyDescent="0.3">
      <c r="A43" s="103" t="s">
        <v>2189</v>
      </c>
      <c r="B43" s="112">
        <v>3400887</v>
      </c>
      <c r="C43" s="106">
        <v>4251109</v>
      </c>
      <c r="D43" s="105">
        <v>5101331</v>
      </c>
      <c r="E43" s="105">
        <v>5951552</v>
      </c>
      <c r="F43" s="105">
        <v>6801774</v>
      </c>
      <c r="G43" s="105">
        <v>7651996</v>
      </c>
    </row>
    <row r="44" spans="1:14" ht="15" customHeight="1" x14ac:dyDescent="0.3">
      <c r="A44" s="103" t="s">
        <v>2190</v>
      </c>
      <c r="B44" s="113">
        <v>3188332</v>
      </c>
      <c r="C44" s="107">
        <v>4038553</v>
      </c>
      <c r="D44" s="108">
        <v>4888775</v>
      </c>
      <c r="E44" s="105">
        <v>5738997</v>
      </c>
      <c r="F44" s="105">
        <v>6589219</v>
      </c>
      <c r="G44" s="105">
        <v>7439440</v>
      </c>
    </row>
    <row r="45" spans="1:14" ht="15" customHeight="1" x14ac:dyDescent="0.3">
      <c r="A45" s="103" t="s">
        <v>2191</v>
      </c>
      <c r="B45" s="114">
        <v>2975776</v>
      </c>
      <c r="C45" s="109">
        <v>3825998</v>
      </c>
      <c r="D45" s="110">
        <v>4676220</v>
      </c>
      <c r="E45" s="105">
        <v>5526441</v>
      </c>
      <c r="F45" s="105">
        <v>6376663</v>
      </c>
      <c r="G45" s="105">
        <v>7226885</v>
      </c>
    </row>
    <row r="46" spans="1:14" ht="15" customHeight="1" x14ac:dyDescent="0.3">
      <c r="A46" s="103" t="s">
        <v>2194</v>
      </c>
      <c r="B46" s="114">
        <v>2763221</v>
      </c>
      <c r="C46" s="111">
        <v>3613442</v>
      </c>
      <c r="D46" s="104">
        <v>4463664</v>
      </c>
      <c r="E46" s="105">
        <v>5313886</v>
      </c>
      <c r="F46" s="105">
        <v>6164108</v>
      </c>
      <c r="G46" s="105">
        <v>7014330</v>
      </c>
    </row>
    <row r="47" spans="1:14" ht="15" customHeight="1" x14ac:dyDescent="0.3">
      <c r="A47" s="103" t="s">
        <v>2195</v>
      </c>
      <c r="B47" s="114">
        <v>2550665</v>
      </c>
      <c r="C47" s="112">
        <v>3400887</v>
      </c>
      <c r="D47" s="106">
        <v>4251109</v>
      </c>
      <c r="E47" s="105">
        <v>5101331</v>
      </c>
      <c r="F47" s="105">
        <v>5951552</v>
      </c>
      <c r="G47" s="105">
        <v>6801774</v>
      </c>
    </row>
    <row r="48" spans="1:14" ht="15" customHeight="1" x14ac:dyDescent="0.3">
      <c r="A48" s="103" t="s">
        <v>2196</v>
      </c>
      <c r="B48" s="114">
        <v>2338110</v>
      </c>
      <c r="C48" s="113">
        <v>3188332</v>
      </c>
      <c r="D48" s="107">
        <v>4038553</v>
      </c>
      <c r="E48" s="108">
        <v>4888775</v>
      </c>
      <c r="F48" s="105">
        <v>5738997</v>
      </c>
      <c r="G48" s="105">
        <v>6589219</v>
      </c>
    </row>
    <row r="49" spans="1:7" ht="15" customHeight="1" x14ac:dyDescent="0.3">
      <c r="A49" s="103" t="s">
        <v>2197</v>
      </c>
      <c r="B49" s="114">
        <v>2125554</v>
      </c>
      <c r="C49" s="114">
        <v>2975776</v>
      </c>
      <c r="D49" s="109">
        <v>3825998</v>
      </c>
      <c r="E49" s="110">
        <v>4676220</v>
      </c>
      <c r="F49" s="105">
        <v>5526441</v>
      </c>
      <c r="G49" s="105">
        <v>6376663</v>
      </c>
    </row>
    <row r="50" spans="1:7" ht="15" customHeight="1" x14ac:dyDescent="0.3">
      <c r="A50" s="103" t="s">
        <v>2198</v>
      </c>
      <c r="B50" s="114">
        <v>1912999</v>
      </c>
      <c r="C50" s="114">
        <v>2763221</v>
      </c>
      <c r="D50" s="111">
        <v>3613442</v>
      </c>
      <c r="E50" s="104">
        <v>4463664</v>
      </c>
      <c r="F50" s="105">
        <v>5313886</v>
      </c>
      <c r="G50" s="105">
        <v>6164108</v>
      </c>
    </row>
    <row r="51" spans="1:7" ht="15" customHeight="1" x14ac:dyDescent="0.3">
      <c r="A51" s="103" t="s">
        <v>2199</v>
      </c>
      <c r="B51" s="114">
        <v>1700444</v>
      </c>
      <c r="C51" s="114">
        <v>2550665</v>
      </c>
      <c r="D51" s="112">
        <v>3400887</v>
      </c>
      <c r="E51" s="106">
        <v>4251109</v>
      </c>
      <c r="F51" s="105">
        <v>5101331</v>
      </c>
      <c r="G51" s="105">
        <v>5951552</v>
      </c>
    </row>
    <row r="52" spans="1:7" ht="15" customHeight="1" x14ac:dyDescent="0.3">
      <c r="A52" s="103" t="s">
        <v>2200</v>
      </c>
      <c r="B52" s="114">
        <v>1487888</v>
      </c>
      <c r="C52" s="114">
        <v>2338110</v>
      </c>
      <c r="D52" s="113">
        <v>3188332</v>
      </c>
      <c r="E52" s="107">
        <v>4038553</v>
      </c>
      <c r="F52" s="108">
        <v>4888775</v>
      </c>
      <c r="G52" s="105">
        <v>5738997</v>
      </c>
    </row>
    <row r="53" spans="1:7" ht="15" customHeight="1" x14ac:dyDescent="0.3">
      <c r="A53" s="103" t="s">
        <v>2201</v>
      </c>
      <c r="B53" s="114">
        <v>1275333</v>
      </c>
      <c r="C53" s="114">
        <v>2125554</v>
      </c>
      <c r="D53" s="114">
        <v>2975776</v>
      </c>
      <c r="E53" s="109">
        <v>3825998</v>
      </c>
      <c r="F53" s="110">
        <v>4676220</v>
      </c>
      <c r="G53" s="105">
        <v>5526441</v>
      </c>
    </row>
    <row r="55" spans="1:7" ht="15" customHeight="1" x14ac:dyDescent="0.3">
      <c r="A55" s="128" t="s">
        <v>2202</v>
      </c>
      <c r="B55" s="128"/>
      <c r="C55" s="128"/>
      <c r="D55" s="128"/>
      <c r="E55" s="128"/>
      <c r="F55" s="128"/>
    </row>
  </sheetData>
  <mergeCells count="28">
    <mergeCell ref="A55:F55"/>
    <mergeCell ref="A20:F20"/>
    <mergeCell ref="A22:F22"/>
    <mergeCell ref="A33:F33"/>
    <mergeCell ref="A35:N35"/>
    <mergeCell ref="A36:D36"/>
    <mergeCell ref="A16:C16"/>
    <mergeCell ref="E16:F16"/>
    <mergeCell ref="A17:C17"/>
    <mergeCell ref="E17:F17"/>
    <mergeCell ref="A18:C18"/>
    <mergeCell ref="E18:F18"/>
    <mergeCell ref="A13:C13"/>
    <mergeCell ref="E13:F13"/>
    <mergeCell ref="A14:C14"/>
    <mergeCell ref="E14:F14"/>
    <mergeCell ref="A15:C15"/>
    <mergeCell ref="E15:F15"/>
    <mergeCell ref="A7:C7"/>
    <mergeCell ref="A8:C8"/>
    <mergeCell ref="A9:C9"/>
    <mergeCell ref="A10:C10"/>
    <mergeCell ref="A12:F12"/>
    <mergeCell ref="A1:N1"/>
    <mergeCell ref="A3:F3"/>
    <mergeCell ref="A4:C4"/>
    <mergeCell ref="A5:C5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 Data</vt:lpstr>
      <vt:lpstr>KPI Data</vt:lpstr>
      <vt:lpstr>Pivot Tables</vt:lpstr>
      <vt:lpstr>Charts</vt:lpstr>
      <vt:lpstr>Geographic Analysis</vt:lpstr>
      <vt:lpstr>What-If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upendrachary35698@outlook.com</cp:lastModifiedBy>
  <cp:revision>2</cp:revision>
  <dcterms:created xsi:type="dcterms:W3CDTF">2026-03-20T13:51:09Z</dcterms:created>
  <dcterms:modified xsi:type="dcterms:W3CDTF">2026-03-20T14:30:25Z</dcterms:modified>
  <dc:language>en-US</dc:language>
</cp:coreProperties>
</file>