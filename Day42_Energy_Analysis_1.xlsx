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QL Analysis" sheetId="2" state="visible" r:id="rId4"/>
    <sheet name="KPI Summary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<sst xmlns="http://schemas.openxmlformats.org/spreadsheetml/2006/main" count="192" uniqueCount="106">
  <si>
    <t xml:space="preserve">⚡  DAY 42 — ENERGY DOMAIN CHALLENGE | Raw Dataset</t>
  </si>
  <si>
    <t xml:space="preserve">Source: Synthetic Energy Consumption Dataset (Jan 2024) | 10 Customers | 4 Regions | 4 Energy Sources</t>
  </si>
  <si>
    <t xml:space="preserve">Customer ID</t>
  </si>
  <si>
    <t xml:space="preserve">Region</t>
  </si>
  <si>
    <t xml:space="preserve">Energy Source</t>
  </si>
  <si>
    <t xml:space="preserve">Consumption (kWh)</t>
  </si>
  <si>
    <t xml:space="preserve">Billing Amount (₹)</t>
  </si>
  <si>
    <t xml:space="preserve">Payment Status</t>
  </si>
  <si>
    <t xml:space="preserve">Bill Date</t>
  </si>
  <si>
    <t xml:space="preserve">South</t>
  </si>
  <si>
    <t xml:space="preserve">Solar</t>
  </si>
  <si>
    <t xml:space="preserve">Paid</t>
  </si>
  <si>
    <t xml:space="preserve">2024-01-01</t>
  </si>
  <si>
    <t xml:space="preserve">North</t>
  </si>
  <si>
    <t xml:space="preserve">Coal</t>
  </si>
  <si>
    <t xml:space="preserve">Pending</t>
  </si>
  <si>
    <t xml:space="preserve">2024-01-02</t>
  </si>
  <si>
    <t xml:space="preserve">East</t>
  </si>
  <si>
    <t xml:space="preserve">Wind</t>
  </si>
  <si>
    <t xml:space="preserve">2024-01-03</t>
  </si>
  <si>
    <t xml:space="preserve">West</t>
  </si>
  <si>
    <t xml:space="preserve">Hydro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</si>
  <si>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</si>
  <si>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</si>
  <si>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</si>
  <si>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</si>
  <si>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</si>
  <si>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</si>
  <si>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</si>
  <si>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TOTALS</t>
  </si>
  <si>
    <t xml:space="preserve">⚡  SQL ANALYSIS RESULTS — Energy Consumption</t>
  </si>
  <si>
    <t xml:space="preserve">📍 Consumption by Region</t>
  </si>
  <si>
    <t xml:space="preserve">Total Consumption (kWh)</t>
  </si>
  <si>
    <t xml:space="preserve">% Share</t>
  </si>
  <si>
    <t xml:space="preserve">Avg Billing (₹)</t>
  </si>
  <si>
    <t xml:space="preserve">⚡ Revenue by Energy Source</t>
  </si>
  <si>
    <t xml:space="preserve">Total Revenue (₹)</t>
  </si>
  <si>
    <t xml:space="preserve">Revenue %</t>
  </si>
  <si>
    <t xml:space="preserve">Total Consumption</t>
  </si>
  <si>
    <t xml:space="preserve">Revenue/kWh</t>
  </si>
  <si>
    <t xml:space="preserve">📊 Business Questions — Key Findings</t>
  </si>
  <si>
    <t xml:space="preserve">Business Question</t>
  </si>
  <si>
    <t xml:space="preserve">Key Result</t>
  </si>
  <si>
    <t xml:space="preserve">Additional Context</t>
  </si>
  <si>
    <t xml:space="preserve">Highest Consuming Region</t>
  </si>
  <si>
    <t xml:space="preserve">950 kWh</t>
  </si>
  <si>
    <t xml:space="preserve">Total Revenue Generated</t>
  </si>
  <si>
    <t xml:space="preserve">₹31,700</t>
  </si>
  <si>
    <t xml:space="preserve">10 Customers</t>
  </si>
  <si>
    <t xml:space="preserve">Avg Billing per Customer</t>
  </si>
  <si>
    <t xml:space="preserve">₹3,170</t>
  </si>
  <si>
    <t xml:space="preserve">Median ₹2,800</t>
  </si>
  <si>
    <t xml:space="preserve">Pending Payment Count</t>
  </si>
  <si>
    <t xml:space="preserve">4 Customers</t>
  </si>
  <si>
    <t xml:space="preserve">40% of customers</t>
  </si>
  <si>
    <t xml:space="preserve">Revenue Stuck (Pending)</t>
  </si>
  <si>
    <t xml:space="preserve">₹16,700</t>
  </si>
  <si>
    <t xml:space="preserve">52.68% at risk</t>
  </si>
  <si>
    <t xml:space="preserve">Top Consumer</t>
  </si>
  <si>
    <t xml:space="preserve">Customer 110</t>
  </si>
  <si>
    <t xml:space="preserve">500 kWh | Coal</t>
  </si>
  <si>
    <t xml:space="preserve">Highest Revenue Source</t>
  </si>
  <si>
    <t xml:space="preserve">₹13,500 (42.59%)</t>
  </si>
  <si>
    <t xml:space="preserve">🎯 Top 3 Customers by Consumption</t>
  </si>
  <si>
    <t xml:space="preserve">Rank</t>
  </si>
  <si>
    <t xml:space="preserve">💳 Payment Status Revenue Split</t>
  </si>
  <si>
    <t xml:space="preserve">Customer Count</t>
  </si>
  <si>
    <t xml:space="preserve">Total Billing (₹)</t>
  </si>
  <si>
    <t xml:space="preserve">📈 Daily Consumption Trend (Jan 2024)</t>
  </si>
  <si>
    <t xml:space="preserve">Date</t>
  </si>
  <si>
    <t xml:space="preserve">Running Total (kWh)</t>
  </si>
  <si>
    <t xml:space="preserve">⚡ ENERGY ANALYTICS — KPI SUMMARY DASHBOARD</t>
  </si>
  <si>
    <t xml:space="preserve">Jan 2024 | 10 Customers | 4 Regions | 4 Energy Sources</t>
  </si>
  <si>
    <t xml:space="preserve">⚡  Total Consumption</t>
  </si>
  <si>
    <t xml:space="preserve">💰  Total Revenue</t>
  </si>
  <si>
    <t xml:space="preserve">⏳  Pending Payments</t>
  </si>
  <si>
    <t xml:space="preserve">4</t>
  </si>
  <si>
    <t xml:space="preserve">📊  Avg Consumption</t>
  </si>
  <si>
    <t xml:space="preserve">💳  Pending Revenue</t>
  </si>
  <si>
    <t xml:space="preserve">16700</t>
  </si>
  <si>
    <t xml:space="preserve">🏆  Top Region</t>
  </si>
  <si>
    <t xml:space="preserve">📍 REGION-WISE BREAKDOWN</t>
  </si>
  <si>
    <t xml:space="preserve">Revenue (₹)</t>
  </si>
  <si>
    <t xml:space="preserve">Status</t>
  </si>
  <si>
    <t xml:space="preserve">Highest Consuming</t>
  </si>
  <si>
    <t xml:space="preserve">2 Pending</t>
  </si>
  <si>
    <t xml:space="preserve">Fully Paid</t>
  </si>
  <si>
    <t xml:space="preserve">1 Pending</t>
  </si>
  <si>
    <t xml:space="preserve">💡 BUSINESS INSIGHTS</t>
  </si>
  <si>
    <t xml:space="preserve">🔴  52.68% of revenue (₹16,700) is stuck in pending payments — immediate recovery needed.</t>
  </si>
  <si>
    <t xml:space="preserve">🟠  North region leads in consumption (950 kWh) AND has 2 pending customers (102, 110).</t>
  </si>
  <si>
    <t xml:space="preserve">🟡  Coal-based customers are highest consumers AND have highest pending ratios.</t>
  </si>
  <si>
    <t xml:space="preserve">🟢  Wind energy has best revenue/kWh ratio (₹12.14/kWh) — most efficient source.</t>
  </si>
  <si>
    <t xml:space="preserve">🔵  Customer 110 is highest risk: 500 kWh consumption, ₹6,000 pending — top priority.</t>
  </si>
  <si>
    <t xml:space="preserve">📊 CHART DATA — Energy Domain Analysis</t>
  </si>
  <si>
    <t xml:space="preserve">Count</t>
  </si>
  <si>
    <t xml:space="preserve">Jan 01</t>
  </si>
  <si>
    <t xml:space="preserve">Jan 02</t>
  </si>
  <si>
    <t xml:space="preserve">Jan 03</t>
  </si>
  <si>
    <t xml:space="preserve">Jan 04</t>
  </si>
  <si>
    <t xml:space="preserve">Jan 05</t>
  </si>
  <si>
    <t xml:space="preserve">Jan 06</t>
  </si>
  <si>
    <t xml:space="preserve">Jan 07</t>
  </si>
  <si>
    <t xml:space="preserve">Jan 08</t>
  </si>
  <si>
    <t xml:space="preserve">Jan 09</t>
  </si>
  <si>
    <t xml:space="preserve">Jan 10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</si>
</sst>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"/>
    <numFmt numFmtId="166" formatCode="\₹#,##0"/>
    <numFmt numFmtId="167" formatCode="#,##0"/>
    <numFmt numFmtId="168" formatCode="0.00%"/>
    <numFmt numFmtId="169" formatCode="\₹0.00"/>
    <numFmt numFmtId="170" formatCode="#,##0.0&quot; kWh&quot;"/>
    <numFmt numFmtId="171" formatCode="0&quot; Customers&quot;"/>
    <numFmt numFmtId="172" formatCode="@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1A3C6E"/>
      <name val="Calibri"/>
      <family val="0"/>
      <charset val="1"/>
    </font>
    <font>
      <b val="true"/>
      <sz val="10"/>
      <color rgb="FFF97316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2"/>
      <color rgb="FF334155"/>
      <name val="Calibri"/>
      <family val="0"/>
      <charset val="1"/>
    </font>
    <font>
      <b val="true"/>
      <sz val="22"/>
      <color rgb="FF2563EB"/>
      <name val="Calibri"/>
      <family val="0"/>
      <charset val="1"/>
    </font>
    <font>
      <b val="true"/>
      <sz val="22"/>
      <color rgb="FF16A34A"/>
      <name val="Calibri"/>
      <family val="0"/>
      <charset val="1"/>
    </font>
    <font>
      <b val="true"/>
      <sz val="22"/>
      <color rgb="FFDC2626"/>
      <name val="Calibri"/>
      <family val="0"/>
      <charset val="1"/>
    </font>
    <font>
      <b val="true"/>
      <sz val="22"/>
      <color rgb="FFF97316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A3C6E"/>
        <bgColor rgb="FF334155"/>
      </patternFill>
    </fill>
    <fill>
      <patternFill patternType="solid">
        <fgColor rgb="FF2563EB"/>
        <bgColor rgb="FF4A7EBB"/>
      </patternFill>
    </fill>
    <fill>
      <patternFill patternType="solid">
        <fgColor rgb="FFF1F5F9"/>
        <bgColor rgb="FFF9F9F9"/>
      </patternFill>
    </fill>
    <fill>
      <patternFill patternType="solid">
        <fgColor rgb="FFFFFFFF"/>
        <bgColor rgb="FFF8FAFC"/>
      </patternFill>
    </fill>
    <fill>
      <patternFill patternType="solid">
        <fgColor rgb="FF334155"/>
        <bgColor rgb="FF1A3C6E"/>
      </patternFill>
    </fill>
    <fill>
      <patternFill patternType="solid">
        <fgColor rgb="FFFEF9C3"/>
        <bgColor rgb="FFFFF7ED"/>
      </patternFill>
    </fill>
    <fill>
      <patternFill patternType="solid">
        <fgColor rgb="FFE8F5E9"/>
        <bgColor rgb="FFF1F5F9"/>
      </patternFill>
    </fill>
    <fill>
      <patternFill patternType="solid">
        <fgColor rgb="FFFEE2E2"/>
        <bgColor rgb="FFFFF7ED"/>
      </patternFill>
    </fill>
    <fill>
      <patternFill patternType="solid">
        <fgColor rgb="FFDBEAFE"/>
        <bgColor rgb="FFE8F5E9"/>
      </patternFill>
    </fill>
    <fill>
      <patternFill patternType="solid">
        <fgColor rgb="FFDCFCE7"/>
        <bgColor rgb="FFE8F5E9"/>
      </patternFill>
    </fill>
    <fill>
      <patternFill patternType="solid">
        <fgColor rgb="FFFFF7ED"/>
        <bgColor rgb="FFF9F9F9"/>
      </patternFill>
    </fill>
    <fill>
      <patternFill patternType="solid">
        <fgColor rgb="FFF8FAFC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0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1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0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1" fillId="13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EF9C3"/>
      <rgbColor rgb="FFDCFCE7"/>
      <rgbColor rgb="FF660066"/>
      <rgbColor rgb="FFFF8080"/>
      <rgbColor rgb="FF4A7EBB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8F5E9"/>
      <rgbColor rgb="FFFFF7ED"/>
      <rgbColor rgb="FFF1F5F9"/>
      <rgbColor rgb="FFF9F9F9"/>
      <rgbColor rgb="FFF8FAFC"/>
      <rgbColor rgb="FFFEE2E2"/>
      <rgbColor rgb="FF2563EB"/>
      <rgbColor rgb="FF33CCCC"/>
      <rgbColor rgb="FF99CC00"/>
      <rgbColor rgb="FFFFCC00"/>
      <rgbColor rgb="FFFF9900"/>
      <rgbColor rgb="FFF97316"/>
      <rgbColor rgb="FF64748B"/>
      <rgbColor rgb="FF4F81BD"/>
      <rgbColor rgb="FF1A3C6E"/>
      <rgbColor rgb="FF16A34A"/>
      <rgbColor rgb="FF003300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Consumption by Region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Charts!B3</c:f>
              <c:strCache>
                <c:ptCount val="1"/>
                <c:pt idx="0">
                  <c:v>Consumption (kWh)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Charts!$B$4:$B$7</c:f>
              <c:numCache>
                <c:formatCode>General</c:formatCode>
                <c:ptCount val="4"/>
                <c:pt idx="0">
                  <c:v>480</c:v>
                </c:pt>
                <c:pt idx="1">
                  <c:v>950</c:v>
                </c:pt>
                <c:pt idx="2">
                  <c:v>650</c:v>
                </c:pt>
                <c:pt idx="3">
                  <c:v>620</c:v>
                </c:pt>
              </c:numCache>
            </c:numRef>
          </c:val>
        </c:ser>
        <c:gapWidth val="150"/>
        <c:overlap val="0"/>
        <c:axId val="71234268"/>
        <c:axId val="91840185"/>
      </c:barChart>
      <c:catAx>
        <c:axId val="7123426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40185"/>
        <c:crosses val="autoZero"/>
        <c:auto val="1"/>
        <c:lblAlgn val="ctr"/>
        <c:lblOffset val="100"/>
        <c:noMultiLvlLbl val="0"/>
      </c:catAx>
      <c:valAx>
        <c:axId val="918401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Consumption (kWh)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342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Energy Source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Charts!H3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Charts!$G$4:$G$7</c:f>
              <c:strCache>
                <c:ptCount val="4"/>
                <c:pt idx="0">
                  <c:v>Coal</c:v>
                </c:pt>
                <c:pt idx="1">
                  <c:v>Hydro</c:v>
                </c:pt>
                <c:pt idx="2">
                  <c:v>Solar</c:v>
                </c:pt>
                <c:pt idx="3">
                  <c:v>Wind</c:v>
                </c:pt>
              </c:strCache>
            </c:strRef>
          </c:cat>
          <c:val>
            <c:numRef>
              <c:f>Charts!$H$4:$H$7</c:f>
              <c:numCache>
                <c:formatCode>General</c:formatCode>
                <c:ptCount val="4"/>
                <c:pt idx="0">
                  <c:v>13500</c:v>
                </c:pt>
                <c:pt idx="1">
                  <c:v>7700</c:v>
                </c:pt>
                <c:pt idx="2">
                  <c:v>5400</c:v>
                </c:pt>
                <c:pt idx="3">
                  <c:v>5100</c:v>
                </c:pt>
              </c:numCache>
            </c:numRef>
          </c:val>
        </c:ser>
        <c:gapWidth val="150"/>
        <c:overlap val="0"/>
        <c:axId val="17437621"/>
        <c:axId val="1570508"/>
      </c:barChart>
      <c:catAx>
        <c:axId val="174376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 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0508"/>
        <c:crosses val="autoZero"/>
        <c:auto val="1"/>
        <c:lblAlgn val="ctr"/>
        <c:lblOffset val="100"/>
        <c:noMultiLvlLbl val="0"/>
      </c:catAx>
      <c:valAx>
        <c:axId val="15705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376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Charts!N3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Charts!$M$4:$M$5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Charts!$N$4:$N$5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Consumption Trend (Jan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Charts!B20</c:f>
              <c:strCache>
                <c:ptCount val="1"/>
                <c:pt idx="0">
                  <c:v>Consumption (kWh)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Charts!$A$21:$A$30</c:f>
              <c:strCache>
                <c:ptCount val="10"/>
                <c:pt idx="0">
                  <c:v>Jan 01</c:v>
                </c:pt>
                <c:pt idx="1">
                  <c:v>Jan 02</c:v>
                </c:pt>
                <c:pt idx="2">
                  <c:v>Jan 03</c:v>
                </c:pt>
                <c:pt idx="3">
                  <c:v>Jan 04</c:v>
                </c:pt>
                <c:pt idx="4">
                  <c:v>Jan 05</c:v>
                </c:pt>
                <c:pt idx="5">
                  <c:v>Jan 06</c:v>
                </c:pt>
                <c:pt idx="6">
                  <c:v>Jan 07</c:v>
                </c:pt>
                <c:pt idx="7">
                  <c:v>Jan 08</c:v>
                </c:pt>
                <c:pt idx="8">
                  <c:v>Jan 09</c:v>
                </c:pt>
                <c:pt idx="9">
                  <c:v>Jan 10</c:v>
                </c:pt>
              </c:strCache>
            </c:strRef>
          </c:cat>
          <c:val>
            <c:numRef>
              <c:f>Charts!$B$21:$B$30</c:f>
              <c:numCache>
                <c:formatCode>General</c:formatCode>
                <c:ptCount val="10"/>
                <c:pt idx="0">
                  <c:v>120</c:v>
                </c:pt>
                <c:pt idx="1">
                  <c:v>300</c:v>
                </c:pt>
                <c:pt idx="2">
                  <c:v>200</c:v>
                </c:pt>
                <c:pt idx="3">
                  <c:v>400</c:v>
                </c:pt>
                <c:pt idx="4">
                  <c:v>350</c:v>
                </c:pt>
                <c:pt idx="5">
                  <c:v>150</c:v>
                </c:pt>
                <c:pt idx="6">
                  <c:v>280</c:v>
                </c:pt>
                <c:pt idx="7">
                  <c:v>220</c:v>
                </c:pt>
                <c:pt idx="8">
                  <c:v>180</c:v>
                </c:pt>
                <c:pt idx="9">
                  <c:v>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984914"/>
        <c:axId val="62806885"/>
      </c:lineChart>
      <c:catAx>
        <c:axId val="639849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06885"/>
        <c:crosses val="autoZero"/>
        <c:auto val="1"/>
        <c:lblAlgn val="ctr"/>
        <c:lblOffset val="100"/>
        <c:noMultiLvlLbl val="0"/>
      </c:catAx>
      <c:valAx>
        <c:axId val="628068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849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9</xdr:col>
      <xdr:colOff>134280</xdr:colOff>
      <xdr:row>20</xdr:row>
      <xdr:rowOff>1080</xdr:rowOff>
    </xdr:to>
    <xdr:graphicFrame>
      <xdr:nvGraphicFramePr>
        <xdr:cNvPr id="0" name="Chart 1"/>
        <xdr:cNvGraphicFramePr/>
      </xdr:nvGraphicFramePr>
      <xdr:xfrm>
        <a:off x="4229280" y="59040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16</xdr:row>
      <xdr:rowOff>20880</xdr:rowOff>
    </xdr:from>
    <xdr:to>
      <xdr:col>9</xdr:col>
      <xdr:colOff>134280</xdr:colOff>
      <xdr:row>35</xdr:row>
      <xdr:rowOff>1080</xdr:rowOff>
    </xdr:to>
    <xdr:graphicFrame>
      <xdr:nvGraphicFramePr>
        <xdr:cNvPr id="1" name="Chart 2"/>
        <xdr:cNvGraphicFramePr/>
      </xdr:nvGraphicFramePr>
      <xdr:xfrm>
        <a:off x="4229280" y="344808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31</xdr:row>
      <xdr:rowOff>20880</xdr:rowOff>
    </xdr:from>
    <xdr:to>
      <xdr:col>9</xdr:col>
      <xdr:colOff>134280</xdr:colOff>
      <xdr:row>50</xdr:row>
      <xdr:rowOff>1080</xdr:rowOff>
    </xdr:to>
    <xdr:graphicFrame>
      <xdr:nvGraphicFramePr>
        <xdr:cNvPr id="2" name="Chart 3"/>
        <xdr:cNvGraphicFramePr/>
      </xdr:nvGraphicFramePr>
      <xdr:xfrm>
        <a:off x="4229280" y="630540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46</xdr:row>
      <xdr:rowOff>20880</xdr:rowOff>
    </xdr:from>
    <xdr:to>
      <xdr:col>12</xdr:col>
      <xdr:colOff>99720</xdr:colOff>
      <xdr:row>68</xdr:row>
      <xdr:rowOff>149760</xdr:rowOff>
    </xdr:to>
    <xdr:graphicFrame>
      <xdr:nvGraphicFramePr>
        <xdr:cNvPr id="3" name="Chart 4"/>
        <xdr:cNvGraphicFramePr/>
      </xdr:nvGraphicFramePr>
      <xdr:xfrm>
        <a:off x="4229280" y="91630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21.75" hidden="false" customHeight="true" outlineLevel="0" collapsed="false">
      <c r="A4" s="4" t="n">
        <v>101</v>
      </c>
      <c r="B4" s="4" t="s">
        <v>9</v>
      </c>
      <c r="C4" s="4" t="s">
        <v>10</v>
      </c>
      <c r="D4" s="5" t="n">
        <v>120</v>
      </c>
      <c r="E4" s="6" t="n">
        <v>1500</v>
      </c>
      <c r="F4" s="7" t="s">
        <v>11</v>
      </c>
      <c r="G4" s="4" t="s">
        <v>12</v>
      </c>
    </row>
    <row r="5" customFormat="false" ht="21.75" hidden="false" customHeight="true" outlineLevel="0" collapsed="false">
      <c r="A5" s="8" t="n">
        <v>102</v>
      </c>
      <c r="B5" s="8" t="s">
        <v>13</v>
      </c>
      <c r="C5" s="8" t="s">
        <v>14</v>
      </c>
      <c r="D5" s="9" t="n">
        <v>300</v>
      </c>
      <c r="E5" s="10" t="n">
        <v>3500</v>
      </c>
      <c r="F5" s="11" t="s">
        <v>15</v>
      </c>
      <c r="G5" s="8" t="s">
        <v>16</v>
      </c>
    </row>
    <row r="6" customFormat="false" ht="21.75" hidden="false" customHeight="true" outlineLevel="0" collapsed="false">
      <c r="A6" s="4" t="n">
        <v>103</v>
      </c>
      <c r="B6" s="4" t="s">
        <v>17</v>
      </c>
      <c r="C6" s="4" t="s">
        <v>18</v>
      </c>
      <c r="D6" s="5" t="n">
        <v>200</v>
      </c>
      <c r="E6" s="6" t="n">
        <v>2500</v>
      </c>
      <c r="F6" s="7" t="s">
        <v>11</v>
      </c>
      <c r="G6" s="4" t="s">
        <v>19</v>
      </c>
    </row>
    <row r="7" customFormat="false" ht="21.75" hidden="false" customHeight="true" outlineLevel="0" collapsed="false">
      <c r="A7" s="8" t="n">
        <v>104</v>
      </c>
      <c r="B7" s="8" t="s">
        <v>20</v>
      </c>
      <c r="C7" s="8" t="s">
        <v>21</v>
      </c>
      <c r="D7" s="9" t="n">
        <v>400</v>
      </c>
      <c r="E7" s="10" t="n">
        <v>4500</v>
      </c>
      <c r="F7" s="12" t="s">
        <v>11</v>
      </c>
      <c r="G7" s="8" t="s">
        <v>22</v>
      </c>
    </row>
    <row r="8" customFormat="false" ht="21.75" hidden="false" customHeight="true" outlineLevel="0" collapsed="false">
      <c r="A8" s="4" t="n">
        <v>105</v>
      </c>
      <c r="B8" s="4" t="s">
        <v>9</v>
      </c>
      <c r="C8" s="4" t="s">
        <v>14</v>
      </c>
      <c r="D8" s="5" t="n">
        <v>350</v>
      </c>
      <c r="E8" s="6" t="n">
        <v>4000</v>
      </c>
      <c r="F8" s="13" t="s">
        <v>15</v>
      </c>
      <c r="G8" s="4" t="s">
        <v>23</v>
      </c>
    </row>
    <row r="9" customFormat="false" ht="21.75" hidden="false" customHeight="true" outlineLevel="0" collapsed="false">
      <c r="A9" s="8" t="n">
        <v>106</v>
      </c>
      <c r="B9" s="8" t="s">
        <v>13</v>
      </c>
      <c r="C9" s="8" t="s">
        <v>10</v>
      </c>
      <c r="D9" s="9" t="n">
        <v>150</v>
      </c>
      <c r="E9" s="10" t="n">
        <v>1800</v>
      </c>
      <c r="F9" s="12" t="s">
        <v>11</v>
      </c>
      <c r="G9" s="8" t="s">
        <v>24</v>
      </c>
    </row>
    <row r="10" customFormat="false" ht="21.75" hidden="false" customHeight="true" outlineLevel="0" collapsed="false">
      <c r="A10" s="4" t="n">
        <v>107</v>
      </c>
      <c r="B10" s="4" t="s">
        <v>17</v>
      </c>
      <c r="C10" s="4" t="s">
        <v>21</v>
      </c>
      <c r="D10" s="5" t="n">
        <v>280</v>
      </c>
      <c r="E10" s="6" t="n">
        <v>3200</v>
      </c>
      <c r="F10" s="13" t="s">
        <v>15</v>
      </c>
      <c r="G10" s="4" t="s">
        <v>25</v>
      </c>
    </row>
    <row r="11" customFormat="false" ht="21.75" hidden="false" customHeight="true" outlineLevel="0" collapsed="false">
      <c r="A11" s="8" t="n">
        <v>108</v>
      </c>
      <c r="B11" s="8" t="s">
        <v>20</v>
      </c>
      <c r="C11" s="8" t="s">
        <v>18</v>
      </c>
      <c r="D11" s="9" t="n">
        <v>220</v>
      </c>
      <c r="E11" s="10" t="n">
        <v>2600</v>
      </c>
      <c r="F11" s="12" t="s">
        <v>11</v>
      </c>
      <c r="G11" s="8" t="s">
        <v>26</v>
      </c>
    </row>
    <row r="12" customFormat="false" ht="21.75" hidden="false" customHeight="true" outlineLevel="0" collapsed="false">
      <c r="A12" s="4" t="n">
        <v>109</v>
      </c>
      <c r="B12" s="4" t="s">
        <v>9</v>
      </c>
      <c r="C12" s="4" t="s">
        <v>10</v>
      </c>
      <c r="D12" s="5" t="n">
        <v>180</v>
      </c>
      <c r="E12" s="6" t="n">
        <v>2100</v>
      </c>
      <c r="F12" s="7" t="s">
        <v>11</v>
      </c>
      <c r="G12" s="4" t="s">
        <v>27</v>
      </c>
    </row>
    <row r="13" customFormat="false" ht="21.75" hidden="false" customHeight="true" outlineLevel="0" collapsed="false">
      <c r="A13" s="8" t="n">
        <v>110</v>
      </c>
      <c r="B13" s="8" t="s">
        <v>13</v>
      </c>
      <c r="C13" s="8" t="s">
        <v>14</v>
      </c>
      <c r="D13" s="9" t="n">
        <v>500</v>
      </c>
      <c r="E13" s="10" t="n">
        <v>6000</v>
      </c>
      <c r="F13" s="11" t="s">
        <v>15</v>
      </c>
      <c r="G13" s="8" t="s">
        <v>28</v>
      </c>
    </row>
    <row r="14" customFormat="false" ht="21.75" hidden="false" customHeight="true" outlineLevel="0" collapsed="false">
      <c r="A14" s="14" t="s">
        <v>29</v>
      </c>
      <c r="B14" s="14"/>
      <c r="C14" s="14"/>
      <c r="D14" s="15" t="n">
        <f aca="false">SUM(D4:D13)</f>
        <v>2700</v>
      </c>
      <c r="E14" s="16" t="n">
        <f aca="false">SUM(E4:E13)</f>
        <v>31700</v>
      </c>
      <c r="F14" s="17"/>
      <c r="G14" s="17"/>
    </row>
  </sheetData>
  <mergeCells count="3">
    <mergeCell ref="A1:G1"/>
    <mergeCell ref="A2:G2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5" min="4" style="0" width="20"/>
    <col collapsed="false" customWidth="true" hidden="false" outlineLevel="0" max="6" min="6" style="0" width="18"/>
  </cols>
  <sheetData>
    <row r="1" customFormat="false" ht="36" hidden="false" customHeight="true" outlineLevel="0" collapsed="false">
      <c r="A1" s="1" t="s">
        <v>30</v>
      </c>
      <c r="B1" s="1"/>
      <c r="C1" s="1"/>
      <c r="D1" s="1"/>
      <c r="E1" s="1"/>
      <c r="F1" s="1"/>
    </row>
    <row r="3" customFormat="false" ht="24" hidden="false" customHeight="true" outlineLevel="0" collapsed="false">
      <c r="A3" s="18" t="s">
        <v>31</v>
      </c>
      <c r="B3" s="18"/>
      <c r="C3" s="18"/>
      <c r="D3" s="18"/>
      <c r="E3" s="18"/>
      <c r="F3" s="18"/>
    </row>
    <row r="4" customFormat="false" ht="21.75" hidden="false" customHeight="true" outlineLevel="0" collapsed="false">
      <c r="A4" s="19" t="s">
        <v>3</v>
      </c>
      <c r="B4" s="19" t="s">
        <v>32</v>
      </c>
      <c r="C4" s="19" t="s">
        <v>33</v>
      </c>
      <c r="D4" s="19" t="s">
        <v>34</v>
      </c>
    </row>
    <row r="5" customFormat="false" ht="19.5" hidden="false" customHeight="true" outlineLevel="0" collapsed="false">
      <c r="A5" s="20" t="s">
        <v>17</v>
      </c>
      <c r="B5" s="21" t="n">
        <v>480</v>
      </c>
      <c r="C5" s="22" t="n">
        <v>0.1778</v>
      </c>
      <c r="D5" s="23" t="n">
        <v>2850</v>
      </c>
    </row>
    <row r="6" customFormat="false" ht="19.5" hidden="false" customHeight="true" outlineLevel="0" collapsed="false">
      <c r="A6" s="24" t="s">
        <v>13</v>
      </c>
      <c r="B6" s="25" t="n">
        <v>950</v>
      </c>
      <c r="C6" s="26" t="n">
        <v>0.3519</v>
      </c>
      <c r="D6" s="27" t="n">
        <v>3767</v>
      </c>
    </row>
    <row r="7" customFormat="false" ht="19.5" hidden="false" customHeight="true" outlineLevel="0" collapsed="false">
      <c r="A7" s="20" t="s">
        <v>9</v>
      </c>
      <c r="B7" s="21" t="n">
        <v>650</v>
      </c>
      <c r="C7" s="22" t="n">
        <v>0.2407</v>
      </c>
      <c r="D7" s="23" t="n">
        <v>2533</v>
      </c>
    </row>
    <row r="8" customFormat="false" ht="19.5" hidden="false" customHeight="true" outlineLevel="0" collapsed="false">
      <c r="A8" s="24" t="s">
        <v>20</v>
      </c>
      <c r="B8" s="25" t="n">
        <v>620</v>
      </c>
      <c r="C8" s="26" t="n">
        <v>0.2296</v>
      </c>
      <c r="D8" s="27" t="n">
        <v>3550</v>
      </c>
    </row>
    <row r="10" customFormat="false" ht="24" hidden="false" customHeight="true" outlineLevel="0" collapsed="false">
      <c r="A10" s="18" t="s">
        <v>35</v>
      </c>
      <c r="B10" s="18"/>
      <c r="C10" s="18"/>
      <c r="D10" s="18"/>
      <c r="E10" s="18"/>
      <c r="F10" s="18"/>
    </row>
    <row r="11" customFormat="false" ht="21.75" hidden="false" customHeight="true" outlineLevel="0" collapsed="false">
      <c r="A11" s="19" t="s">
        <v>4</v>
      </c>
      <c r="B11" s="19" t="s">
        <v>36</v>
      </c>
      <c r="C11" s="19" t="s">
        <v>37</v>
      </c>
      <c r="D11" s="19" t="s">
        <v>38</v>
      </c>
      <c r="E11" s="19" t="s">
        <v>39</v>
      </c>
    </row>
    <row r="12" customFormat="false" ht="19.5" hidden="false" customHeight="true" outlineLevel="0" collapsed="false">
      <c r="A12" s="24" t="s">
        <v>14</v>
      </c>
      <c r="B12" s="27" t="n">
        <v>13500</v>
      </c>
      <c r="C12" s="26" t="n">
        <v>0.4259</v>
      </c>
      <c r="D12" s="28" t="n">
        <v>1150</v>
      </c>
      <c r="E12" s="29" t="n">
        <v>11.74</v>
      </c>
    </row>
    <row r="13" customFormat="false" ht="19.5" hidden="false" customHeight="true" outlineLevel="0" collapsed="false">
      <c r="A13" s="20" t="s">
        <v>21</v>
      </c>
      <c r="B13" s="23" t="n">
        <v>7700</v>
      </c>
      <c r="C13" s="22" t="n">
        <v>0.2429</v>
      </c>
      <c r="D13" s="30" t="n">
        <v>680</v>
      </c>
      <c r="E13" s="31" t="n">
        <v>11.32</v>
      </c>
    </row>
    <row r="14" customFormat="false" ht="19.5" hidden="false" customHeight="true" outlineLevel="0" collapsed="false">
      <c r="A14" s="24" t="s">
        <v>10</v>
      </c>
      <c r="B14" s="27" t="n">
        <v>5400</v>
      </c>
      <c r="C14" s="26" t="n">
        <v>0.1703</v>
      </c>
      <c r="D14" s="28" t="n">
        <v>450</v>
      </c>
      <c r="E14" s="29" t="n">
        <v>12</v>
      </c>
    </row>
    <row r="15" customFormat="false" ht="19.5" hidden="false" customHeight="true" outlineLevel="0" collapsed="false">
      <c r="A15" s="20" t="s">
        <v>18</v>
      </c>
      <c r="B15" s="23" t="n">
        <v>5100</v>
      </c>
      <c r="C15" s="22" t="n">
        <v>0.1609</v>
      </c>
      <c r="D15" s="30" t="n">
        <v>420</v>
      </c>
      <c r="E15" s="31" t="n">
        <v>12.14</v>
      </c>
    </row>
    <row r="17" customFormat="false" ht="24" hidden="false" customHeight="true" outlineLevel="0" collapsed="false">
      <c r="A17" s="18" t="s">
        <v>40</v>
      </c>
      <c r="B17" s="18"/>
      <c r="C17" s="18"/>
      <c r="D17" s="18"/>
      <c r="E17" s="18"/>
      <c r="F17" s="18"/>
    </row>
    <row r="18" customFormat="false" ht="21.75" hidden="false" customHeight="true" outlineLevel="0" collapsed="false">
      <c r="A18" s="19" t="s">
        <v>41</v>
      </c>
      <c r="B18" s="19" t="s">
        <v>42</v>
      </c>
      <c r="C18" s="19" t="s">
        <v>43</v>
      </c>
    </row>
    <row r="19" customFormat="false" ht="19.5" hidden="false" customHeight="true" outlineLevel="0" collapsed="false">
      <c r="A19" s="32" t="s">
        <v>44</v>
      </c>
      <c r="B19" s="33" t="s">
        <v>13</v>
      </c>
      <c r="C19" s="34" t="s">
        <v>45</v>
      </c>
    </row>
    <row r="20" customFormat="false" ht="19.5" hidden="false" customHeight="true" outlineLevel="0" collapsed="false">
      <c r="A20" s="35" t="s">
        <v>46</v>
      </c>
      <c r="B20" s="36" t="s">
        <v>47</v>
      </c>
      <c r="C20" s="37" t="s">
        <v>48</v>
      </c>
    </row>
    <row r="21" customFormat="false" ht="19.5" hidden="false" customHeight="true" outlineLevel="0" collapsed="false">
      <c r="A21" s="32" t="s">
        <v>49</v>
      </c>
      <c r="B21" s="33" t="s">
        <v>50</v>
      </c>
      <c r="C21" s="34" t="s">
        <v>51</v>
      </c>
    </row>
    <row r="22" customFormat="false" ht="19.5" hidden="false" customHeight="true" outlineLevel="0" collapsed="false">
      <c r="A22" s="35" t="s">
        <v>52</v>
      </c>
      <c r="B22" s="13" t="s">
        <v>53</v>
      </c>
      <c r="C22" s="37" t="s">
        <v>54</v>
      </c>
    </row>
    <row r="23" customFormat="false" ht="19.5" hidden="false" customHeight="true" outlineLevel="0" collapsed="false">
      <c r="A23" s="32" t="s">
        <v>55</v>
      </c>
      <c r="B23" s="11" t="s">
        <v>56</v>
      </c>
      <c r="C23" s="34" t="s">
        <v>57</v>
      </c>
    </row>
    <row r="24" customFormat="false" ht="19.5" hidden="false" customHeight="true" outlineLevel="0" collapsed="false">
      <c r="A24" s="35" t="s">
        <v>58</v>
      </c>
      <c r="B24" s="38" t="s">
        <v>59</v>
      </c>
      <c r="C24" s="37" t="s">
        <v>60</v>
      </c>
    </row>
    <row r="25" customFormat="false" ht="19.5" hidden="false" customHeight="true" outlineLevel="0" collapsed="false">
      <c r="A25" s="32" t="s">
        <v>61</v>
      </c>
      <c r="B25" s="12" t="s">
        <v>14</v>
      </c>
      <c r="C25" s="34" t="s">
        <v>62</v>
      </c>
    </row>
    <row r="27" customFormat="false" ht="24" hidden="false" customHeight="true" outlineLevel="0" collapsed="false">
      <c r="A27" s="18" t="s">
        <v>63</v>
      </c>
      <c r="B27" s="18"/>
      <c r="C27" s="18"/>
      <c r="D27" s="18"/>
      <c r="E27" s="18"/>
      <c r="F27" s="18"/>
    </row>
    <row r="28" customFormat="false" ht="21.75" hidden="false" customHeight="true" outlineLevel="0" collapsed="false">
      <c r="A28" s="19" t="s">
        <v>64</v>
      </c>
      <c r="B28" s="19" t="s">
        <v>2</v>
      </c>
      <c r="C28" s="19" t="s">
        <v>3</v>
      </c>
      <c r="D28" s="19" t="s">
        <v>4</v>
      </c>
      <c r="E28" s="19" t="s">
        <v>5</v>
      </c>
      <c r="F28" s="19" t="s">
        <v>7</v>
      </c>
    </row>
    <row r="29" customFormat="false" ht="19.5" hidden="false" customHeight="true" outlineLevel="0" collapsed="false">
      <c r="A29" s="39" t="n">
        <v>1</v>
      </c>
      <c r="B29" s="40" t="n">
        <v>110</v>
      </c>
      <c r="C29" s="40" t="s">
        <v>13</v>
      </c>
      <c r="D29" s="40" t="s">
        <v>14</v>
      </c>
      <c r="E29" s="41" t="n">
        <v>500</v>
      </c>
      <c r="F29" s="42" t="s">
        <v>15</v>
      </c>
    </row>
    <row r="30" customFormat="false" ht="19.5" hidden="false" customHeight="true" outlineLevel="0" collapsed="false">
      <c r="A30" s="43" t="n">
        <v>2</v>
      </c>
      <c r="B30" s="44" t="n">
        <v>104</v>
      </c>
      <c r="C30" s="44" t="s">
        <v>20</v>
      </c>
      <c r="D30" s="44" t="s">
        <v>21</v>
      </c>
      <c r="E30" s="45" t="n">
        <v>400</v>
      </c>
      <c r="F30" s="46" t="s">
        <v>11</v>
      </c>
    </row>
    <row r="31" customFormat="false" ht="19.5" hidden="false" customHeight="true" outlineLevel="0" collapsed="false">
      <c r="A31" s="47" t="n">
        <v>3</v>
      </c>
      <c r="B31" s="48" t="n">
        <v>105</v>
      </c>
      <c r="C31" s="48" t="s">
        <v>9</v>
      </c>
      <c r="D31" s="48" t="s">
        <v>14</v>
      </c>
      <c r="E31" s="49" t="n">
        <v>350</v>
      </c>
      <c r="F31" s="50" t="s">
        <v>15</v>
      </c>
    </row>
    <row r="33" customFormat="false" ht="24" hidden="false" customHeight="true" outlineLevel="0" collapsed="false">
      <c r="A33" s="18" t="s">
        <v>65</v>
      </c>
      <c r="B33" s="18"/>
      <c r="C33" s="18"/>
      <c r="D33" s="18"/>
      <c r="E33" s="18"/>
      <c r="F33" s="18"/>
    </row>
    <row r="34" customFormat="false" ht="21.75" hidden="false" customHeight="true" outlineLevel="0" collapsed="false">
      <c r="A34" s="19" t="s">
        <v>7</v>
      </c>
      <c r="B34" s="19" t="s">
        <v>66</v>
      </c>
      <c r="C34" s="19" t="s">
        <v>67</v>
      </c>
      <c r="D34" s="19" t="s">
        <v>37</v>
      </c>
    </row>
    <row r="35" customFormat="false" ht="21.75" hidden="false" customHeight="true" outlineLevel="0" collapsed="false">
      <c r="A35" s="46" t="s">
        <v>11</v>
      </c>
      <c r="B35" s="44" t="n">
        <v>6</v>
      </c>
      <c r="C35" s="51" t="n">
        <v>15000</v>
      </c>
      <c r="D35" s="52" t="n">
        <v>0.4732</v>
      </c>
    </row>
    <row r="36" customFormat="false" ht="21.75" hidden="false" customHeight="true" outlineLevel="0" collapsed="false">
      <c r="A36" s="50" t="s">
        <v>15</v>
      </c>
      <c r="B36" s="48" t="n">
        <v>4</v>
      </c>
      <c r="C36" s="53" t="n">
        <v>16700</v>
      </c>
      <c r="D36" s="54" t="n">
        <v>0.5268</v>
      </c>
    </row>
    <row r="38" customFormat="false" ht="24" hidden="false" customHeight="true" outlineLevel="0" collapsed="false">
      <c r="A38" s="18" t="s">
        <v>68</v>
      </c>
      <c r="B38" s="18"/>
      <c r="C38" s="18"/>
      <c r="D38" s="18"/>
      <c r="E38" s="18"/>
      <c r="F38" s="18"/>
    </row>
    <row r="39" customFormat="false" ht="21.75" hidden="false" customHeight="true" outlineLevel="0" collapsed="false">
      <c r="A39" s="19" t="s">
        <v>69</v>
      </c>
      <c r="B39" s="19" t="s">
        <v>2</v>
      </c>
      <c r="C39" s="19" t="s">
        <v>5</v>
      </c>
      <c r="D39" s="19" t="s">
        <v>70</v>
      </c>
    </row>
    <row r="40" customFormat="false" ht="19.5" hidden="false" customHeight="true" outlineLevel="0" collapsed="false">
      <c r="A40" s="24" t="s">
        <v>12</v>
      </c>
      <c r="B40" s="24" t="n">
        <v>101</v>
      </c>
      <c r="C40" s="25" t="n">
        <v>120</v>
      </c>
      <c r="D40" s="55" t="n">
        <v>120</v>
      </c>
    </row>
    <row r="41" customFormat="false" ht="19.5" hidden="false" customHeight="true" outlineLevel="0" collapsed="false">
      <c r="A41" s="20" t="s">
        <v>16</v>
      </c>
      <c r="B41" s="20" t="n">
        <v>102</v>
      </c>
      <c r="C41" s="21" t="n">
        <v>300</v>
      </c>
      <c r="D41" s="56" t="n">
        <v>420</v>
      </c>
    </row>
    <row r="42" customFormat="false" ht="19.5" hidden="false" customHeight="true" outlineLevel="0" collapsed="false">
      <c r="A42" s="24" t="s">
        <v>19</v>
      </c>
      <c r="B42" s="24" t="n">
        <v>103</v>
      </c>
      <c r="C42" s="25" t="n">
        <v>200</v>
      </c>
      <c r="D42" s="55" t="n">
        <v>620</v>
      </c>
    </row>
    <row r="43" customFormat="false" ht="19.5" hidden="false" customHeight="true" outlineLevel="0" collapsed="false">
      <c r="A43" s="20" t="s">
        <v>22</v>
      </c>
      <c r="B43" s="20" t="n">
        <v>104</v>
      </c>
      <c r="C43" s="21" t="n">
        <v>400</v>
      </c>
      <c r="D43" s="56" t="n">
        <v>1020</v>
      </c>
    </row>
    <row r="44" customFormat="false" ht="19.5" hidden="false" customHeight="true" outlineLevel="0" collapsed="false">
      <c r="A44" s="24" t="s">
        <v>23</v>
      </c>
      <c r="B44" s="24" t="n">
        <v>105</v>
      </c>
      <c r="C44" s="25" t="n">
        <v>350</v>
      </c>
      <c r="D44" s="55" t="n">
        <v>1370</v>
      </c>
    </row>
    <row r="45" customFormat="false" ht="19.5" hidden="false" customHeight="true" outlineLevel="0" collapsed="false">
      <c r="A45" s="20" t="s">
        <v>24</v>
      </c>
      <c r="B45" s="20" t="n">
        <v>106</v>
      </c>
      <c r="C45" s="21" t="n">
        <v>150</v>
      </c>
      <c r="D45" s="56" t="n">
        <v>1520</v>
      </c>
    </row>
    <row r="46" customFormat="false" ht="19.5" hidden="false" customHeight="true" outlineLevel="0" collapsed="false">
      <c r="A46" s="24" t="s">
        <v>25</v>
      </c>
      <c r="B46" s="24" t="n">
        <v>107</v>
      </c>
      <c r="C46" s="25" t="n">
        <v>280</v>
      </c>
      <c r="D46" s="55" t="n">
        <v>1800</v>
      </c>
    </row>
    <row r="47" customFormat="false" ht="19.5" hidden="false" customHeight="true" outlineLevel="0" collapsed="false">
      <c r="A47" s="20" t="s">
        <v>26</v>
      </c>
      <c r="B47" s="20" t="n">
        <v>108</v>
      </c>
      <c r="C47" s="21" t="n">
        <v>220</v>
      </c>
      <c r="D47" s="56" t="n">
        <v>2020</v>
      </c>
    </row>
    <row r="48" customFormat="false" ht="19.5" hidden="false" customHeight="true" outlineLevel="0" collapsed="false">
      <c r="A48" s="24" t="s">
        <v>27</v>
      </c>
      <c r="B48" s="24" t="n">
        <v>109</v>
      </c>
      <c r="C48" s="25" t="n">
        <v>180</v>
      </c>
      <c r="D48" s="55" t="n">
        <v>2200</v>
      </c>
    </row>
    <row r="49" customFormat="false" ht="19.5" hidden="false" customHeight="true" outlineLevel="0" collapsed="false">
      <c r="A49" s="20" t="s">
        <v>28</v>
      </c>
      <c r="B49" s="20" t="n">
        <v>110</v>
      </c>
      <c r="C49" s="21" t="n">
        <v>500</v>
      </c>
      <c r="D49" s="56" t="n">
        <v>2700</v>
      </c>
    </row>
  </sheetData>
  <mergeCells count="7">
    <mergeCell ref="A1:F1"/>
    <mergeCell ref="A3:F3"/>
    <mergeCell ref="A10:F10"/>
    <mergeCell ref="A17:F17"/>
    <mergeCell ref="A27:F27"/>
    <mergeCell ref="A33:F33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20"/>
    <col collapsed="false" customWidth="true" hidden="false" outlineLevel="0" max="6" min="6" style="0" width="6"/>
  </cols>
  <sheetData>
    <row r="1" customFormat="false" ht="43.5" hidden="false" customHeight="true" outlineLevel="0" collapsed="false">
      <c r="B1" s="57" t="s">
        <v>71</v>
      </c>
      <c r="C1" s="57"/>
      <c r="D1" s="57"/>
      <c r="E1" s="57"/>
    </row>
    <row r="2" customFormat="false" ht="19.5" hidden="false" customHeight="true" outlineLevel="0" collapsed="false">
      <c r="B2" s="2" t="s">
        <v>72</v>
      </c>
      <c r="C2" s="2"/>
      <c r="D2" s="2"/>
      <c r="E2" s="2"/>
    </row>
    <row r="7" customFormat="false" ht="63.75" hidden="false" customHeight="true" outlineLevel="0" collapsed="false">
      <c r="B7" s="58" t="s">
        <v>73</v>
      </c>
      <c r="C7" s="58"/>
      <c r="D7" s="59" t="n">
        <f aca="false">SUM('Raw Data'!D4:D13)</f>
        <v>2700</v>
      </c>
      <c r="E7" s="60"/>
    </row>
    <row r="8" customFormat="false" ht="63.75" hidden="false" customHeight="true" outlineLevel="0" collapsed="false">
      <c r="B8" s="61" t="s">
        <v>74</v>
      </c>
      <c r="C8" s="61"/>
      <c r="D8" s="62" t="n">
        <f aca="false">SUM('Raw Data'!E4:E13)</f>
        <v>31700</v>
      </c>
      <c r="E8" s="63"/>
    </row>
    <row r="9" customFormat="false" ht="63.75" hidden="false" customHeight="true" outlineLevel="0" collapsed="false">
      <c r="B9" s="64" t="s">
        <v>75</v>
      </c>
      <c r="C9" s="64"/>
      <c r="D9" s="65" t="s">
        <v>76</v>
      </c>
      <c r="E9" s="66"/>
    </row>
    <row r="10" customFormat="false" ht="63.75" hidden="false" customHeight="true" outlineLevel="0" collapsed="false">
      <c r="B10" s="67" t="s">
        <v>77</v>
      </c>
      <c r="C10" s="67"/>
      <c r="D10" s="68" t="n">
        <f aca="false">AVERAGE('Raw Data'!D4:D13)</f>
        <v>270</v>
      </c>
      <c r="E10" s="69"/>
    </row>
    <row r="11" customFormat="false" ht="63.75" hidden="false" customHeight="true" outlineLevel="0" collapsed="false">
      <c r="B11" s="64" t="s">
        <v>78</v>
      </c>
      <c r="C11" s="64"/>
      <c r="D11" s="70" t="s">
        <v>79</v>
      </c>
      <c r="E11" s="66"/>
    </row>
    <row r="12" customFormat="false" ht="63.75" hidden="false" customHeight="true" outlineLevel="0" collapsed="false">
      <c r="B12" s="58" t="s">
        <v>80</v>
      </c>
      <c r="C12" s="58"/>
      <c r="D12" s="71" t="s">
        <v>13</v>
      </c>
      <c r="E12" s="60"/>
    </row>
    <row r="14" customFormat="false" ht="27.75" hidden="false" customHeight="true" outlineLevel="0" collapsed="false">
      <c r="B14" s="72" t="s">
        <v>81</v>
      </c>
      <c r="C14" s="72"/>
      <c r="D14" s="72"/>
      <c r="E14" s="72"/>
    </row>
    <row r="15" customFormat="false" ht="21.75" hidden="false" customHeight="true" outlineLevel="0" collapsed="false">
      <c r="B15" s="73" t="s">
        <v>3</v>
      </c>
      <c r="C15" s="73" t="s">
        <v>5</v>
      </c>
      <c r="D15" s="73" t="s">
        <v>82</v>
      </c>
      <c r="E15" s="73" t="s">
        <v>83</v>
      </c>
    </row>
    <row r="16" customFormat="false" ht="21.75" hidden="false" customHeight="true" outlineLevel="0" collapsed="false">
      <c r="B16" s="4" t="s">
        <v>13</v>
      </c>
      <c r="C16" s="74" t="n">
        <v>950</v>
      </c>
      <c r="D16" s="6" t="n">
        <v>11300</v>
      </c>
      <c r="E16" s="4" t="s">
        <v>84</v>
      </c>
    </row>
    <row r="17" customFormat="false" ht="21.75" hidden="false" customHeight="true" outlineLevel="0" collapsed="false">
      <c r="B17" s="8" t="s">
        <v>9</v>
      </c>
      <c r="C17" s="75" t="n">
        <v>650</v>
      </c>
      <c r="D17" s="10" t="n">
        <v>7600</v>
      </c>
      <c r="E17" s="8" t="s">
        <v>85</v>
      </c>
    </row>
    <row r="18" customFormat="false" ht="21.75" hidden="false" customHeight="true" outlineLevel="0" collapsed="false">
      <c r="B18" s="4" t="s">
        <v>20</v>
      </c>
      <c r="C18" s="74" t="n">
        <v>620</v>
      </c>
      <c r="D18" s="6" t="n">
        <v>7100</v>
      </c>
      <c r="E18" s="4" t="s">
        <v>86</v>
      </c>
    </row>
    <row r="19" customFormat="false" ht="21.75" hidden="false" customHeight="true" outlineLevel="0" collapsed="false">
      <c r="B19" s="8" t="s">
        <v>17</v>
      </c>
      <c r="C19" s="75" t="n">
        <v>480</v>
      </c>
      <c r="D19" s="10" t="n">
        <v>5700</v>
      </c>
      <c r="E19" s="8" t="s">
        <v>87</v>
      </c>
    </row>
    <row r="22" customFormat="false" ht="27.75" hidden="false" customHeight="true" outlineLevel="0" collapsed="false">
      <c r="B22" s="72" t="s">
        <v>88</v>
      </c>
      <c r="C22" s="72"/>
      <c r="D22" s="72"/>
      <c r="E22" s="72"/>
    </row>
    <row r="23" customFormat="false" ht="30" hidden="false" customHeight="true" outlineLevel="0" collapsed="false">
      <c r="B23" s="76" t="s">
        <v>89</v>
      </c>
      <c r="C23" s="76"/>
      <c r="D23" s="76"/>
      <c r="E23" s="76"/>
    </row>
    <row r="24" customFormat="false" ht="30" hidden="false" customHeight="true" outlineLevel="0" collapsed="false">
      <c r="B24" s="77" t="s">
        <v>90</v>
      </c>
      <c r="C24" s="77"/>
      <c r="D24" s="77"/>
      <c r="E24" s="77"/>
    </row>
    <row r="25" customFormat="false" ht="30" hidden="false" customHeight="true" outlineLevel="0" collapsed="false">
      <c r="B25" s="76" t="s">
        <v>91</v>
      </c>
      <c r="C25" s="76"/>
      <c r="D25" s="76"/>
      <c r="E25" s="76"/>
    </row>
    <row r="26" customFormat="false" ht="30" hidden="false" customHeight="true" outlineLevel="0" collapsed="false">
      <c r="B26" s="77" t="s">
        <v>92</v>
      </c>
      <c r="C26" s="77"/>
      <c r="D26" s="77"/>
      <c r="E26" s="77"/>
    </row>
    <row r="27" customFormat="false" ht="30" hidden="false" customHeight="true" outlineLevel="0" collapsed="false">
      <c r="B27" s="76" t="s">
        <v>93</v>
      </c>
      <c r="C27" s="76"/>
      <c r="D27" s="76"/>
      <c r="E27" s="76"/>
    </row>
  </sheetData>
  <mergeCells count="15">
    <mergeCell ref="B1:E1"/>
    <mergeCell ref="B2:E2"/>
    <mergeCell ref="B7:C7"/>
    <mergeCell ref="B8:C8"/>
    <mergeCell ref="B9:C9"/>
    <mergeCell ref="B10:C10"/>
    <mergeCell ref="B11:C11"/>
    <mergeCell ref="B12:C12"/>
    <mergeCell ref="B14:E14"/>
    <mergeCell ref="B22:E22"/>
    <mergeCell ref="B23:E23"/>
    <mergeCell ref="B24:E24"/>
    <mergeCell ref="B25:E25"/>
    <mergeCell ref="B26:E26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31.5" hidden="false" customHeight="true" outlineLevel="0" collapsed="false">
      <c r="A1" s="78" t="s">
        <v>94</v>
      </c>
      <c r="B1" s="78"/>
      <c r="C1" s="78"/>
      <c r="D1" s="78"/>
      <c r="E1" s="78"/>
    </row>
    <row r="3" customFormat="false" ht="28.35" hidden="false" customHeight="false" outlineLevel="0" collapsed="false">
      <c r="A3" s="3" t="s">
        <v>3</v>
      </c>
      <c r="B3" s="3" t="s">
        <v>5</v>
      </c>
      <c r="G3" s="3" t="s">
        <v>4</v>
      </c>
      <c r="H3" s="3" t="s">
        <v>82</v>
      </c>
      <c r="M3" s="3" t="s">
        <v>7</v>
      </c>
      <c r="N3" s="3" t="s">
        <v>95</v>
      </c>
    </row>
    <row r="4" customFormat="false" ht="15" hidden="false" customHeight="false" outlineLevel="0" collapsed="false">
      <c r="A4" s="79" t="s">
        <v>17</v>
      </c>
      <c r="B4" s="79" t="n">
        <v>480</v>
      </c>
      <c r="G4" s="79" t="s">
        <v>14</v>
      </c>
      <c r="H4" s="79" t="n">
        <v>13500</v>
      </c>
      <c r="M4" s="80" t="s">
        <v>11</v>
      </c>
      <c r="N4" s="0" t="n">
        <v>6</v>
      </c>
    </row>
    <row r="5" customFormat="false" ht="15" hidden="false" customHeight="false" outlineLevel="0" collapsed="false">
      <c r="A5" s="79" t="s">
        <v>13</v>
      </c>
      <c r="B5" s="79" t="n">
        <v>950</v>
      </c>
      <c r="G5" s="79" t="s">
        <v>21</v>
      </c>
      <c r="H5" s="79" t="n">
        <v>7700</v>
      </c>
      <c r="M5" s="80" t="s">
        <v>15</v>
      </c>
      <c r="N5" s="0" t="n">
        <v>4</v>
      </c>
    </row>
    <row r="6" customFormat="false" ht="15" hidden="false" customHeight="false" outlineLevel="0" collapsed="false">
      <c r="A6" s="79" t="s">
        <v>9</v>
      </c>
      <c r="B6" s="79" t="n">
        <v>650</v>
      </c>
      <c r="G6" s="79" t="s">
        <v>10</v>
      </c>
      <c r="H6" s="79" t="n">
        <v>5400</v>
      </c>
    </row>
    <row r="7" customFormat="false" ht="15" hidden="false" customHeight="false" outlineLevel="0" collapsed="false">
      <c r="A7" s="79" t="s">
        <v>20</v>
      </c>
      <c r="B7" s="79" t="n">
        <v>620</v>
      </c>
      <c r="G7" s="79" t="s">
        <v>18</v>
      </c>
      <c r="H7" s="79" t="n">
        <v>5100</v>
      </c>
    </row>
    <row r="20" customFormat="false" ht="15" hidden="false" customHeight="false" outlineLevel="0" collapsed="false">
      <c r="A20" s="3" t="s">
        <v>69</v>
      </c>
      <c r="B20" s="3" t="s">
        <v>5</v>
      </c>
    </row>
    <row r="21" customFormat="false" ht="15" hidden="false" customHeight="false" outlineLevel="0" collapsed="false">
      <c r="A21" s="79" t="s">
        <v>96</v>
      </c>
      <c r="B21" s="79" t="n">
        <v>120</v>
      </c>
    </row>
    <row r="22" customFormat="false" ht="15" hidden="false" customHeight="false" outlineLevel="0" collapsed="false">
      <c r="A22" s="79" t="s">
        <v>97</v>
      </c>
      <c r="B22" s="79" t="n">
        <v>300</v>
      </c>
    </row>
    <row r="23" customFormat="false" ht="15" hidden="false" customHeight="false" outlineLevel="0" collapsed="false">
      <c r="A23" s="79" t="s">
        <v>98</v>
      </c>
      <c r="B23" s="79" t="n">
        <v>200</v>
      </c>
    </row>
    <row r="24" customFormat="false" ht="15" hidden="false" customHeight="false" outlineLevel="0" collapsed="false">
      <c r="A24" s="79" t="s">
        <v>99</v>
      </c>
      <c r="B24" s="79" t="n">
        <v>400</v>
      </c>
    </row>
    <row r="25" customFormat="false" ht="15" hidden="false" customHeight="false" outlineLevel="0" collapsed="false">
      <c r="A25" s="79" t="s">
        <v>100</v>
      </c>
      <c r="B25" s="79" t="n">
        <v>350</v>
      </c>
    </row>
    <row r="26" customFormat="false" ht="15" hidden="false" customHeight="false" outlineLevel="0" collapsed="false">
      <c r="A26" s="79" t="s">
        <v>101</v>
      </c>
      <c r="B26" s="79" t="n">
        <v>150</v>
      </c>
    </row>
    <row r="27" customFormat="false" ht="15" hidden="false" customHeight="false" outlineLevel="0" collapsed="false">
      <c r="A27" s="79" t="s">
        <v>102</v>
      </c>
      <c r="B27" s="79" t="n">
        <v>280</v>
      </c>
    </row>
    <row r="28" customFormat="false" ht="15" hidden="false" customHeight="false" outlineLevel="0" collapsed="false">
      <c r="A28" s="79" t="s">
        <v>103</v>
      </c>
      <c r="B28" s="79" t="n">
        <v>220</v>
      </c>
    </row>
    <row r="29" customFormat="false" ht="15" hidden="false" customHeight="false" outlineLevel="0" collapsed="false">
      <c r="A29" s="79" t="s">
        <v>104</v>
      </c>
      <c r="B29" s="79" t="n">
        <v>180</v>
      </c>
    </row>
    <row r="30" customFormat="false" ht="15" hidden="false" customHeight="false" outlineLevel="0" collapsed="false">
      <c r="A30" s="79" t="s">
        <v>105</v>
      </c>
      <c r="B30" s="79" t="n">
        <v>500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2026-05-18T05:59:03Z</dcterms:created>
  <dc:creator>openpyxl</dc:creator>
  <dc:description/>
  <dc:language>en-US</dc:language>
  <cp:lastModifiedBy/>
  <dcterms:modified xsi:type="dcterms:W3CDTF">2026-05-18T05:59:09Z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